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20"/>
  <workbookPr/>
  <mc:AlternateContent xmlns:mc="http://schemas.openxmlformats.org/markup-compatibility/2006">
    <mc:Choice Requires="x15">
      <x15ac:absPath xmlns:x15ac="http://schemas.microsoft.com/office/spreadsheetml/2010/11/ac" url="/Users/anmolchahal/Downloads/"/>
    </mc:Choice>
  </mc:AlternateContent>
  <xr:revisionPtr revIDLastSave="0" documentId="8_{1C69B5E3-B64F-554E-AD10-B6275CEA7A6C}" xr6:coauthVersionLast="47" xr6:coauthVersionMax="47" xr10:uidLastSave="{00000000-0000-0000-0000-000000000000}"/>
  <bookViews>
    <workbookView xWindow="0" yWindow="600" windowWidth="51200" windowHeight="26420" activeTab="4" xr2:uid="{00000000-000D-0000-FFFF-FFFF00000000}"/>
  </bookViews>
  <sheets>
    <sheet name="README" sheetId="1" r:id="rId1"/>
    <sheet name="1100C" sheetId="2" r:id="rId2"/>
    <sheet name="1200C" sheetId="3" r:id="rId3"/>
    <sheet name="1300C" sheetId="4" r:id="rId4"/>
    <sheet name="Arrhenius" sheetId="5" r:id="rId5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6" i="5" l="1"/>
  <c r="C6" i="5" s="1"/>
  <c r="B5" i="5"/>
  <c r="C5" i="5" s="1"/>
  <c r="B4" i="5"/>
  <c r="C4" i="5" s="1"/>
  <c r="F801" i="4"/>
  <c r="C801" i="4"/>
  <c r="D801" i="4" s="1"/>
  <c r="F800" i="4"/>
  <c r="C800" i="4"/>
  <c r="D800" i="4" s="1"/>
  <c r="F799" i="4"/>
  <c r="C799" i="4"/>
  <c r="D799" i="4" s="1"/>
  <c r="F798" i="4"/>
  <c r="C798" i="4"/>
  <c r="D798" i="4" s="1"/>
  <c r="F797" i="4"/>
  <c r="C797" i="4"/>
  <c r="D797" i="4" s="1"/>
  <c r="F796" i="4"/>
  <c r="C796" i="4"/>
  <c r="D796" i="4" s="1"/>
  <c r="F795" i="4"/>
  <c r="C795" i="4"/>
  <c r="D795" i="4" s="1"/>
  <c r="F794" i="4"/>
  <c r="C794" i="4"/>
  <c r="D794" i="4" s="1"/>
  <c r="F793" i="4"/>
  <c r="C793" i="4"/>
  <c r="D793" i="4" s="1"/>
  <c r="F792" i="4"/>
  <c r="C792" i="4"/>
  <c r="D792" i="4" s="1"/>
  <c r="F791" i="4"/>
  <c r="C791" i="4"/>
  <c r="D791" i="4" s="1"/>
  <c r="F790" i="4"/>
  <c r="C790" i="4"/>
  <c r="D790" i="4" s="1"/>
  <c r="F789" i="4"/>
  <c r="C789" i="4"/>
  <c r="D789" i="4" s="1"/>
  <c r="F788" i="4"/>
  <c r="C788" i="4"/>
  <c r="D788" i="4" s="1"/>
  <c r="F787" i="4"/>
  <c r="C787" i="4"/>
  <c r="D787" i="4" s="1"/>
  <c r="F786" i="4"/>
  <c r="C786" i="4"/>
  <c r="D786" i="4" s="1"/>
  <c r="F785" i="4"/>
  <c r="C785" i="4"/>
  <c r="D785" i="4" s="1"/>
  <c r="F784" i="4"/>
  <c r="C784" i="4"/>
  <c r="D784" i="4" s="1"/>
  <c r="F783" i="4"/>
  <c r="C783" i="4"/>
  <c r="D783" i="4" s="1"/>
  <c r="F782" i="4"/>
  <c r="C782" i="4"/>
  <c r="D782" i="4" s="1"/>
  <c r="F781" i="4"/>
  <c r="C781" i="4"/>
  <c r="D781" i="4" s="1"/>
  <c r="F780" i="4"/>
  <c r="C780" i="4"/>
  <c r="D780" i="4" s="1"/>
  <c r="F779" i="4"/>
  <c r="C779" i="4"/>
  <c r="D779" i="4" s="1"/>
  <c r="F778" i="4"/>
  <c r="C778" i="4"/>
  <c r="D778" i="4" s="1"/>
  <c r="F777" i="4"/>
  <c r="C777" i="4"/>
  <c r="D777" i="4" s="1"/>
  <c r="F776" i="4"/>
  <c r="C776" i="4"/>
  <c r="D776" i="4" s="1"/>
  <c r="F775" i="4"/>
  <c r="C775" i="4"/>
  <c r="D775" i="4" s="1"/>
  <c r="F774" i="4"/>
  <c r="C774" i="4"/>
  <c r="D774" i="4" s="1"/>
  <c r="F773" i="4"/>
  <c r="C773" i="4"/>
  <c r="D773" i="4" s="1"/>
  <c r="F772" i="4"/>
  <c r="C772" i="4"/>
  <c r="D772" i="4" s="1"/>
  <c r="F771" i="4"/>
  <c r="C771" i="4"/>
  <c r="D771" i="4" s="1"/>
  <c r="F770" i="4"/>
  <c r="C770" i="4"/>
  <c r="D770" i="4" s="1"/>
  <c r="F769" i="4"/>
  <c r="C769" i="4"/>
  <c r="D769" i="4" s="1"/>
  <c r="F768" i="4"/>
  <c r="C768" i="4"/>
  <c r="D768" i="4" s="1"/>
  <c r="F767" i="4"/>
  <c r="C767" i="4"/>
  <c r="D767" i="4" s="1"/>
  <c r="F766" i="4"/>
  <c r="C766" i="4"/>
  <c r="D766" i="4" s="1"/>
  <c r="F765" i="4"/>
  <c r="C765" i="4"/>
  <c r="D765" i="4" s="1"/>
  <c r="F764" i="4"/>
  <c r="C764" i="4"/>
  <c r="D764" i="4" s="1"/>
  <c r="F763" i="4"/>
  <c r="C763" i="4"/>
  <c r="D763" i="4" s="1"/>
  <c r="F762" i="4"/>
  <c r="C762" i="4"/>
  <c r="D762" i="4" s="1"/>
  <c r="F761" i="4"/>
  <c r="C761" i="4"/>
  <c r="D761" i="4" s="1"/>
  <c r="F760" i="4"/>
  <c r="C760" i="4"/>
  <c r="D760" i="4" s="1"/>
  <c r="F759" i="4"/>
  <c r="C759" i="4"/>
  <c r="D759" i="4" s="1"/>
  <c r="F758" i="4"/>
  <c r="C758" i="4"/>
  <c r="D758" i="4" s="1"/>
  <c r="F757" i="4"/>
  <c r="C757" i="4"/>
  <c r="D757" i="4" s="1"/>
  <c r="F756" i="4"/>
  <c r="C756" i="4"/>
  <c r="D756" i="4" s="1"/>
  <c r="F755" i="4"/>
  <c r="C755" i="4"/>
  <c r="D755" i="4" s="1"/>
  <c r="F754" i="4"/>
  <c r="C754" i="4"/>
  <c r="D754" i="4" s="1"/>
  <c r="F753" i="4"/>
  <c r="C753" i="4"/>
  <c r="D753" i="4" s="1"/>
  <c r="F752" i="4"/>
  <c r="C752" i="4"/>
  <c r="D752" i="4" s="1"/>
  <c r="F751" i="4"/>
  <c r="C751" i="4"/>
  <c r="D751" i="4" s="1"/>
  <c r="F750" i="4"/>
  <c r="C750" i="4"/>
  <c r="D750" i="4" s="1"/>
  <c r="F749" i="4"/>
  <c r="C749" i="4"/>
  <c r="D749" i="4" s="1"/>
  <c r="F748" i="4"/>
  <c r="C748" i="4"/>
  <c r="D748" i="4" s="1"/>
  <c r="F747" i="4"/>
  <c r="C747" i="4"/>
  <c r="D747" i="4" s="1"/>
  <c r="F746" i="4"/>
  <c r="C746" i="4"/>
  <c r="D746" i="4" s="1"/>
  <c r="F745" i="4"/>
  <c r="C745" i="4"/>
  <c r="D745" i="4" s="1"/>
  <c r="F744" i="4"/>
  <c r="C744" i="4"/>
  <c r="D744" i="4" s="1"/>
  <c r="F743" i="4"/>
  <c r="C743" i="4"/>
  <c r="D743" i="4" s="1"/>
  <c r="F742" i="4"/>
  <c r="C742" i="4"/>
  <c r="D742" i="4" s="1"/>
  <c r="F741" i="4"/>
  <c r="C741" i="4"/>
  <c r="D741" i="4" s="1"/>
  <c r="F740" i="4"/>
  <c r="C740" i="4"/>
  <c r="D740" i="4" s="1"/>
  <c r="F739" i="4"/>
  <c r="C739" i="4"/>
  <c r="D739" i="4" s="1"/>
  <c r="F738" i="4"/>
  <c r="C738" i="4"/>
  <c r="D738" i="4" s="1"/>
  <c r="F737" i="4"/>
  <c r="C737" i="4"/>
  <c r="D737" i="4" s="1"/>
  <c r="F736" i="4"/>
  <c r="C736" i="4"/>
  <c r="D736" i="4" s="1"/>
  <c r="F735" i="4"/>
  <c r="C735" i="4"/>
  <c r="D735" i="4" s="1"/>
  <c r="F734" i="4"/>
  <c r="C734" i="4"/>
  <c r="D734" i="4" s="1"/>
  <c r="F733" i="4"/>
  <c r="C733" i="4"/>
  <c r="D733" i="4" s="1"/>
  <c r="F732" i="4"/>
  <c r="C732" i="4"/>
  <c r="D732" i="4" s="1"/>
  <c r="F731" i="4"/>
  <c r="C731" i="4"/>
  <c r="D731" i="4" s="1"/>
  <c r="F730" i="4"/>
  <c r="C730" i="4"/>
  <c r="D730" i="4" s="1"/>
  <c r="F729" i="4"/>
  <c r="C729" i="4"/>
  <c r="D729" i="4" s="1"/>
  <c r="F728" i="4"/>
  <c r="C728" i="4"/>
  <c r="D728" i="4" s="1"/>
  <c r="F727" i="4"/>
  <c r="C727" i="4"/>
  <c r="D727" i="4" s="1"/>
  <c r="F726" i="4"/>
  <c r="C726" i="4"/>
  <c r="D726" i="4" s="1"/>
  <c r="F725" i="4"/>
  <c r="C725" i="4"/>
  <c r="D725" i="4" s="1"/>
  <c r="F724" i="4"/>
  <c r="C724" i="4"/>
  <c r="D724" i="4" s="1"/>
  <c r="F723" i="4"/>
  <c r="C723" i="4"/>
  <c r="D723" i="4" s="1"/>
  <c r="F722" i="4"/>
  <c r="C722" i="4"/>
  <c r="D722" i="4" s="1"/>
  <c r="F721" i="4"/>
  <c r="C721" i="4"/>
  <c r="D721" i="4" s="1"/>
  <c r="F720" i="4"/>
  <c r="C720" i="4"/>
  <c r="D720" i="4" s="1"/>
  <c r="F719" i="4"/>
  <c r="C719" i="4"/>
  <c r="D719" i="4" s="1"/>
  <c r="F718" i="4"/>
  <c r="C718" i="4"/>
  <c r="D718" i="4" s="1"/>
  <c r="F717" i="4"/>
  <c r="C717" i="4"/>
  <c r="D717" i="4" s="1"/>
  <c r="F716" i="4"/>
  <c r="C716" i="4"/>
  <c r="D716" i="4" s="1"/>
  <c r="F715" i="4"/>
  <c r="C715" i="4"/>
  <c r="D715" i="4" s="1"/>
  <c r="F714" i="4"/>
  <c r="C714" i="4"/>
  <c r="D714" i="4" s="1"/>
  <c r="F713" i="4"/>
  <c r="C713" i="4"/>
  <c r="D713" i="4" s="1"/>
  <c r="F712" i="4"/>
  <c r="C712" i="4"/>
  <c r="D712" i="4" s="1"/>
  <c r="F711" i="4"/>
  <c r="C711" i="4"/>
  <c r="D711" i="4" s="1"/>
  <c r="F710" i="4"/>
  <c r="C710" i="4"/>
  <c r="D710" i="4" s="1"/>
  <c r="F709" i="4"/>
  <c r="C709" i="4"/>
  <c r="D709" i="4" s="1"/>
  <c r="F708" i="4"/>
  <c r="C708" i="4"/>
  <c r="D708" i="4" s="1"/>
  <c r="F707" i="4"/>
  <c r="C707" i="4"/>
  <c r="D707" i="4" s="1"/>
  <c r="F706" i="4"/>
  <c r="C706" i="4"/>
  <c r="D706" i="4" s="1"/>
  <c r="F705" i="4"/>
  <c r="C705" i="4"/>
  <c r="D705" i="4" s="1"/>
  <c r="F704" i="4"/>
  <c r="C704" i="4"/>
  <c r="D704" i="4" s="1"/>
  <c r="F703" i="4"/>
  <c r="C703" i="4"/>
  <c r="D703" i="4" s="1"/>
  <c r="F702" i="4"/>
  <c r="C702" i="4"/>
  <c r="D702" i="4" s="1"/>
  <c r="F701" i="4"/>
  <c r="C701" i="4"/>
  <c r="D701" i="4" s="1"/>
  <c r="F700" i="4"/>
  <c r="C700" i="4"/>
  <c r="D700" i="4" s="1"/>
  <c r="F699" i="4"/>
  <c r="C699" i="4"/>
  <c r="D699" i="4" s="1"/>
  <c r="F698" i="4"/>
  <c r="C698" i="4"/>
  <c r="D698" i="4" s="1"/>
  <c r="F697" i="4"/>
  <c r="C697" i="4"/>
  <c r="D697" i="4" s="1"/>
  <c r="F696" i="4"/>
  <c r="C696" i="4"/>
  <c r="D696" i="4" s="1"/>
  <c r="F695" i="4"/>
  <c r="C695" i="4"/>
  <c r="D695" i="4" s="1"/>
  <c r="F694" i="4"/>
  <c r="C694" i="4"/>
  <c r="D694" i="4" s="1"/>
  <c r="F693" i="4"/>
  <c r="C693" i="4"/>
  <c r="D693" i="4" s="1"/>
  <c r="F692" i="4"/>
  <c r="C692" i="4"/>
  <c r="D692" i="4" s="1"/>
  <c r="F691" i="4"/>
  <c r="C691" i="4"/>
  <c r="D691" i="4" s="1"/>
  <c r="F690" i="4"/>
  <c r="C690" i="4"/>
  <c r="D690" i="4" s="1"/>
  <c r="F689" i="4"/>
  <c r="C689" i="4"/>
  <c r="D689" i="4" s="1"/>
  <c r="F688" i="4"/>
  <c r="C688" i="4"/>
  <c r="D688" i="4" s="1"/>
  <c r="F687" i="4"/>
  <c r="C687" i="4"/>
  <c r="D687" i="4" s="1"/>
  <c r="F686" i="4"/>
  <c r="C686" i="4"/>
  <c r="D686" i="4" s="1"/>
  <c r="F685" i="4"/>
  <c r="C685" i="4"/>
  <c r="D685" i="4" s="1"/>
  <c r="F684" i="4"/>
  <c r="C684" i="4"/>
  <c r="D684" i="4" s="1"/>
  <c r="F683" i="4"/>
  <c r="C683" i="4"/>
  <c r="D683" i="4" s="1"/>
  <c r="F682" i="4"/>
  <c r="C682" i="4"/>
  <c r="D682" i="4" s="1"/>
  <c r="F681" i="4"/>
  <c r="C681" i="4"/>
  <c r="D681" i="4" s="1"/>
  <c r="F680" i="4"/>
  <c r="C680" i="4"/>
  <c r="D680" i="4" s="1"/>
  <c r="F679" i="4"/>
  <c r="C679" i="4"/>
  <c r="D679" i="4" s="1"/>
  <c r="F678" i="4"/>
  <c r="C678" i="4"/>
  <c r="D678" i="4" s="1"/>
  <c r="F677" i="4"/>
  <c r="C677" i="4"/>
  <c r="D677" i="4" s="1"/>
  <c r="F676" i="4"/>
  <c r="C676" i="4"/>
  <c r="D676" i="4" s="1"/>
  <c r="F675" i="4"/>
  <c r="C675" i="4"/>
  <c r="D675" i="4" s="1"/>
  <c r="F674" i="4"/>
  <c r="C674" i="4"/>
  <c r="D674" i="4" s="1"/>
  <c r="F673" i="4"/>
  <c r="C673" i="4"/>
  <c r="D673" i="4" s="1"/>
  <c r="F672" i="4"/>
  <c r="C672" i="4"/>
  <c r="D672" i="4" s="1"/>
  <c r="F671" i="4"/>
  <c r="C671" i="4"/>
  <c r="D671" i="4" s="1"/>
  <c r="F670" i="4"/>
  <c r="C670" i="4"/>
  <c r="D670" i="4" s="1"/>
  <c r="F669" i="4"/>
  <c r="C669" i="4"/>
  <c r="D669" i="4" s="1"/>
  <c r="F668" i="4"/>
  <c r="C668" i="4"/>
  <c r="D668" i="4" s="1"/>
  <c r="F667" i="4"/>
  <c r="C667" i="4"/>
  <c r="D667" i="4" s="1"/>
  <c r="F666" i="4"/>
  <c r="C666" i="4"/>
  <c r="D666" i="4" s="1"/>
  <c r="F665" i="4"/>
  <c r="C665" i="4"/>
  <c r="D665" i="4" s="1"/>
  <c r="F664" i="4"/>
  <c r="C664" i="4"/>
  <c r="D664" i="4" s="1"/>
  <c r="F663" i="4"/>
  <c r="C663" i="4"/>
  <c r="D663" i="4" s="1"/>
  <c r="F662" i="4"/>
  <c r="C662" i="4"/>
  <c r="D662" i="4" s="1"/>
  <c r="F661" i="4"/>
  <c r="C661" i="4"/>
  <c r="D661" i="4" s="1"/>
  <c r="F660" i="4"/>
  <c r="C660" i="4"/>
  <c r="D660" i="4" s="1"/>
  <c r="F659" i="4"/>
  <c r="C659" i="4"/>
  <c r="D659" i="4" s="1"/>
  <c r="F658" i="4"/>
  <c r="C658" i="4"/>
  <c r="D658" i="4" s="1"/>
  <c r="F657" i="4"/>
  <c r="C657" i="4"/>
  <c r="D657" i="4" s="1"/>
  <c r="F656" i="4"/>
  <c r="C656" i="4"/>
  <c r="D656" i="4" s="1"/>
  <c r="F655" i="4"/>
  <c r="C655" i="4"/>
  <c r="D655" i="4" s="1"/>
  <c r="F654" i="4"/>
  <c r="C654" i="4"/>
  <c r="D654" i="4" s="1"/>
  <c r="F653" i="4"/>
  <c r="C653" i="4"/>
  <c r="D653" i="4" s="1"/>
  <c r="F652" i="4"/>
  <c r="C652" i="4"/>
  <c r="D652" i="4" s="1"/>
  <c r="F651" i="4"/>
  <c r="C651" i="4"/>
  <c r="D651" i="4" s="1"/>
  <c r="F650" i="4"/>
  <c r="C650" i="4"/>
  <c r="D650" i="4" s="1"/>
  <c r="F649" i="4"/>
  <c r="C649" i="4"/>
  <c r="D649" i="4" s="1"/>
  <c r="F648" i="4"/>
  <c r="C648" i="4"/>
  <c r="D648" i="4" s="1"/>
  <c r="F647" i="4"/>
  <c r="C647" i="4"/>
  <c r="D647" i="4" s="1"/>
  <c r="F646" i="4"/>
  <c r="C646" i="4"/>
  <c r="D646" i="4" s="1"/>
  <c r="F645" i="4"/>
  <c r="C645" i="4"/>
  <c r="D645" i="4" s="1"/>
  <c r="F644" i="4"/>
  <c r="C644" i="4"/>
  <c r="D644" i="4" s="1"/>
  <c r="F643" i="4"/>
  <c r="C643" i="4"/>
  <c r="D643" i="4" s="1"/>
  <c r="F642" i="4"/>
  <c r="C642" i="4"/>
  <c r="D642" i="4" s="1"/>
  <c r="F641" i="4"/>
  <c r="C641" i="4"/>
  <c r="D641" i="4" s="1"/>
  <c r="F640" i="4"/>
  <c r="C640" i="4"/>
  <c r="D640" i="4" s="1"/>
  <c r="F639" i="4"/>
  <c r="C639" i="4"/>
  <c r="D639" i="4" s="1"/>
  <c r="F638" i="4"/>
  <c r="C638" i="4"/>
  <c r="D638" i="4" s="1"/>
  <c r="F637" i="4"/>
  <c r="C637" i="4"/>
  <c r="D637" i="4" s="1"/>
  <c r="F636" i="4"/>
  <c r="C636" i="4"/>
  <c r="D636" i="4" s="1"/>
  <c r="F635" i="4"/>
  <c r="C635" i="4"/>
  <c r="D635" i="4" s="1"/>
  <c r="F634" i="4"/>
  <c r="C634" i="4"/>
  <c r="D634" i="4" s="1"/>
  <c r="F633" i="4"/>
  <c r="C633" i="4"/>
  <c r="D633" i="4" s="1"/>
  <c r="F632" i="4"/>
  <c r="C632" i="4"/>
  <c r="D632" i="4" s="1"/>
  <c r="F631" i="4"/>
  <c r="C631" i="4"/>
  <c r="D631" i="4" s="1"/>
  <c r="F630" i="4"/>
  <c r="C630" i="4"/>
  <c r="D630" i="4" s="1"/>
  <c r="F629" i="4"/>
  <c r="C629" i="4"/>
  <c r="D629" i="4" s="1"/>
  <c r="F628" i="4"/>
  <c r="C628" i="4"/>
  <c r="D628" i="4" s="1"/>
  <c r="F627" i="4"/>
  <c r="C627" i="4"/>
  <c r="D627" i="4" s="1"/>
  <c r="F626" i="4"/>
  <c r="C626" i="4"/>
  <c r="D626" i="4" s="1"/>
  <c r="F625" i="4"/>
  <c r="C625" i="4"/>
  <c r="D625" i="4" s="1"/>
  <c r="F624" i="4"/>
  <c r="C624" i="4"/>
  <c r="D624" i="4" s="1"/>
  <c r="F623" i="4"/>
  <c r="C623" i="4"/>
  <c r="D623" i="4" s="1"/>
  <c r="F622" i="4"/>
  <c r="C622" i="4"/>
  <c r="D622" i="4" s="1"/>
  <c r="F621" i="4"/>
  <c r="C621" i="4"/>
  <c r="D621" i="4" s="1"/>
  <c r="F620" i="4"/>
  <c r="C620" i="4"/>
  <c r="D620" i="4" s="1"/>
  <c r="F619" i="4"/>
  <c r="C619" i="4"/>
  <c r="D619" i="4" s="1"/>
  <c r="F618" i="4"/>
  <c r="C618" i="4"/>
  <c r="D618" i="4" s="1"/>
  <c r="F617" i="4"/>
  <c r="C617" i="4"/>
  <c r="D617" i="4" s="1"/>
  <c r="F616" i="4"/>
  <c r="C616" i="4"/>
  <c r="D616" i="4" s="1"/>
  <c r="F615" i="4"/>
  <c r="C615" i="4"/>
  <c r="D615" i="4" s="1"/>
  <c r="F614" i="4"/>
  <c r="C614" i="4"/>
  <c r="D614" i="4" s="1"/>
  <c r="F613" i="4"/>
  <c r="C613" i="4"/>
  <c r="D613" i="4" s="1"/>
  <c r="F612" i="4"/>
  <c r="C612" i="4"/>
  <c r="D612" i="4" s="1"/>
  <c r="F611" i="4"/>
  <c r="C611" i="4"/>
  <c r="D611" i="4" s="1"/>
  <c r="F610" i="4"/>
  <c r="C610" i="4"/>
  <c r="D610" i="4" s="1"/>
  <c r="F609" i="4"/>
  <c r="C609" i="4"/>
  <c r="D609" i="4" s="1"/>
  <c r="F608" i="4"/>
  <c r="C608" i="4"/>
  <c r="D608" i="4" s="1"/>
  <c r="F607" i="4"/>
  <c r="C607" i="4"/>
  <c r="D607" i="4" s="1"/>
  <c r="F606" i="4"/>
  <c r="C606" i="4"/>
  <c r="D606" i="4" s="1"/>
  <c r="F605" i="4"/>
  <c r="C605" i="4"/>
  <c r="D605" i="4" s="1"/>
  <c r="F604" i="4"/>
  <c r="C604" i="4"/>
  <c r="D604" i="4" s="1"/>
  <c r="F603" i="4"/>
  <c r="C603" i="4"/>
  <c r="D603" i="4" s="1"/>
  <c r="F602" i="4"/>
  <c r="C602" i="4"/>
  <c r="D602" i="4" s="1"/>
  <c r="F601" i="4"/>
  <c r="C601" i="4"/>
  <c r="D601" i="4" s="1"/>
  <c r="F600" i="4"/>
  <c r="C600" i="4"/>
  <c r="D600" i="4" s="1"/>
  <c r="F599" i="4"/>
  <c r="C599" i="4"/>
  <c r="D599" i="4" s="1"/>
  <c r="F598" i="4"/>
  <c r="C598" i="4"/>
  <c r="D598" i="4" s="1"/>
  <c r="F597" i="4"/>
  <c r="C597" i="4"/>
  <c r="D597" i="4" s="1"/>
  <c r="F596" i="4"/>
  <c r="C596" i="4"/>
  <c r="D596" i="4" s="1"/>
  <c r="F595" i="4"/>
  <c r="C595" i="4"/>
  <c r="D595" i="4" s="1"/>
  <c r="F594" i="4"/>
  <c r="C594" i="4"/>
  <c r="D594" i="4" s="1"/>
  <c r="F593" i="4"/>
  <c r="C593" i="4"/>
  <c r="D593" i="4" s="1"/>
  <c r="F592" i="4"/>
  <c r="C592" i="4"/>
  <c r="D592" i="4" s="1"/>
  <c r="F591" i="4"/>
  <c r="C591" i="4"/>
  <c r="D591" i="4" s="1"/>
  <c r="F590" i="4"/>
  <c r="C590" i="4"/>
  <c r="D590" i="4" s="1"/>
  <c r="F589" i="4"/>
  <c r="C589" i="4"/>
  <c r="D589" i="4" s="1"/>
  <c r="F588" i="4"/>
  <c r="C588" i="4"/>
  <c r="D588" i="4" s="1"/>
  <c r="F587" i="4"/>
  <c r="C587" i="4"/>
  <c r="D587" i="4" s="1"/>
  <c r="F586" i="4"/>
  <c r="C586" i="4"/>
  <c r="D586" i="4" s="1"/>
  <c r="F585" i="4"/>
  <c r="C585" i="4"/>
  <c r="D585" i="4" s="1"/>
  <c r="F584" i="4"/>
  <c r="C584" i="4"/>
  <c r="D584" i="4" s="1"/>
  <c r="F583" i="4"/>
  <c r="C583" i="4"/>
  <c r="D583" i="4" s="1"/>
  <c r="F582" i="4"/>
  <c r="C582" i="4"/>
  <c r="D582" i="4" s="1"/>
  <c r="F581" i="4"/>
  <c r="C581" i="4"/>
  <c r="D581" i="4" s="1"/>
  <c r="F580" i="4"/>
  <c r="C580" i="4"/>
  <c r="D580" i="4" s="1"/>
  <c r="F579" i="4"/>
  <c r="C579" i="4"/>
  <c r="D579" i="4" s="1"/>
  <c r="F578" i="4"/>
  <c r="C578" i="4"/>
  <c r="D578" i="4" s="1"/>
  <c r="F577" i="4"/>
  <c r="C577" i="4"/>
  <c r="D577" i="4" s="1"/>
  <c r="F576" i="4"/>
  <c r="C576" i="4"/>
  <c r="D576" i="4" s="1"/>
  <c r="F575" i="4"/>
  <c r="C575" i="4"/>
  <c r="D575" i="4" s="1"/>
  <c r="F574" i="4"/>
  <c r="C574" i="4"/>
  <c r="D574" i="4" s="1"/>
  <c r="F573" i="4"/>
  <c r="C573" i="4"/>
  <c r="D573" i="4" s="1"/>
  <c r="F572" i="4"/>
  <c r="C572" i="4"/>
  <c r="D572" i="4" s="1"/>
  <c r="F571" i="4"/>
  <c r="C571" i="4"/>
  <c r="D571" i="4" s="1"/>
  <c r="F570" i="4"/>
  <c r="C570" i="4"/>
  <c r="D570" i="4" s="1"/>
  <c r="F569" i="4"/>
  <c r="C569" i="4"/>
  <c r="D569" i="4" s="1"/>
  <c r="F568" i="4"/>
  <c r="C568" i="4"/>
  <c r="D568" i="4" s="1"/>
  <c r="F567" i="4"/>
  <c r="C567" i="4"/>
  <c r="D567" i="4" s="1"/>
  <c r="F566" i="4"/>
  <c r="C566" i="4"/>
  <c r="D566" i="4" s="1"/>
  <c r="F565" i="4"/>
  <c r="C565" i="4"/>
  <c r="D565" i="4" s="1"/>
  <c r="F564" i="4"/>
  <c r="C564" i="4"/>
  <c r="D564" i="4" s="1"/>
  <c r="F563" i="4"/>
  <c r="C563" i="4"/>
  <c r="D563" i="4" s="1"/>
  <c r="F562" i="4"/>
  <c r="C562" i="4"/>
  <c r="D562" i="4" s="1"/>
  <c r="F561" i="4"/>
  <c r="C561" i="4"/>
  <c r="D561" i="4" s="1"/>
  <c r="F560" i="4"/>
  <c r="C560" i="4"/>
  <c r="D560" i="4" s="1"/>
  <c r="F559" i="4"/>
  <c r="C559" i="4"/>
  <c r="D559" i="4" s="1"/>
  <c r="F558" i="4"/>
  <c r="C558" i="4"/>
  <c r="D558" i="4" s="1"/>
  <c r="F557" i="4"/>
  <c r="C557" i="4"/>
  <c r="D557" i="4" s="1"/>
  <c r="F556" i="4"/>
  <c r="C556" i="4"/>
  <c r="D556" i="4" s="1"/>
  <c r="F555" i="4"/>
  <c r="C555" i="4"/>
  <c r="D555" i="4" s="1"/>
  <c r="F554" i="4"/>
  <c r="C554" i="4"/>
  <c r="D554" i="4" s="1"/>
  <c r="F553" i="4"/>
  <c r="C553" i="4"/>
  <c r="D553" i="4" s="1"/>
  <c r="F552" i="4"/>
  <c r="C552" i="4"/>
  <c r="D552" i="4" s="1"/>
  <c r="F551" i="4"/>
  <c r="C551" i="4"/>
  <c r="D551" i="4" s="1"/>
  <c r="F550" i="4"/>
  <c r="C550" i="4"/>
  <c r="D550" i="4" s="1"/>
  <c r="F549" i="4"/>
  <c r="C549" i="4"/>
  <c r="D549" i="4" s="1"/>
  <c r="F548" i="4"/>
  <c r="C548" i="4"/>
  <c r="D548" i="4" s="1"/>
  <c r="F547" i="4"/>
  <c r="C547" i="4"/>
  <c r="D547" i="4" s="1"/>
  <c r="F546" i="4"/>
  <c r="C546" i="4"/>
  <c r="D546" i="4" s="1"/>
  <c r="F545" i="4"/>
  <c r="C545" i="4"/>
  <c r="D545" i="4" s="1"/>
  <c r="F544" i="4"/>
  <c r="C544" i="4"/>
  <c r="D544" i="4" s="1"/>
  <c r="F543" i="4"/>
  <c r="C543" i="4"/>
  <c r="D543" i="4" s="1"/>
  <c r="F542" i="4"/>
  <c r="C542" i="4"/>
  <c r="D542" i="4" s="1"/>
  <c r="F541" i="4"/>
  <c r="C541" i="4"/>
  <c r="D541" i="4" s="1"/>
  <c r="F540" i="4"/>
  <c r="C540" i="4"/>
  <c r="D540" i="4" s="1"/>
  <c r="F539" i="4"/>
  <c r="C539" i="4"/>
  <c r="D539" i="4" s="1"/>
  <c r="F538" i="4"/>
  <c r="C538" i="4"/>
  <c r="D538" i="4" s="1"/>
  <c r="F537" i="4"/>
  <c r="C537" i="4"/>
  <c r="D537" i="4" s="1"/>
  <c r="F536" i="4"/>
  <c r="C536" i="4"/>
  <c r="D536" i="4" s="1"/>
  <c r="F535" i="4"/>
  <c r="C535" i="4"/>
  <c r="D535" i="4" s="1"/>
  <c r="F534" i="4"/>
  <c r="C534" i="4"/>
  <c r="D534" i="4" s="1"/>
  <c r="F533" i="4"/>
  <c r="C533" i="4"/>
  <c r="D533" i="4" s="1"/>
  <c r="F532" i="4"/>
  <c r="C532" i="4"/>
  <c r="D532" i="4" s="1"/>
  <c r="F531" i="4"/>
  <c r="C531" i="4"/>
  <c r="D531" i="4" s="1"/>
  <c r="F530" i="4"/>
  <c r="C530" i="4"/>
  <c r="D530" i="4" s="1"/>
  <c r="F529" i="4"/>
  <c r="C529" i="4"/>
  <c r="D529" i="4" s="1"/>
  <c r="F528" i="4"/>
  <c r="C528" i="4"/>
  <c r="D528" i="4" s="1"/>
  <c r="F527" i="4"/>
  <c r="C527" i="4"/>
  <c r="D527" i="4" s="1"/>
  <c r="F526" i="4"/>
  <c r="C526" i="4"/>
  <c r="D526" i="4" s="1"/>
  <c r="F525" i="4"/>
  <c r="C525" i="4"/>
  <c r="D525" i="4" s="1"/>
  <c r="F524" i="4"/>
  <c r="C524" i="4"/>
  <c r="D524" i="4" s="1"/>
  <c r="F523" i="4"/>
  <c r="C523" i="4"/>
  <c r="D523" i="4" s="1"/>
  <c r="F522" i="4"/>
  <c r="C522" i="4"/>
  <c r="D522" i="4" s="1"/>
  <c r="F521" i="4"/>
  <c r="C521" i="4"/>
  <c r="D521" i="4" s="1"/>
  <c r="F520" i="4"/>
  <c r="C520" i="4"/>
  <c r="D520" i="4" s="1"/>
  <c r="F519" i="4"/>
  <c r="C519" i="4"/>
  <c r="D519" i="4" s="1"/>
  <c r="F518" i="4"/>
  <c r="C518" i="4"/>
  <c r="D518" i="4" s="1"/>
  <c r="F517" i="4"/>
  <c r="C517" i="4"/>
  <c r="D517" i="4" s="1"/>
  <c r="F516" i="4"/>
  <c r="C516" i="4"/>
  <c r="D516" i="4" s="1"/>
  <c r="F515" i="4"/>
  <c r="C515" i="4"/>
  <c r="D515" i="4" s="1"/>
  <c r="F514" i="4"/>
  <c r="C514" i="4"/>
  <c r="D514" i="4" s="1"/>
  <c r="F513" i="4"/>
  <c r="C513" i="4"/>
  <c r="D513" i="4" s="1"/>
  <c r="F512" i="4"/>
  <c r="C512" i="4"/>
  <c r="D512" i="4" s="1"/>
  <c r="F511" i="4"/>
  <c r="C511" i="4"/>
  <c r="D511" i="4" s="1"/>
  <c r="F510" i="4"/>
  <c r="C510" i="4"/>
  <c r="D510" i="4" s="1"/>
  <c r="F509" i="4"/>
  <c r="C509" i="4"/>
  <c r="D509" i="4" s="1"/>
  <c r="F508" i="4"/>
  <c r="C508" i="4"/>
  <c r="D508" i="4" s="1"/>
  <c r="F507" i="4"/>
  <c r="C507" i="4"/>
  <c r="D507" i="4" s="1"/>
  <c r="F506" i="4"/>
  <c r="C506" i="4"/>
  <c r="D506" i="4" s="1"/>
  <c r="F505" i="4"/>
  <c r="C505" i="4"/>
  <c r="D505" i="4" s="1"/>
  <c r="F504" i="4"/>
  <c r="C504" i="4"/>
  <c r="D504" i="4" s="1"/>
  <c r="F503" i="4"/>
  <c r="C503" i="4"/>
  <c r="D503" i="4" s="1"/>
  <c r="F502" i="4"/>
  <c r="C502" i="4"/>
  <c r="D502" i="4" s="1"/>
  <c r="F501" i="4"/>
  <c r="C501" i="4"/>
  <c r="D501" i="4" s="1"/>
  <c r="F500" i="4"/>
  <c r="C500" i="4"/>
  <c r="D500" i="4" s="1"/>
  <c r="F499" i="4"/>
  <c r="C499" i="4"/>
  <c r="D499" i="4" s="1"/>
  <c r="F498" i="4"/>
  <c r="C498" i="4"/>
  <c r="D498" i="4" s="1"/>
  <c r="F497" i="4"/>
  <c r="C497" i="4"/>
  <c r="D497" i="4" s="1"/>
  <c r="F496" i="4"/>
  <c r="C496" i="4"/>
  <c r="D496" i="4" s="1"/>
  <c r="F495" i="4"/>
  <c r="C495" i="4"/>
  <c r="D495" i="4" s="1"/>
  <c r="F494" i="4"/>
  <c r="C494" i="4"/>
  <c r="D494" i="4" s="1"/>
  <c r="F493" i="4"/>
  <c r="C493" i="4"/>
  <c r="D493" i="4" s="1"/>
  <c r="F492" i="4"/>
  <c r="C492" i="4"/>
  <c r="D492" i="4" s="1"/>
  <c r="F491" i="4"/>
  <c r="C491" i="4"/>
  <c r="D491" i="4" s="1"/>
  <c r="F490" i="4"/>
  <c r="C490" i="4"/>
  <c r="D490" i="4" s="1"/>
  <c r="F489" i="4"/>
  <c r="C489" i="4"/>
  <c r="D489" i="4" s="1"/>
  <c r="F488" i="4"/>
  <c r="C488" i="4"/>
  <c r="D488" i="4" s="1"/>
  <c r="F487" i="4"/>
  <c r="C487" i="4"/>
  <c r="D487" i="4" s="1"/>
  <c r="F486" i="4"/>
  <c r="C486" i="4"/>
  <c r="D486" i="4" s="1"/>
  <c r="F485" i="4"/>
  <c r="C485" i="4"/>
  <c r="D485" i="4" s="1"/>
  <c r="F484" i="4"/>
  <c r="C484" i="4"/>
  <c r="D484" i="4" s="1"/>
  <c r="F483" i="4"/>
  <c r="C483" i="4"/>
  <c r="D483" i="4" s="1"/>
  <c r="F482" i="4"/>
  <c r="C482" i="4"/>
  <c r="D482" i="4" s="1"/>
  <c r="F481" i="4"/>
  <c r="C481" i="4"/>
  <c r="D481" i="4" s="1"/>
  <c r="F480" i="4"/>
  <c r="C480" i="4"/>
  <c r="D480" i="4" s="1"/>
  <c r="F479" i="4"/>
  <c r="C479" i="4"/>
  <c r="D479" i="4" s="1"/>
  <c r="F478" i="4"/>
  <c r="C478" i="4"/>
  <c r="D478" i="4" s="1"/>
  <c r="F477" i="4"/>
  <c r="C477" i="4"/>
  <c r="D477" i="4" s="1"/>
  <c r="F476" i="4"/>
  <c r="C476" i="4"/>
  <c r="D476" i="4" s="1"/>
  <c r="F475" i="4"/>
  <c r="C475" i="4"/>
  <c r="D475" i="4" s="1"/>
  <c r="F474" i="4"/>
  <c r="C474" i="4"/>
  <c r="D474" i="4" s="1"/>
  <c r="F473" i="4"/>
  <c r="C473" i="4"/>
  <c r="D473" i="4" s="1"/>
  <c r="F472" i="4"/>
  <c r="C472" i="4"/>
  <c r="D472" i="4" s="1"/>
  <c r="F471" i="4"/>
  <c r="C471" i="4"/>
  <c r="D471" i="4" s="1"/>
  <c r="F470" i="4"/>
  <c r="C470" i="4"/>
  <c r="D470" i="4" s="1"/>
  <c r="F469" i="4"/>
  <c r="C469" i="4"/>
  <c r="D469" i="4" s="1"/>
  <c r="F468" i="4"/>
  <c r="C468" i="4"/>
  <c r="D468" i="4" s="1"/>
  <c r="F467" i="4"/>
  <c r="C467" i="4"/>
  <c r="D467" i="4" s="1"/>
  <c r="F466" i="4"/>
  <c r="C466" i="4"/>
  <c r="D466" i="4" s="1"/>
  <c r="F465" i="4"/>
  <c r="C465" i="4"/>
  <c r="D465" i="4" s="1"/>
  <c r="F464" i="4"/>
  <c r="C464" i="4"/>
  <c r="D464" i="4" s="1"/>
  <c r="F463" i="4"/>
  <c r="C463" i="4"/>
  <c r="D463" i="4" s="1"/>
  <c r="F462" i="4"/>
  <c r="C462" i="4"/>
  <c r="D462" i="4" s="1"/>
  <c r="F461" i="4"/>
  <c r="C461" i="4"/>
  <c r="D461" i="4" s="1"/>
  <c r="F460" i="4"/>
  <c r="C460" i="4"/>
  <c r="D460" i="4" s="1"/>
  <c r="F459" i="4"/>
  <c r="C459" i="4"/>
  <c r="D459" i="4" s="1"/>
  <c r="F458" i="4"/>
  <c r="C458" i="4"/>
  <c r="D458" i="4" s="1"/>
  <c r="F457" i="4"/>
  <c r="C457" i="4"/>
  <c r="D457" i="4" s="1"/>
  <c r="F456" i="4"/>
  <c r="C456" i="4"/>
  <c r="D456" i="4" s="1"/>
  <c r="F455" i="4"/>
  <c r="C455" i="4"/>
  <c r="D455" i="4" s="1"/>
  <c r="F454" i="4"/>
  <c r="C454" i="4"/>
  <c r="D454" i="4" s="1"/>
  <c r="F453" i="4"/>
  <c r="C453" i="4"/>
  <c r="D453" i="4" s="1"/>
  <c r="F452" i="4"/>
  <c r="C452" i="4"/>
  <c r="D452" i="4" s="1"/>
  <c r="F451" i="4"/>
  <c r="C451" i="4"/>
  <c r="D451" i="4" s="1"/>
  <c r="F450" i="4"/>
  <c r="C450" i="4"/>
  <c r="D450" i="4" s="1"/>
  <c r="F449" i="4"/>
  <c r="C449" i="4"/>
  <c r="D449" i="4" s="1"/>
  <c r="F448" i="4"/>
  <c r="C448" i="4"/>
  <c r="D448" i="4" s="1"/>
  <c r="F447" i="4"/>
  <c r="C447" i="4"/>
  <c r="D447" i="4" s="1"/>
  <c r="F446" i="4"/>
  <c r="C446" i="4"/>
  <c r="D446" i="4" s="1"/>
  <c r="F445" i="4"/>
  <c r="C445" i="4"/>
  <c r="D445" i="4" s="1"/>
  <c r="F444" i="4"/>
  <c r="C444" i="4"/>
  <c r="D444" i="4" s="1"/>
  <c r="F443" i="4"/>
  <c r="C443" i="4"/>
  <c r="D443" i="4" s="1"/>
  <c r="F442" i="4"/>
  <c r="C442" i="4"/>
  <c r="D442" i="4" s="1"/>
  <c r="F441" i="4"/>
  <c r="C441" i="4"/>
  <c r="D441" i="4" s="1"/>
  <c r="F440" i="4"/>
  <c r="C440" i="4"/>
  <c r="D440" i="4" s="1"/>
  <c r="F439" i="4"/>
  <c r="C439" i="4"/>
  <c r="D439" i="4" s="1"/>
  <c r="F438" i="4"/>
  <c r="C438" i="4"/>
  <c r="D438" i="4" s="1"/>
  <c r="F437" i="4"/>
  <c r="C437" i="4"/>
  <c r="D437" i="4" s="1"/>
  <c r="F436" i="4"/>
  <c r="C436" i="4"/>
  <c r="D436" i="4" s="1"/>
  <c r="F435" i="4"/>
  <c r="C435" i="4"/>
  <c r="D435" i="4" s="1"/>
  <c r="F434" i="4"/>
  <c r="C434" i="4"/>
  <c r="D434" i="4" s="1"/>
  <c r="F433" i="4"/>
  <c r="C433" i="4"/>
  <c r="D433" i="4" s="1"/>
  <c r="F432" i="4"/>
  <c r="C432" i="4"/>
  <c r="D432" i="4" s="1"/>
  <c r="F431" i="4"/>
  <c r="C431" i="4"/>
  <c r="D431" i="4" s="1"/>
  <c r="F430" i="4"/>
  <c r="C430" i="4"/>
  <c r="D430" i="4" s="1"/>
  <c r="F429" i="4"/>
  <c r="C429" i="4"/>
  <c r="D429" i="4" s="1"/>
  <c r="F428" i="4"/>
  <c r="C428" i="4"/>
  <c r="D428" i="4" s="1"/>
  <c r="F427" i="4"/>
  <c r="C427" i="4"/>
  <c r="D427" i="4" s="1"/>
  <c r="F426" i="4"/>
  <c r="C426" i="4"/>
  <c r="D426" i="4" s="1"/>
  <c r="F425" i="4"/>
  <c r="C425" i="4"/>
  <c r="D425" i="4" s="1"/>
  <c r="F424" i="4"/>
  <c r="C424" i="4"/>
  <c r="D424" i="4" s="1"/>
  <c r="F423" i="4"/>
  <c r="C423" i="4"/>
  <c r="D423" i="4" s="1"/>
  <c r="F422" i="4"/>
  <c r="C422" i="4"/>
  <c r="D422" i="4" s="1"/>
  <c r="F421" i="4"/>
  <c r="C421" i="4"/>
  <c r="D421" i="4" s="1"/>
  <c r="F420" i="4"/>
  <c r="C420" i="4"/>
  <c r="D420" i="4" s="1"/>
  <c r="F419" i="4"/>
  <c r="C419" i="4"/>
  <c r="D419" i="4" s="1"/>
  <c r="F418" i="4"/>
  <c r="C418" i="4"/>
  <c r="D418" i="4" s="1"/>
  <c r="F417" i="4"/>
  <c r="C417" i="4"/>
  <c r="D417" i="4" s="1"/>
  <c r="F416" i="4"/>
  <c r="C416" i="4"/>
  <c r="D416" i="4" s="1"/>
  <c r="F415" i="4"/>
  <c r="C415" i="4"/>
  <c r="D415" i="4" s="1"/>
  <c r="F414" i="4"/>
  <c r="C414" i="4"/>
  <c r="D414" i="4" s="1"/>
  <c r="F413" i="4"/>
  <c r="C413" i="4"/>
  <c r="D413" i="4" s="1"/>
  <c r="F412" i="4"/>
  <c r="C412" i="4"/>
  <c r="D412" i="4" s="1"/>
  <c r="F411" i="4"/>
  <c r="C411" i="4"/>
  <c r="D411" i="4" s="1"/>
  <c r="F410" i="4"/>
  <c r="C410" i="4"/>
  <c r="D410" i="4" s="1"/>
  <c r="F409" i="4"/>
  <c r="C409" i="4"/>
  <c r="D409" i="4" s="1"/>
  <c r="F408" i="4"/>
  <c r="C408" i="4"/>
  <c r="D408" i="4" s="1"/>
  <c r="F407" i="4"/>
  <c r="C407" i="4"/>
  <c r="D407" i="4" s="1"/>
  <c r="F406" i="4"/>
  <c r="C406" i="4"/>
  <c r="D406" i="4" s="1"/>
  <c r="F405" i="4"/>
  <c r="C405" i="4"/>
  <c r="D405" i="4" s="1"/>
  <c r="F404" i="4"/>
  <c r="C404" i="4"/>
  <c r="D404" i="4" s="1"/>
  <c r="F403" i="4"/>
  <c r="C403" i="4"/>
  <c r="D403" i="4" s="1"/>
  <c r="F402" i="4"/>
  <c r="C402" i="4"/>
  <c r="D402" i="4" s="1"/>
  <c r="F401" i="4"/>
  <c r="C401" i="4"/>
  <c r="D401" i="4" s="1"/>
  <c r="F400" i="4"/>
  <c r="C400" i="4"/>
  <c r="D400" i="4" s="1"/>
  <c r="F399" i="4"/>
  <c r="C399" i="4"/>
  <c r="D399" i="4" s="1"/>
  <c r="F398" i="4"/>
  <c r="C398" i="4"/>
  <c r="D398" i="4" s="1"/>
  <c r="F397" i="4"/>
  <c r="C397" i="4"/>
  <c r="D397" i="4" s="1"/>
  <c r="F396" i="4"/>
  <c r="C396" i="4"/>
  <c r="D396" i="4" s="1"/>
  <c r="F395" i="4"/>
  <c r="C395" i="4"/>
  <c r="D395" i="4" s="1"/>
  <c r="F394" i="4"/>
  <c r="C394" i="4"/>
  <c r="D394" i="4" s="1"/>
  <c r="F393" i="4"/>
  <c r="C393" i="4"/>
  <c r="D393" i="4" s="1"/>
  <c r="F392" i="4"/>
  <c r="C392" i="4"/>
  <c r="D392" i="4" s="1"/>
  <c r="F391" i="4"/>
  <c r="C391" i="4"/>
  <c r="D391" i="4" s="1"/>
  <c r="F390" i="4"/>
  <c r="C390" i="4"/>
  <c r="D390" i="4" s="1"/>
  <c r="F389" i="4"/>
  <c r="C389" i="4"/>
  <c r="D389" i="4" s="1"/>
  <c r="F388" i="4"/>
  <c r="C388" i="4"/>
  <c r="D388" i="4" s="1"/>
  <c r="F387" i="4"/>
  <c r="C387" i="4"/>
  <c r="D387" i="4" s="1"/>
  <c r="F386" i="4"/>
  <c r="C386" i="4"/>
  <c r="D386" i="4" s="1"/>
  <c r="F385" i="4"/>
  <c r="C385" i="4"/>
  <c r="D385" i="4" s="1"/>
  <c r="F384" i="4"/>
  <c r="C384" i="4"/>
  <c r="D384" i="4" s="1"/>
  <c r="F383" i="4"/>
  <c r="C383" i="4"/>
  <c r="D383" i="4" s="1"/>
  <c r="F382" i="4"/>
  <c r="C382" i="4"/>
  <c r="D382" i="4" s="1"/>
  <c r="F381" i="4"/>
  <c r="C381" i="4"/>
  <c r="D381" i="4" s="1"/>
  <c r="F380" i="4"/>
  <c r="C380" i="4"/>
  <c r="D380" i="4" s="1"/>
  <c r="F379" i="4"/>
  <c r="C379" i="4"/>
  <c r="D379" i="4" s="1"/>
  <c r="F378" i="4"/>
  <c r="C378" i="4"/>
  <c r="D378" i="4" s="1"/>
  <c r="F377" i="4"/>
  <c r="C377" i="4"/>
  <c r="D377" i="4" s="1"/>
  <c r="F376" i="4"/>
  <c r="C376" i="4"/>
  <c r="D376" i="4" s="1"/>
  <c r="F375" i="4"/>
  <c r="C375" i="4"/>
  <c r="D375" i="4" s="1"/>
  <c r="F374" i="4"/>
  <c r="C374" i="4"/>
  <c r="D374" i="4" s="1"/>
  <c r="F373" i="4"/>
  <c r="C373" i="4"/>
  <c r="D373" i="4" s="1"/>
  <c r="F372" i="4"/>
  <c r="C372" i="4"/>
  <c r="D372" i="4" s="1"/>
  <c r="F371" i="4"/>
  <c r="C371" i="4"/>
  <c r="D371" i="4" s="1"/>
  <c r="F370" i="4"/>
  <c r="C370" i="4"/>
  <c r="D370" i="4" s="1"/>
  <c r="F369" i="4"/>
  <c r="C369" i="4"/>
  <c r="D369" i="4" s="1"/>
  <c r="F368" i="4"/>
  <c r="C368" i="4"/>
  <c r="D368" i="4" s="1"/>
  <c r="F367" i="4"/>
  <c r="C367" i="4"/>
  <c r="D367" i="4" s="1"/>
  <c r="F366" i="4"/>
  <c r="C366" i="4"/>
  <c r="D366" i="4" s="1"/>
  <c r="F365" i="4"/>
  <c r="C365" i="4"/>
  <c r="D365" i="4" s="1"/>
  <c r="F364" i="4"/>
  <c r="C364" i="4"/>
  <c r="D364" i="4" s="1"/>
  <c r="F363" i="4"/>
  <c r="C363" i="4"/>
  <c r="D363" i="4" s="1"/>
  <c r="F362" i="4"/>
  <c r="C362" i="4"/>
  <c r="D362" i="4" s="1"/>
  <c r="F361" i="4"/>
  <c r="C361" i="4"/>
  <c r="D361" i="4" s="1"/>
  <c r="F360" i="4"/>
  <c r="C360" i="4"/>
  <c r="D360" i="4" s="1"/>
  <c r="F359" i="4"/>
  <c r="C359" i="4"/>
  <c r="D359" i="4" s="1"/>
  <c r="F358" i="4"/>
  <c r="C358" i="4"/>
  <c r="D358" i="4" s="1"/>
  <c r="F357" i="4"/>
  <c r="C357" i="4"/>
  <c r="D357" i="4" s="1"/>
  <c r="F356" i="4"/>
  <c r="C356" i="4"/>
  <c r="D356" i="4" s="1"/>
  <c r="F355" i="4"/>
  <c r="C355" i="4"/>
  <c r="D355" i="4" s="1"/>
  <c r="F354" i="4"/>
  <c r="C354" i="4"/>
  <c r="D354" i="4" s="1"/>
  <c r="F353" i="4"/>
  <c r="C353" i="4"/>
  <c r="D353" i="4" s="1"/>
  <c r="F352" i="4"/>
  <c r="C352" i="4"/>
  <c r="D352" i="4" s="1"/>
  <c r="F351" i="4"/>
  <c r="C351" i="4"/>
  <c r="D351" i="4" s="1"/>
  <c r="F350" i="4"/>
  <c r="C350" i="4"/>
  <c r="D350" i="4" s="1"/>
  <c r="F349" i="4"/>
  <c r="C349" i="4"/>
  <c r="D349" i="4" s="1"/>
  <c r="F348" i="4"/>
  <c r="C348" i="4"/>
  <c r="D348" i="4" s="1"/>
  <c r="F347" i="4"/>
  <c r="C347" i="4"/>
  <c r="D347" i="4" s="1"/>
  <c r="F346" i="4"/>
  <c r="C346" i="4"/>
  <c r="D346" i="4" s="1"/>
  <c r="F345" i="4"/>
  <c r="C345" i="4"/>
  <c r="D345" i="4" s="1"/>
  <c r="F344" i="4"/>
  <c r="C344" i="4"/>
  <c r="D344" i="4" s="1"/>
  <c r="F343" i="4"/>
  <c r="C343" i="4"/>
  <c r="D343" i="4" s="1"/>
  <c r="F342" i="4"/>
  <c r="C342" i="4"/>
  <c r="D342" i="4" s="1"/>
  <c r="F341" i="4"/>
  <c r="C341" i="4"/>
  <c r="D341" i="4" s="1"/>
  <c r="F340" i="4"/>
  <c r="C340" i="4"/>
  <c r="D340" i="4" s="1"/>
  <c r="F339" i="4"/>
  <c r="C339" i="4"/>
  <c r="D339" i="4" s="1"/>
  <c r="F338" i="4"/>
  <c r="C338" i="4"/>
  <c r="D338" i="4" s="1"/>
  <c r="F337" i="4"/>
  <c r="C337" i="4"/>
  <c r="D337" i="4" s="1"/>
  <c r="F336" i="4"/>
  <c r="C336" i="4"/>
  <c r="D336" i="4" s="1"/>
  <c r="F335" i="4"/>
  <c r="C335" i="4"/>
  <c r="D335" i="4" s="1"/>
  <c r="F334" i="4"/>
  <c r="C334" i="4"/>
  <c r="D334" i="4" s="1"/>
  <c r="F333" i="4"/>
  <c r="C333" i="4"/>
  <c r="D333" i="4" s="1"/>
  <c r="F332" i="4"/>
  <c r="C332" i="4"/>
  <c r="D332" i="4" s="1"/>
  <c r="F331" i="4"/>
  <c r="C331" i="4"/>
  <c r="D331" i="4" s="1"/>
  <c r="F330" i="4"/>
  <c r="C330" i="4"/>
  <c r="D330" i="4" s="1"/>
  <c r="F329" i="4"/>
  <c r="C329" i="4"/>
  <c r="D329" i="4" s="1"/>
  <c r="F328" i="4"/>
  <c r="C328" i="4"/>
  <c r="D328" i="4" s="1"/>
  <c r="F327" i="4"/>
  <c r="C327" i="4"/>
  <c r="D327" i="4" s="1"/>
  <c r="F326" i="4"/>
  <c r="C326" i="4"/>
  <c r="D326" i="4" s="1"/>
  <c r="F325" i="4"/>
  <c r="C325" i="4"/>
  <c r="D325" i="4" s="1"/>
  <c r="F324" i="4"/>
  <c r="C324" i="4"/>
  <c r="D324" i="4" s="1"/>
  <c r="F323" i="4"/>
  <c r="C323" i="4"/>
  <c r="D323" i="4" s="1"/>
  <c r="F322" i="4"/>
  <c r="C322" i="4"/>
  <c r="D322" i="4" s="1"/>
  <c r="F321" i="4"/>
  <c r="C321" i="4"/>
  <c r="D321" i="4" s="1"/>
  <c r="F320" i="4"/>
  <c r="C320" i="4"/>
  <c r="D320" i="4" s="1"/>
  <c r="F319" i="4"/>
  <c r="C319" i="4"/>
  <c r="D319" i="4" s="1"/>
  <c r="F318" i="4"/>
  <c r="C318" i="4"/>
  <c r="D318" i="4" s="1"/>
  <c r="F317" i="4"/>
  <c r="C317" i="4"/>
  <c r="D317" i="4" s="1"/>
  <c r="F316" i="4"/>
  <c r="C316" i="4"/>
  <c r="D316" i="4" s="1"/>
  <c r="F315" i="4"/>
  <c r="C315" i="4"/>
  <c r="D315" i="4" s="1"/>
  <c r="F314" i="4"/>
  <c r="C314" i="4"/>
  <c r="D314" i="4" s="1"/>
  <c r="F313" i="4"/>
  <c r="C313" i="4"/>
  <c r="D313" i="4" s="1"/>
  <c r="F312" i="4"/>
  <c r="C312" i="4"/>
  <c r="D312" i="4" s="1"/>
  <c r="F311" i="4"/>
  <c r="C311" i="4"/>
  <c r="D311" i="4" s="1"/>
  <c r="F310" i="4"/>
  <c r="C310" i="4"/>
  <c r="D310" i="4" s="1"/>
  <c r="F309" i="4"/>
  <c r="C309" i="4"/>
  <c r="D309" i="4" s="1"/>
  <c r="F308" i="4"/>
  <c r="C308" i="4"/>
  <c r="D308" i="4" s="1"/>
  <c r="F307" i="4"/>
  <c r="C307" i="4"/>
  <c r="D307" i="4" s="1"/>
  <c r="F306" i="4"/>
  <c r="C306" i="4"/>
  <c r="D306" i="4" s="1"/>
  <c r="F305" i="4"/>
  <c r="C305" i="4"/>
  <c r="D305" i="4" s="1"/>
  <c r="F304" i="4"/>
  <c r="C304" i="4"/>
  <c r="D304" i="4" s="1"/>
  <c r="F303" i="4"/>
  <c r="C303" i="4"/>
  <c r="D303" i="4" s="1"/>
  <c r="F302" i="4"/>
  <c r="C302" i="4"/>
  <c r="D302" i="4" s="1"/>
  <c r="F301" i="4"/>
  <c r="C301" i="4"/>
  <c r="D301" i="4" s="1"/>
  <c r="F300" i="4"/>
  <c r="C300" i="4"/>
  <c r="D300" i="4" s="1"/>
  <c r="F299" i="4"/>
  <c r="C299" i="4"/>
  <c r="D299" i="4" s="1"/>
  <c r="F298" i="4"/>
  <c r="C298" i="4"/>
  <c r="D298" i="4" s="1"/>
  <c r="F297" i="4"/>
  <c r="C297" i="4"/>
  <c r="D297" i="4" s="1"/>
  <c r="F296" i="4"/>
  <c r="C296" i="4"/>
  <c r="D296" i="4" s="1"/>
  <c r="F295" i="4"/>
  <c r="C295" i="4"/>
  <c r="D295" i="4" s="1"/>
  <c r="F294" i="4"/>
  <c r="C294" i="4"/>
  <c r="D294" i="4" s="1"/>
  <c r="F293" i="4"/>
  <c r="C293" i="4"/>
  <c r="D293" i="4" s="1"/>
  <c r="F292" i="4"/>
  <c r="C292" i="4"/>
  <c r="D292" i="4" s="1"/>
  <c r="F291" i="4"/>
  <c r="C291" i="4"/>
  <c r="D291" i="4" s="1"/>
  <c r="F290" i="4"/>
  <c r="C290" i="4"/>
  <c r="D290" i="4" s="1"/>
  <c r="F289" i="4"/>
  <c r="C289" i="4"/>
  <c r="D289" i="4" s="1"/>
  <c r="F288" i="4"/>
  <c r="C288" i="4"/>
  <c r="D288" i="4" s="1"/>
  <c r="F287" i="4"/>
  <c r="C287" i="4"/>
  <c r="D287" i="4" s="1"/>
  <c r="F286" i="4"/>
  <c r="C286" i="4"/>
  <c r="D286" i="4" s="1"/>
  <c r="F285" i="4"/>
  <c r="C285" i="4"/>
  <c r="D285" i="4" s="1"/>
  <c r="F284" i="4"/>
  <c r="C284" i="4"/>
  <c r="D284" i="4" s="1"/>
  <c r="F283" i="4"/>
  <c r="C283" i="4"/>
  <c r="D283" i="4" s="1"/>
  <c r="F282" i="4"/>
  <c r="C282" i="4"/>
  <c r="D282" i="4" s="1"/>
  <c r="F281" i="4"/>
  <c r="C281" i="4"/>
  <c r="D281" i="4" s="1"/>
  <c r="F280" i="4"/>
  <c r="C280" i="4"/>
  <c r="D280" i="4" s="1"/>
  <c r="F279" i="4"/>
  <c r="C279" i="4"/>
  <c r="D279" i="4" s="1"/>
  <c r="F278" i="4"/>
  <c r="C278" i="4"/>
  <c r="D278" i="4" s="1"/>
  <c r="F277" i="4"/>
  <c r="C277" i="4"/>
  <c r="D277" i="4" s="1"/>
  <c r="F276" i="4"/>
  <c r="C276" i="4"/>
  <c r="D276" i="4" s="1"/>
  <c r="F275" i="4"/>
  <c r="C275" i="4"/>
  <c r="D275" i="4" s="1"/>
  <c r="F274" i="4"/>
  <c r="C274" i="4"/>
  <c r="D274" i="4" s="1"/>
  <c r="F273" i="4"/>
  <c r="C273" i="4"/>
  <c r="D273" i="4" s="1"/>
  <c r="F272" i="4"/>
  <c r="C272" i="4"/>
  <c r="D272" i="4" s="1"/>
  <c r="F271" i="4"/>
  <c r="C271" i="4"/>
  <c r="D271" i="4" s="1"/>
  <c r="F270" i="4"/>
  <c r="C270" i="4"/>
  <c r="D270" i="4" s="1"/>
  <c r="F269" i="4"/>
  <c r="C269" i="4"/>
  <c r="D269" i="4" s="1"/>
  <c r="F268" i="4"/>
  <c r="C268" i="4"/>
  <c r="D268" i="4" s="1"/>
  <c r="F267" i="4"/>
  <c r="C267" i="4"/>
  <c r="D267" i="4" s="1"/>
  <c r="F266" i="4"/>
  <c r="C266" i="4"/>
  <c r="D266" i="4" s="1"/>
  <c r="F265" i="4"/>
  <c r="C265" i="4"/>
  <c r="D265" i="4" s="1"/>
  <c r="F264" i="4"/>
  <c r="C264" i="4"/>
  <c r="D264" i="4" s="1"/>
  <c r="F263" i="4"/>
  <c r="C263" i="4"/>
  <c r="D263" i="4" s="1"/>
  <c r="F262" i="4"/>
  <c r="C262" i="4"/>
  <c r="D262" i="4" s="1"/>
  <c r="F261" i="4"/>
  <c r="C261" i="4"/>
  <c r="D261" i="4" s="1"/>
  <c r="F260" i="4"/>
  <c r="C260" i="4"/>
  <c r="D260" i="4" s="1"/>
  <c r="F259" i="4"/>
  <c r="C259" i="4"/>
  <c r="D259" i="4" s="1"/>
  <c r="F258" i="4"/>
  <c r="C258" i="4"/>
  <c r="D258" i="4" s="1"/>
  <c r="F257" i="4"/>
  <c r="C257" i="4"/>
  <c r="D257" i="4" s="1"/>
  <c r="F256" i="4"/>
  <c r="C256" i="4"/>
  <c r="D256" i="4" s="1"/>
  <c r="F255" i="4"/>
  <c r="C255" i="4"/>
  <c r="D255" i="4" s="1"/>
  <c r="F254" i="4"/>
  <c r="C254" i="4"/>
  <c r="D254" i="4" s="1"/>
  <c r="F253" i="4"/>
  <c r="C253" i="4"/>
  <c r="D253" i="4" s="1"/>
  <c r="F252" i="4"/>
  <c r="C252" i="4"/>
  <c r="D252" i="4" s="1"/>
  <c r="F251" i="4"/>
  <c r="C251" i="4"/>
  <c r="D251" i="4" s="1"/>
  <c r="F250" i="4"/>
  <c r="C250" i="4"/>
  <c r="D250" i="4" s="1"/>
  <c r="F249" i="4"/>
  <c r="C249" i="4"/>
  <c r="D249" i="4" s="1"/>
  <c r="F248" i="4"/>
  <c r="C248" i="4"/>
  <c r="D248" i="4" s="1"/>
  <c r="F247" i="4"/>
  <c r="C247" i="4"/>
  <c r="D247" i="4" s="1"/>
  <c r="F246" i="4"/>
  <c r="C246" i="4"/>
  <c r="D246" i="4" s="1"/>
  <c r="F245" i="4"/>
  <c r="C245" i="4"/>
  <c r="D245" i="4" s="1"/>
  <c r="F244" i="4"/>
  <c r="C244" i="4"/>
  <c r="D244" i="4" s="1"/>
  <c r="F243" i="4"/>
  <c r="C243" i="4"/>
  <c r="D243" i="4" s="1"/>
  <c r="F242" i="4"/>
  <c r="C242" i="4"/>
  <c r="D242" i="4" s="1"/>
  <c r="F241" i="4"/>
  <c r="C241" i="4"/>
  <c r="D241" i="4" s="1"/>
  <c r="F240" i="4"/>
  <c r="C240" i="4"/>
  <c r="D240" i="4" s="1"/>
  <c r="F239" i="4"/>
  <c r="C239" i="4"/>
  <c r="D239" i="4" s="1"/>
  <c r="F238" i="4"/>
  <c r="C238" i="4"/>
  <c r="D238" i="4" s="1"/>
  <c r="F237" i="4"/>
  <c r="C237" i="4"/>
  <c r="D237" i="4" s="1"/>
  <c r="F236" i="4"/>
  <c r="C236" i="4"/>
  <c r="D236" i="4" s="1"/>
  <c r="F235" i="4"/>
  <c r="C235" i="4"/>
  <c r="D235" i="4" s="1"/>
  <c r="F234" i="4"/>
  <c r="C234" i="4"/>
  <c r="D234" i="4" s="1"/>
  <c r="F233" i="4"/>
  <c r="C233" i="4"/>
  <c r="D233" i="4" s="1"/>
  <c r="F232" i="4"/>
  <c r="C232" i="4"/>
  <c r="D232" i="4" s="1"/>
  <c r="F231" i="4"/>
  <c r="C231" i="4"/>
  <c r="D231" i="4" s="1"/>
  <c r="F230" i="4"/>
  <c r="C230" i="4"/>
  <c r="D230" i="4" s="1"/>
  <c r="F229" i="4"/>
  <c r="C229" i="4"/>
  <c r="D229" i="4" s="1"/>
  <c r="F228" i="4"/>
  <c r="C228" i="4"/>
  <c r="D228" i="4" s="1"/>
  <c r="F227" i="4"/>
  <c r="C227" i="4"/>
  <c r="D227" i="4" s="1"/>
  <c r="F226" i="4"/>
  <c r="C226" i="4"/>
  <c r="D226" i="4" s="1"/>
  <c r="F225" i="4"/>
  <c r="C225" i="4"/>
  <c r="D225" i="4" s="1"/>
  <c r="F224" i="4"/>
  <c r="C224" i="4"/>
  <c r="D224" i="4" s="1"/>
  <c r="F223" i="4"/>
  <c r="C223" i="4"/>
  <c r="D223" i="4" s="1"/>
  <c r="F222" i="4"/>
  <c r="C222" i="4"/>
  <c r="D222" i="4" s="1"/>
  <c r="F221" i="4"/>
  <c r="C221" i="4"/>
  <c r="D221" i="4" s="1"/>
  <c r="F220" i="4"/>
  <c r="C220" i="4"/>
  <c r="D220" i="4" s="1"/>
  <c r="F219" i="4"/>
  <c r="C219" i="4"/>
  <c r="D219" i="4" s="1"/>
  <c r="F218" i="4"/>
  <c r="C218" i="4"/>
  <c r="D218" i="4" s="1"/>
  <c r="F217" i="4"/>
  <c r="C217" i="4"/>
  <c r="D217" i="4" s="1"/>
  <c r="F216" i="4"/>
  <c r="C216" i="4"/>
  <c r="D216" i="4" s="1"/>
  <c r="F215" i="4"/>
  <c r="C215" i="4"/>
  <c r="D215" i="4" s="1"/>
  <c r="F214" i="4"/>
  <c r="C214" i="4"/>
  <c r="D214" i="4" s="1"/>
  <c r="F213" i="4"/>
  <c r="C213" i="4"/>
  <c r="D213" i="4" s="1"/>
  <c r="F212" i="4"/>
  <c r="C212" i="4"/>
  <c r="D212" i="4" s="1"/>
  <c r="F211" i="4"/>
  <c r="C211" i="4"/>
  <c r="D211" i="4" s="1"/>
  <c r="F210" i="4"/>
  <c r="C210" i="4"/>
  <c r="D210" i="4" s="1"/>
  <c r="F209" i="4"/>
  <c r="C209" i="4"/>
  <c r="D209" i="4" s="1"/>
  <c r="F208" i="4"/>
  <c r="C208" i="4"/>
  <c r="D208" i="4" s="1"/>
  <c r="F207" i="4"/>
  <c r="C207" i="4"/>
  <c r="D207" i="4" s="1"/>
  <c r="F206" i="4"/>
  <c r="C206" i="4"/>
  <c r="D206" i="4" s="1"/>
  <c r="F205" i="4"/>
  <c r="C205" i="4"/>
  <c r="D205" i="4" s="1"/>
  <c r="F204" i="4"/>
  <c r="C204" i="4"/>
  <c r="D204" i="4" s="1"/>
  <c r="F203" i="4"/>
  <c r="C203" i="4"/>
  <c r="D203" i="4" s="1"/>
  <c r="F202" i="4"/>
  <c r="C202" i="4"/>
  <c r="D202" i="4" s="1"/>
  <c r="F201" i="4"/>
  <c r="C201" i="4"/>
  <c r="D201" i="4" s="1"/>
  <c r="F200" i="4"/>
  <c r="C200" i="4"/>
  <c r="D200" i="4" s="1"/>
  <c r="F199" i="4"/>
  <c r="C199" i="4"/>
  <c r="D199" i="4" s="1"/>
  <c r="F198" i="4"/>
  <c r="C198" i="4"/>
  <c r="D198" i="4" s="1"/>
  <c r="F197" i="4"/>
  <c r="C197" i="4"/>
  <c r="D197" i="4" s="1"/>
  <c r="F196" i="4"/>
  <c r="C196" i="4"/>
  <c r="D196" i="4" s="1"/>
  <c r="F195" i="4"/>
  <c r="C195" i="4"/>
  <c r="D195" i="4" s="1"/>
  <c r="F194" i="4"/>
  <c r="C194" i="4"/>
  <c r="D194" i="4" s="1"/>
  <c r="F193" i="4"/>
  <c r="C193" i="4"/>
  <c r="D193" i="4" s="1"/>
  <c r="F192" i="4"/>
  <c r="C192" i="4"/>
  <c r="D192" i="4" s="1"/>
  <c r="F191" i="4"/>
  <c r="C191" i="4"/>
  <c r="D191" i="4" s="1"/>
  <c r="F190" i="4"/>
  <c r="C190" i="4"/>
  <c r="D190" i="4" s="1"/>
  <c r="F189" i="4"/>
  <c r="C189" i="4"/>
  <c r="D189" i="4" s="1"/>
  <c r="F188" i="4"/>
  <c r="C188" i="4"/>
  <c r="D188" i="4" s="1"/>
  <c r="F187" i="4"/>
  <c r="C187" i="4"/>
  <c r="D187" i="4" s="1"/>
  <c r="F186" i="4"/>
  <c r="C186" i="4"/>
  <c r="D186" i="4" s="1"/>
  <c r="F185" i="4"/>
  <c r="C185" i="4"/>
  <c r="D185" i="4" s="1"/>
  <c r="F184" i="4"/>
  <c r="C184" i="4"/>
  <c r="D184" i="4" s="1"/>
  <c r="F183" i="4"/>
  <c r="C183" i="4"/>
  <c r="D183" i="4" s="1"/>
  <c r="F182" i="4"/>
  <c r="C182" i="4"/>
  <c r="D182" i="4" s="1"/>
  <c r="F181" i="4"/>
  <c r="C181" i="4"/>
  <c r="D181" i="4" s="1"/>
  <c r="F180" i="4"/>
  <c r="C180" i="4"/>
  <c r="D180" i="4" s="1"/>
  <c r="F179" i="4"/>
  <c r="C179" i="4"/>
  <c r="D179" i="4" s="1"/>
  <c r="F178" i="4"/>
  <c r="C178" i="4"/>
  <c r="D178" i="4" s="1"/>
  <c r="F177" i="4"/>
  <c r="C177" i="4"/>
  <c r="D177" i="4" s="1"/>
  <c r="F176" i="4"/>
  <c r="C176" i="4"/>
  <c r="D176" i="4" s="1"/>
  <c r="F175" i="4"/>
  <c r="C175" i="4"/>
  <c r="D175" i="4" s="1"/>
  <c r="F174" i="4"/>
  <c r="C174" i="4"/>
  <c r="D174" i="4" s="1"/>
  <c r="F173" i="4"/>
  <c r="C173" i="4"/>
  <c r="D173" i="4" s="1"/>
  <c r="F172" i="4"/>
  <c r="C172" i="4"/>
  <c r="D172" i="4" s="1"/>
  <c r="F171" i="4"/>
  <c r="C171" i="4"/>
  <c r="D171" i="4" s="1"/>
  <c r="F170" i="4"/>
  <c r="C170" i="4"/>
  <c r="D170" i="4" s="1"/>
  <c r="F169" i="4"/>
  <c r="C169" i="4"/>
  <c r="D169" i="4" s="1"/>
  <c r="F168" i="4"/>
  <c r="C168" i="4"/>
  <c r="D168" i="4" s="1"/>
  <c r="F167" i="4"/>
  <c r="C167" i="4"/>
  <c r="D167" i="4" s="1"/>
  <c r="F166" i="4"/>
  <c r="C166" i="4"/>
  <c r="D166" i="4" s="1"/>
  <c r="F165" i="4"/>
  <c r="C165" i="4"/>
  <c r="D165" i="4" s="1"/>
  <c r="F164" i="4"/>
  <c r="C164" i="4"/>
  <c r="D164" i="4" s="1"/>
  <c r="F163" i="4"/>
  <c r="C163" i="4"/>
  <c r="D163" i="4" s="1"/>
  <c r="F162" i="4"/>
  <c r="C162" i="4"/>
  <c r="D162" i="4" s="1"/>
  <c r="F161" i="4"/>
  <c r="C161" i="4"/>
  <c r="D161" i="4" s="1"/>
  <c r="F160" i="4"/>
  <c r="C160" i="4"/>
  <c r="D160" i="4" s="1"/>
  <c r="F159" i="4"/>
  <c r="C159" i="4"/>
  <c r="D159" i="4" s="1"/>
  <c r="F158" i="4"/>
  <c r="C158" i="4"/>
  <c r="D158" i="4" s="1"/>
  <c r="F157" i="4"/>
  <c r="C157" i="4"/>
  <c r="D157" i="4" s="1"/>
  <c r="F156" i="4"/>
  <c r="C156" i="4"/>
  <c r="D156" i="4" s="1"/>
  <c r="F155" i="4"/>
  <c r="C155" i="4"/>
  <c r="D155" i="4" s="1"/>
  <c r="F154" i="4"/>
  <c r="C154" i="4"/>
  <c r="D154" i="4" s="1"/>
  <c r="F153" i="4"/>
  <c r="C153" i="4"/>
  <c r="D153" i="4" s="1"/>
  <c r="F152" i="4"/>
  <c r="C152" i="4"/>
  <c r="D152" i="4" s="1"/>
  <c r="F151" i="4"/>
  <c r="C151" i="4"/>
  <c r="D151" i="4" s="1"/>
  <c r="F150" i="4"/>
  <c r="C150" i="4"/>
  <c r="D150" i="4" s="1"/>
  <c r="F149" i="4"/>
  <c r="C149" i="4"/>
  <c r="D149" i="4" s="1"/>
  <c r="F148" i="4"/>
  <c r="C148" i="4"/>
  <c r="D148" i="4" s="1"/>
  <c r="F147" i="4"/>
  <c r="C147" i="4"/>
  <c r="D147" i="4" s="1"/>
  <c r="F146" i="4"/>
  <c r="C146" i="4"/>
  <c r="D146" i="4" s="1"/>
  <c r="F145" i="4"/>
  <c r="C145" i="4"/>
  <c r="D145" i="4" s="1"/>
  <c r="F144" i="4"/>
  <c r="C144" i="4"/>
  <c r="D144" i="4" s="1"/>
  <c r="F143" i="4"/>
  <c r="C143" i="4"/>
  <c r="D143" i="4" s="1"/>
  <c r="F142" i="4"/>
  <c r="C142" i="4"/>
  <c r="D142" i="4" s="1"/>
  <c r="F141" i="4"/>
  <c r="C141" i="4"/>
  <c r="D141" i="4" s="1"/>
  <c r="F140" i="4"/>
  <c r="C140" i="4"/>
  <c r="D140" i="4" s="1"/>
  <c r="F139" i="4"/>
  <c r="C139" i="4"/>
  <c r="D139" i="4" s="1"/>
  <c r="F138" i="4"/>
  <c r="C138" i="4"/>
  <c r="D138" i="4" s="1"/>
  <c r="F137" i="4"/>
  <c r="C137" i="4"/>
  <c r="D137" i="4" s="1"/>
  <c r="F136" i="4"/>
  <c r="C136" i="4"/>
  <c r="D136" i="4" s="1"/>
  <c r="F135" i="4"/>
  <c r="C135" i="4"/>
  <c r="D135" i="4" s="1"/>
  <c r="F134" i="4"/>
  <c r="C134" i="4"/>
  <c r="D134" i="4" s="1"/>
  <c r="F133" i="4"/>
  <c r="C133" i="4"/>
  <c r="D133" i="4" s="1"/>
  <c r="F132" i="4"/>
  <c r="C132" i="4"/>
  <c r="D132" i="4" s="1"/>
  <c r="F131" i="4"/>
  <c r="C131" i="4"/>
  <c r="D131" i="4" s="1"/>
  <c r="F130" i="4"/>
  <c r="C130" i="4"/>
  <c r="D130" i="4" s="1"/>
  <c r="F129" i="4"/>
  <c r="C129" i="4"/>
  <c r="D129" i="4" s="1"/>
  <c r="F128" i="4"/>
  <c r="C128" i="4"/>
  <c r="D128" i="4" s="1"/>
  <c r="F127" i="4"/>
  <c r="C127" i="4"/>
  <c r="D127" i="4" s="1"/>
  <c r="F126" i="4"/>
  <c r="C126" i="4"/>
  <c r="D126" i="4" s="1"/>
  <c r="F125" i="4"/>
  <c r="C125" i="4"/>
  <c r="D125" i="4" s="1"/>
  <c r="F124" i="4"/>
  <c r="C124" i="4"/>
  <c r="D124" i="4" s="1"/>
  <c r="F123" i="4"/>
  <c r="C123" i="4"/>
  <c r="D123" i="4" s="1"/>
  <c r="F122" i="4"/>
  <c r="C122" i="4"/>
  <c r="D122" i="4" s="1"/>
  <c r="F121" i="4"/>
  <c r="H121" i="4" s="1"/>
  <c r="I121" i="4" s="1"/>
  <c r="C121" i="4"/>
  <c r="D121" i="4" s="1"/>
  <c r="F120" i="4"/>
  <c r="C120" i="4"/>
  <c r="D120" i="4" s="1"/>
  <c r="F119" i="4"/>
  <c r="C119" i="4"/>
  <c r="D119" i="4" s="1"/>
  <c r="F118" i="4"/>
  <c r="C118" i="4"/>
  <c r="D118" i="4" s="1"/>
  <c r="F117" i="4"/>
  <c r="C117" i="4"/>
  <c r="D117" i="4" s="1"/>
  <c r="F116" i="4"/>
  <c r="C116" i="4"/>
  <c r="D116" i="4" s="1"/>
  <c r="F115" i="4"/>
  <c r="C115" i="4"/>
  <c r="D115" i="4" s="1"/>
  <c r="F114" i="4"/>
  <c r="C114" i="4"/>
  <c r="D114" i="4" s="1"/>
  <c r="F113" i="4"/>
  <c r="C113" i="4"/>
  <c r="D113" i="4" s="1"/>
  <c r="F112" i="4"/>
  <c r="C112" i="4"/>
  <c r="D112" i="4" s="1"/>
  <c r="F111" i="4"/>
  <c r="C111" i="4"/>
  <c r="D111" i="4" s="1"/>
  <c r="F110" i="4"/>
  <c r="C110" i="4"/>
  <c r="D110" i="4" s="1"/>
  <c r="F109" i="4"/>
  <c r="C109" i="4"/>
  <c r="D109" i="4" s="1"/>
  <c r="F108" i="4"/>
  <c r="C108" i="4"/>
  <c r="D108" i="4" s="1"/>
  <c r="F107" i="4"/>
  <c r="C107" i="4"/>
  <c r="D107" i="4" s="1"/>
  <c r="F106" i="4"/>
  <c r="C106" i="4"/>
  <c r="D106" i="4" s="1"/>
  <c r="F105" i="4"/>
  <c r="H105" i="4" s="1"/>
  <c r="I105" i="4" s="1"/>
  <c r="C105" i="4"/>
  <c r="D105" i="4" s="1"/>
  <c r="F104" i="4"/>
  <c r="C104" i="4"/>
  <c r="D104" i="4" s="1"/>
  <c r="F103" i="4"/>
  <c r="C103" i="4"/>
  <c r="D103" i="4" s="1"/>
  <c r="F102" i="4"/>
  <c r="C102" i="4"/>
  <c r="D102" i="4" s="1"/>
  <c r="F101" i="4"/>
  <c r="C101" i="4"/>
  <c r="D101" i="4" s="1"/>
  <c r="F100" i="4"/>
  <c r="C100" i="4"/>
  <c r="D100" i="4" s="1"/>
  <c r="F99" i="4"/>
  <c r="C99" i="4"/>
  <c r="D99" i="4" s="1"/>
  <c r="F98" i="4"/>
  <c r="C98" i="4"/>
  <c r="D98" i="4" s="1"/>
  <c r="F97" i="4"/>
  <c r="C97" i="4"/>
  <c r="D97" i="4" s="1"/>
  <c r="F96" i="4"/>
  <c r="C96" i="4"/>
  <c r="D96" i="4" s="1"/>
  <c r="F95" i="4"/>
  <c r="C95" i="4"/>
  <c r="D95" i="4" s="1"/>
  <c r="F94" i="4"/>
  <c r="C94" i="4"/>
  <c r="D94" i="4" s="1"/>
  <c r="F93" i="4"/>
  <c r="C93" i="4"/>
  <c r="D93" i="4" s="1"/>
  <c r="F92" i="4"/>
  <c r="C92" i="4"/>
  <c r="D92" i="4" s="1"/>
  <c r="F91" i="4"/>
  <c r="C91" i="4"/>
  <c r="D91" i="4" s="1"/>
  <c r="F90" i="4"/>
  <c r="C90" i="4"/>
  <c r="D90" i="4" s="1"/>
  <c r="F89" i="4"/>
  <c r="C89" i="4"/>
  <c r="D89" i="4" s="1"/>
  <c r="F88" i="4"/>
  <c r="C88" i="4"/>
  <c r="D88" i="4" s="1"/>
  <c r="F87" i="4"/>
  <c r="C87" i="4"/>
  <c r="D87" i="4" s="1"/>
  <c r="F86" i="4"/>
  <c r="C86" i="4"/>
  <c r="D86" i="4" s="1"/>
  <c r="F85" i="4"/>
  <c r="C85" i="4"/>
  <c r="D85" i="4" s="1"/>
  <c r="F84" i="4"/>
  <c r="C84" i="4"/>
  <c r="D84" i="4" s="1"/>
  <c r="F83" i="4"/>
  <c r="C83" i="4"/>
  <c r="D83" i="4" s="1"/>
  <c r="F82" i="4"/>
  <c r="C82" i="4"/>
  <c r="D82" i="4" s="1"/>
  <c r="F81" i="4"/>
  <c r="C81" i="4"/>
  <c r="D81" i="4" s="1"/>
  <c r="F80" i="4"/>
  <c r="C80" i="4"/>
  <c r="D80" i="4" s="1"/>
  <c r="F79" i="4"/>
  <c r="C79" i="4"/>
  <c r="D79" i="4" s="1"/>
  <c r="F78" i="4"/>
  <c r="C78" i="4"/>
  <c r="D78" i="4" s="1"/>
  <c r="F77" i="4"/>
  <c r="C77" i="4"/>
  <c r="D77" i="4" s="1"/>
  <c r="F76" i="4"/>
  <c r="C76" i="4"/>
  <c r="D76" i="4" s="1"/>
  <c r="F75" i="4"/>
  <c r="C75" i="4"/>
  <c r="D75" i="4" s="1"/>
  <c r="F74" i="4"/>
  <c r="C74" i="4"/>
  <c r="D74" i="4" s="1"/>
  <c r="F73" i="4"/>
  <c r="C73" i="4"/>
  <c r="D73" i="4" s="1"/>
  <c r="F72" i="4"/>
  <c r="C72" i="4"/>
  <c r="D72" i="4" s="1"/>
  <c r="F71" i="4"/>
  <c r="C71" i="4"/>
  <c r="D71" i="4" s="1"/>
  <c r="F70" i="4"/>
  <c r="C70" i="4"/>
  <c r="D70" i="4" s="1"/>
  <c r="F69" i="4"/>
  <c r="C69" i="4"/>
  <c r="D69" i="4" s="1"/>
  <c r="F68" i="4"/>
  <c r="C68" i="4"/>
  <c r="D68" i="4" s="1"/>
  <c r="F67" i="4"/>
  <c r="C67" i="4"/>
  <c r="D67" i="4" s="1"/>
  <c r="F66" i="4"/>
  <c r="C66" i="4"/>
  <c r="D66" i="4" s="1"/>
  <c r="F65" i="4"/>
  <c r="C65" i="4"/>
  <c r="D65" i="4" s="1"/>
  <c r="F64" i="4"/>
  <c r="C64" i="4"/>
  <c r="D64" i="4" s="1"/>
  <c r="F63" i="4"/>
  <c r="C63" i="4"/>
  <c r="D63" i="4" s="1"/>
  <c r="F62" i="4"/>
  <c r="C62" i="4"/>
  <c r="D62" i="4" s="1"/>
  <c r="F61" i="4"/>
  <c r="C61" i="4"/>
  <c r="D61" i="4" s="1"/>
  <c r="F60" i="4"/>
  <c r="C60" i="4"/>
  <c r="D60" i="4" s="1"/>
  <c r="F59" i="4"/>
  <c r="C59" i="4"/>
  <c r="D59" i="4" s="1"/>
  <c r="F58" i="4"/>
  <c r="C58" i="4"/>
  <c r="D58" i="4" s="1"/>
  <c r="F57" i="4"/>
  <c r="C57" i="4"/>
  <c r="D57" i="4" s="1"/>
  <c r="F56" i="4"/>
  <c r="C56" i="4"/>
  <c r="D56" i="4" s="1"/>
  <c r="F55" i="4"/>
  <c r="C55" i="4"/>
  <c r="D55" i="4" s="1"/>
  <c r="F54" i="4"/>
  <c r="C54" i="4"/>
  <c r="D54" i="4" s="1"/>
  <c r="F53" i="4"/>
  <c r="C53" i="4"/>
  <c r="D53" i="4" s="1"/>
  <c r="F52" i="4"/>
  <c r="C52" i="4"/>
  <c r="D52" i="4" s="1"/>
  <c r="F51" i="4"/>
  <c r="C51" i="4"/>
  <c r="D51" i="4" s="1"/>
  <c r="F50" i="4"/>
  <c r="C50" i="4"/>
  <c r="D50" i="4" s="1"/>
  <c r="F49" i="4"/>
  <c r="C49" i="4"/>
  <c r="D49" i="4" s="1"/>
  <c r="F48" i="4"/>
  <c r="C48" i="4"/>
  <c r="D48" i="4" s="1"/>
  <c r="F47" i="4"/>
  <c r="C47" i="4"/>
  <c r="D47" i="4" s="1"/>
  <c r="F46" i="4"/>
  <c r="C46" i="4"/>
  <c r="D46" i="4" s="1"/>
  <c r="F45" i="4"/>
  <c r="C45" i="4"/>
  <c r="D45" i="4" s="1"/>
  <c r="F44" i="4"/>
  <c r="C44" i="4"/>
  <c r="D44" i="4" s="1"/>
  <c r="F43" i="4"/>
  <c r="C43" i="4"/>
  <c r="D43" i="4" s="1"/>
  <c r="F42" i="4"/>
  <c r="C42" i="4"/>
  <c r="D42" i="4" s="1"/>
  <c r="F41" i="4"/>
  <c r="C41" i="4"/>
  <c r="D41" i="4" s="1"/>
  <c r="F40" i="4"/>
  <c r="C40" i="4"/>
  <c r="D40" i="4" s="1"/>
  <c r="F39" i="4"/>
  <c r="C39" i="4"/>
  <c r="D39" i="4" s="1"/>
  <c r="F38" i="4"/>
  <c r="C38" i="4"/>
  <c r="D38" i="4" s="1"/>
  <c r="F37" i="4"/>
  <c r="C37" i="4"/>
  <c r="D37" i="4" s="1"/>
  <c r="F36" i="4"/>
  <c r="C36" i="4"/>
  <c r="D36" i="4" s="1"/>
  <c r="F35" i="4"/>
  <c r="C35" i="4"/>
  <c r="D35" i="4" s="1"/>
  <c r="F34" i="4"/>
  <c r="C34" i="4"/>
  <c r="D34" i="4" s="1"/>
  <c r="F33" i="4"/>
  <c r="C33" i="4"/>
  <c r="D33" i="4" s="1"/>
  <c r="F32" i="4"/>
  <c r="C32" i="4"/>
  <c r="D32" i="4" s="1"/>
  <c r="F31" i="4"/>
  <c r="C31" i="4"/>
  <c r="D31" i="4" s="1"/>
  <c r="F30" i="4"/>
  <c r="C30" i="4"/>
  <c r="D30" i="4" s="1"/>
  <c r="F29" i="4"/>
  <c r="C29" i="4"/>
  <c r="D29" i="4" s="1"/>
  <c r="F28" i="4"/>
  <c r="C28" i="4"/>
  <c r="D28" i="4" s="1"/>
  <c r="F27" i="4"/>
  <c r="C27" i="4"/>
  <c r="D27" i="4" s="1"/>
  <c r="F26" i="4"/>
  <c r="C26" i="4"/>
  <c r="D26" i="4" s="1"/>
  <c r="F25" i="4"/>
  <c r="C25" i="4"/>
  <c r="D25" i="4" s="1"/>
  <c r="F24" i="4"/>
  <c r="C24" i="4"/>
  <c r="D24" i="4" s="1"/>
  <c r="F23" i="4"/>
  <c r="C23" i="4"/>
  <c r="D23" i="4" s="1"/>
  <c r="F22" i="4"/>
  <c r="C22" i="4"/>
  <c r="D22" i="4" s="1"/>
  <c r="F21" i="4"/>
  <c r="C21" i="4"/>
  <c r="D21" i="4" s="1"/>
  <c r="F20" i="4"/>
  <c r="C20" i="4"/>
  <c r="D20" i="4" s="1"/>
  <c r="F19" i="4"/>
  <c r="C19" i="4"/>
  <c r="D19" i="4" s="1"/>
  <c r="F18" i="4"/>
  <c r="C18" i="4"/>
  <c r="D18" i="4" s="1"/>
  <c r="F17" i="4"/>
  <c r="C17" i="4"/>
  <c r="D17" i="4" s="1"/>
  <c r="F16" i="4"/>
  <c r="C16" i="4"/>
  <c r="D16" i="4" s="1"/>
  <c r="F15" i="4"/>
  <c r="C15" i="4"/>
  <c r="D15" i="4" s="1"/>
  <c r="F14" i="4"/>
  <c r="C14" i="4"/>
  <c r="D14" i="4" s="1"/>
  <c r="F13" i="4"/>
  <c r="C13" i="4"/>
  <c r="D13" i="4" s="1"/>
  <c r="F12" i="4"/>
  <c r="C12" i="4"/>
  <c r="D12" i="4" s="1"/>
  <c r="F11" i="4"/>
  <c r="C11" i="4"/>
  <c r="D11" i="4" s="1"/>
  <c r="F10" i="4"/>
  <c r="C10" i="4"/>
  <c r="D10" i="4" s="1"/>
  <c r="F9" i="4"/>
  <c r="C9" i="4"/>
  <c r="D9" i="4" s="1"/>
  <c r="F8" i="4"/>
  <c r="C8" i="4"/>
  <c r="D8" i="4" s="1"/>
  <c r="F7" i="4"/>
  <c r="C7" i="4"/>
  <c r="D7" i="4" s="1"/>
  <c r="F6" i="4"/>
  <c r="C6" i="4"/>
  <c r="D6" i="4" s="1"/>
  <c r="F5" i="4"/>
  <c r="C5" i="4"/>
  <c r="D5" i="4" s="1"/>
  <c r="F4" i="4"/>
  <c r="C4" i="4"/>
  <c r="D4" i="4" s="1"/>
  <c r="F3" i="4"/>
  <c r="C3" i="4"/>
  <c r="D3" i="4" s="1"/>
  <c r="F2" i="4"/>
  <c r="C2" i="4"/>
  <c r="F1001" i="3"/>
  <c r="C1001" i="3"/>
  <c r="D1001" i="3" s="1"/>
  <c r="F1000" i="3"/>
  <c r="C1000" i="3"/>
  <c r="D1000" i="3" s="1"/>
  <c r="F999" i="3"/>
  <c r="C999" i="3"/>
  <c r="D999" i="3" s="1"/>
  <c r="F998" i="3"/>
  <c r="C998" i="3"/>
  <c r="D998" i="3" s="1"/>
  <c r="F997" i="3"/>
  <c r="C997" i="3"/>
  <c r="D997" i="3" s="1"/>
  <c r="F996" i="3"/>
  <c r="C996" i="3"/>
  <c r="D996" i="3" s="1"/>
  <c r="F995" i="3"/>
  <c r="C995" i="3"/>
  <c r="D995" i="3" s="1"/>
  <c r="F994" i="3"/>
  <c r="C994" i="3"/>
  <c r="D994" i="3" s="1"/>
  <c r="F993" i="3"/>
  <c r="C993" i="3"/>
  <c r="D993" i="3" s="1"/>
  <c r="F992" i="3"/>
  <c r="C992" i="3"/>
  <c r="D992" i="3" s="1"/>
  <c r="F991" i="3"/>
  <c r="C991" i="3"/>
  <c r="D991" i="3" s="1"/>
  <c r="F990" i="3"/>
  <c r="C990" i="3"/>
  <c r="D990" i="3" s="1"/>
  <c r="F989" i="3"/>
  <c r="C989" i="3"/>
  <c r="D989" i="3" s="1"/>
  <c r="F988" i="3"/>
  <c r="C988" i="3"/>
  <c r="D988" i="3" s="1"/>
  <c r="F987" i="3"/>
  <c r="C987" i="3"/>
  <c r="D987" i="3" s="1"/>
  <c r="F986" i="3"/>
  <c r="C986" i="3"/>
  <c r="D986" i="3" s="1"/>
  <c r="F985" i="3"/>
  <c r="C985" i="3"/>
  <c r="D985" i="3" s="1"/>
  <c r="F984" i="3"/>
  <c r="C984" i="3"/>
  <c r="D984" i="3" s="1"/>
  <c r="F983" i="3"/>
  <c r="C983" i="3"/>
  <c r="D983" i="3" s="1"/>
  <c r="F982" i="3"/>
  <c r="C982" i="3"/>
  <c r="D982" i="3" s="1"/>
  <c r="F981" i="3"/>
  <c r="C981" i="3"/>
  <c r="D981" i="3" s="1"/>
  <c r="F980" i="3"/>
  <c r="C980" i="3"/>
  <c r="D980" i="3" s="1"/>
  <c r="F979" i="3"/>
  <c r="C979" i="3"/>
  <c r="D979" i="3" s="1"/>
  <c r="F978" i="3"/>
  <c r="C978" i="3"/>
  <c r="D978" i="3" s="1"/>
  <c r="F977" i="3"/>
  <c r="C977" i="3"/>
  <c r="D977" i="3" s="1"/>
  <c r="F976" i="3"/>
  <c r="C976" i="3"/>
  <c r="D976" i="3" s="1"/>
  <c r="F975" i="3"/>
  <c r="C975" i="3"/>
  <c r="D975" i="3" s="1"/>
  <c r="F974" i="3"/>
  <c r="C974" i="3"/>
  <c r="D974" i="3" s="1"/>
  <c r="F973" i="3"/>
  <c r="C973" i="3"/>
  <c r="D973" i="3" s="1"/>
  <c r="F972" i="3"/>
  <c r="C972" i="3"/>
  <c r="D972" i="3" s="1"/>
  <c r="F971" i="3"/>
  <c r="C971" i="3"/>
  <c r="D971" i="3" s="1"/>
  <c r="F970" i="3"/>
  <c r="C970" i="3"/>
  <c r="D970" i="3" s="1"/>
  <c r="F969" i="3"/>
  <c r="C969" i="3"/>
  <c r="D969" i="3" s="1"/>
  <c r="F968" i="3"/>
  <c r="C968" i="3"/>
  <c r="D968" i="3" s="1"/>
  <c r="F967" i="3"/>
  <c r="C967" i="3"/>
  <c r="D967" i="3" s="1"/>
  <c r="F966" i="3"/>
  <c r="C966" i="3"/>
  <c r="D966" i="3" s="1"/>
  <c r="F965" i="3"/>
  <c r="C965" i="3"/>
  <c r="D965" i="3" s="1"/>
  <c r="F964" i="3"/>
  <c r="C964" i="3"/>
  <c r="D964" i="3" s="1"/>
  <c r="F963" i="3"/>
  <c r="C963" i="3"/>
  <c r="D963" i="3" s="1"/>
  <c r="F962" i="3"/>
  <c r="C962" i="3"/>
  <c r="D962" i="3" s="1"/>
  <c r="F961" i="3"/>
  <c r="C961" i="3"/>
  <c r="D961" i="3" s="1"/>
  <c r="F960" i="3"/>
  <c r="C960" i="3"/>
  <c r="D960" i="3" s="1"/>
  <c r="F959" i="3"/>
  <c r="C959" i="3"/>
  <c r="D959" i="3" s="1"/>
  <c r="F958" i="3"/>
  <c r="C958" i="3"/>
  <c r="D958" i="3" s="1"/>
  <c r="F957" i="3"/>
  <c r="C957" i="3"/>
  <c r="D957" i="3" s="1"/>
  <c r="F956" i="3"/>
  <c r="C956" i="3"/>
  <c r="D956" i="3" s="1"/>
  <c r="F955" i="3"/>
  <c r="C955" i="3"/>
  <c r="D955" i="3" s="1"/>
  <c r="F954" i="3"/>
  <c r="C954" i="3"/>
  <c r="D954" i="3" s="1"/>
  <c r="F953" i="3"/>
  <c r="C953" i="3"/>
  <c r="D953" i="3" s="1"/>
  <c r="F952" i="3"/>
  <c r="C952" i="3"/>
  <c r="D952" i="3" s="1"/>
  <c r="F951" i="3"/>
  <c r="C951" i="3"/>
  <c r="D951" i="3" s="1"/>
  <c r="F950" i="3"/>
  <c r="C950" i="3"/>
  <c r="D950" i="3" s="1"/>
  <c r="F949" i="3"/>
  <c r="C949" i="3"/>
  <c r="D949" i="3" s="1"/>
  <c r="F948" i="3"/>
  <c r="C948" i="3"/>
  <c r="D948" i="3" s="1"/>
  <c r="F947" i="3"/>
  <c r="C947" i="3"/>
  <c r="D947" i="3" s="1"/>
  <c r="F946" i="3"/>
  <c r="C946" i="3"/>
  <c r="D946" i="3" s="1"/>
  <c r="F945" i="3"/>
  <c r="C945" i="3"/>
  <c r="D945" i="3" s="1"/>
  <c r="F944" i="3"/>
  <c r="C944" i="3"/>
  <c r="D944" i="3" s="1"/>
  <c r="F943" i="3"/>
  <c r="C943" i="3"/>
  <c r="D943" i="3" s="1"/>
  <c r="F942" i="3"/>
  <c r="C942" i="3"/>
  <c r="D942" i="3" s="1"/>
  <c r="F941" i="3"/>
  <c r="C941" i="3"/>
  <c r="D941" i="3" s="1"/>
  <c r="F940" i="3"/>
  <c r="C940" i="3"/>
  <c r="D940" i="3" s="1"/>
  <c r="F939" i="3"/>
  <c r="C939" i="3"/>
  <c r="D939" i="3" s="1"/>
  <c r="F938" i="3"/>
  <c r="C938" i="3"/>
  <c r="D938" i="3" s="1"/>
  <c r="F937" i="3"/>
  <c r="C937" i="3"/>
  <c r="D937" i="3" s="1"/>
  <c r="F936" i="3"/>
  <c r="C936" i="3"/>
  <c r="D936" i="3" s="1"/>
  <c r="F935" i="3"/>
  <c r="C935" i="3"/>
  <c r="D935" i="3" s="1"/>
  <c r="F934" i="3"/>
  <c r="C934" i="3"/>
  <c r="D934" i="3" s="1"/>
  <c r="F933" i="3"/>
  <c r="C933" i="3"/>
  <c r="D933" i="3" s="1"/>
  <c r="F932" i="3"/>
  <c r="C932" i="3"/>
  <c r="D932" i="3" s="1"/>
  <c r="F931" i="3"/>
  <c r="C931" i="3"/>
  <c r="D931" i="3" s="1"/>
  <c r="F930" i="3"/>
  <c r="C930" i="3"/>
  <c r="D930" i="3" s="1"/>
  <c r="F929" i="3"/>
  <c r="C929" i="3"/>
  <c r="D929" i="3" s="1"/>
  <c r="F928" i="3"/>
  <c r="C928" i="3"/>
  <c r="D928" i="3" s="1"/>
  <c r="F927" i="3"/>
  <c r="C927" i="3"/>
  <c r="D927" i="3" s="1"/>
  <c r="F926" i="3"/>
  <c r="C926" i="3"/>
  <c r="D926" i="3" s="1"/>
  <c r="F925" i="3"/>
  <c r="C925" i="3"/>
  <c r="D925" i="3" s="1"/>
  <c r="F924" i="3"/>
  <c r="C924" i="3"/>
  <c r="D924" i="3" s="1"/>
  <c r="F923" i="3"/>
  <c r="C923" i="3"/>
  <c r="D923" i="3" s="1"/>
  <c r="F922" i="3"/>
  <c r="C922" i="3"/>
  <c r="D922" i="3" s="1"/>
  <c r="F921" i="3"/>
  <c r="C921" i="3"/>
  <c r="D921" i="3" s="1"/>
  <c r="F920" i="3"/>
  <c r="C920" i="3"/>
  <c r="D920" i="3" s="1"/>
  <c r="F919" i="3"/>
  <c r="C919" i="3"/>
  <c r="D919" i="3" s="1"/>
  <c r="F918" i="3"/>
  <c r="C918" i="3"/>
  <c r="D918" i="3" s="1"/>
  <c r="F917" i="3"/>
  <c r="C917" i="3"/>
  <c r="D917" i="3" s="1"/>
  <c r="F916" i="3"/>
  <c r="C916" i="3"/>
  <c r="D916" i="3" s="1"/>
  <c r="F915" i="3"/>
  <c r="C915" i="3"/>
  <c r="D915" i="3" s="1"/>
  <c r="F914" i="3"/>
  <c r="C914" i="3"/>
  <c r="D914" i="3" s="1"/>
  <c r="F913" i="3"/>
  <c r="C913" i="3"/>
  <c r="D913" i="3" s="1"/>
  <c r="F912" i="3"/>
  <c r="C912" i="3"/>
  <c r="D912" i="3" s="1"/>
  <c r="F911" i="3"/>
  <c r="C911" i="3"/>
  <c r="D911" i="3" s="1"/>
  <c r="F910" i="3"/>
  <c r="C910" i="3"/>
  <c r="D910" i="3" s="1"/>
  <c r="F909" i="3"/>
  <c r="C909" i="3"/>
  <c r="D909" i="3" s="1"/>
  <c r="F908" i="3"/>
  <c r="C908" i="3"/>
  <c r="D908" i="3" s="1"/>
  <c r="F907" i="3"/>
  <c r="C907" i="3"/>
  <c r="D907" i="3" s="1"/>
  <c r="F906" i="3"/>
  <c r="C906" i="3"/>
  <c r="D906" i="3" s="1"/>
  <c r="F905" i="3"/>
  <c r="C905" i="3"/>
  <c r="D905" i="3" s="1"/>
  <c r="F904" i="3"/>
  <c r="C904" i="3"/>
  <c r="D904" i="3" s="1"/>
  <c r="F903" i="3"/>
  <c r="C903" i="3"/>
  <c r="D903" i="3" s="1"/>
  <c r="F902" i="3"/>
  <c r="C902" i="3"/>
  <c r="D902" i="3" s="1"/>
  <c r="F901" i="3"/>
  <c r="C901" i="3"/>
  <c r="D901" i="3" s="1"/>
  <c r="F900" i="3"/>
  <c r="C900" i="3"/>
  <c r="D900" i="3" s="1"/>
  <c r="F899" i="3"/>
  <c r="C899" i="3"/>
  <c r="D899" i="3" s="1"/>
  <c r="F898" i="3"/>
  <c r="C898" i="3"/>
  <c r="D898" i="3" s="1"/>
  <c r="F897" i="3"/>
  <c r="C897" i="3"/>
  <c r="D897" i="3" s="1"/>
  <c r="F896" i="3"/>
  <c r="C896" i="3"/>
  <c r="D896" i="3" s="1"/>
  <c r="F895" i="3"/>
  <c r="C895" i="3"/>
  <c r="D895" i="3" s="1"/>
  <c r="F894" i="3"/>
  <c r="C894" i="3"/>
  <c r="D894" i="3" s="1"/>
  <c r="F893" i="3"/>
  <c r="C893" i="3"/>
  <c r="D893" i="3" s="1"/>
  <c r="F892" i="3"/>
  <c r="C892" i="3"/>
  <c r="D892" i="3" s="1"/>
  <c r="F891" i="3"/>
  <c r="C891" i="3"/>
  <c r="D891" i="3" s="1"/>
  <c r="F890" i="3"/>
  <c r="C890" i="3"/>
  <c r="D890" i="3" s="1"/>
  <c r="F889" i="3"/>
  <c r="C889" i="3"/>
  <c r="D889" i="3" s="1"/>
  <c r="F888" i="3"/>
  <c r="C888" i="3"/>
  <c r="D888" i="3" s="1"/>
  <c r="F887" i="3"/>
  <c r="C887" i="3"/>
  <c r="D887" i="3" s="1"/>
  <c r="F886" i="3"/>
  <c r="C886" i="3"/>
  <c r="D886" i="3" s="1"/>
  <c r="F885" i="3"/>
  <c r="C885" i="3"/>
  <c r="D885" i="3" s="1"/>
  <c r="F884" i="3"/>
  <c r="C884" i="3"/>
  <c r="D884" i="3" s="1"/>
  <c r="F883" i="3"/>
  <c r="C883" i="3"/>
  <c r="D883" i="3" s="1"/>
  <c r="F882" i="3"/>
  <c r="C882" i="3"/>
  <c r="D882" i="3" s="1"/>
  <c r="F881" i="3"/>
  <c r="C881" i="3"/>
  <c r="D881" i="3" s="1"/>
  <c r="F880" i="3"/>
  <c r="C880" i="3"/>
  <c r="D880" i="3" s="1"/>
  <c r="F879" i="3"/>
  <c r="C879" i="3"/>
  <c r="D879" i="3" s="1"/>
  <c r="F878" i="3"/>
  <c r="C878" i="3"/>
  <c r="D878" i="3" s="1"/>
  <c r="F877" i="3"/>
  <c r="C877" i="3"/>
  <c r="D877" i="3" s="1"/>
  <c r="F876" i="3"/>
  <c r="C876" i="3"/>
  <c r="D876" i="3" s="1"/>
  <c r="F875" i="3"/>
  <c r="C875" i="3"/>
  <c r="D875" i="3" s="1"/>
  <c r="F874" i="3"/>
  <c r="C874" i="3"/>
  <c r="D874" i="3" s="1"/>
  <c r="F873" i="3"/>
  <c r="C873" i="3"/>
  <c r="D873" i="3" s="1"/>
  <c r="F872" i="3"/>
  <c r="C872" i="3"/>
  <c r="D872" i="3" s="1"/>
  <c r="F871" i="3"/>
  <c r="C871" i="3"/>
  <c r="D871" i="3" s="1"/>
  <c r="F870" i="3"/>
  <c r="C870" i="3"/>
  <c r="D870" i="3" s="1"/>
  <c r="F869" i="3"/>
  <c r="C869" i="3"/>
  <c r="D869" i="3" s="1"/>
  <c r="F868" i="3"/>
  <c r="C868" i="3"/>
  <c r="D868" i="3" s="1"/>
  <c r="F867" i="3"/>
  <c r="C867" i="3"/>
  <c r="D867" i="3" s="1"/>
  <c r="F866" i="3"/>
  <c r="C866" i="3"/>
  <c r="D866" i="3" s="1"/>
  <c r="F865" i="3"/>
  <c r="C865" i="3"/>
  <c r="D865" i="3" s="1"/>
  <c r="F864" i="3"/>
  <c r="C864" i="3"/>
  <c r="D864" i="3" s="1"/>
  <c r="F863" i="3"/>
  <c r="C863" i="3"/>
  <c r="D863" i="3" s="1"/>
  <c r="F862" i="3"/>
  <c r="C862" i="3"/>
  <c r="D862" i="3" s="1"/>
  <c r="F861" i="3"/>
  <c r="C861" i="3"/>
  <c r="D861" i="3" s="1"/>
  <c r="F860" i="3"/>
  <c r="C860" i="3"/>
  <c r="D860" i="3" s="1"/>
  <c r="F859" i="3"/>
  <c r="C859" i="3"/>
  <c r="D859" i="3" s="1"/>
  <c r="F858" i="3"/>
  <c r="C858" i="3"/>
  <c r="D858" i="3" s="1"/>
  <c r="F857" i="3"/>
  <c r="C857" i="3"/>
  <c r="D857" i="3" s="1"/>
  <c r="F856" i="3"/>
  <c r="C856" i="3"/>
  <c r="D856" i="3" s="1"/>
  <c r="F855" i="3"/>
  <c r="C855" i="3"/>
  <c r="D855" i="3" s="1"/>
  <c r="F854" i="3"/>
  <c r="C854" i="3"/>
  <c r="D854" i="3" s="1"/>
  <c r="F853" i="3"/>
  <c r="C853" i="3"/>
  <c r="D853" i="3" s="1"/>
  <c r="F852" i="3"/>
  <c r="C852" i="3"/>
  <c r="D852" i="3" s="1"/>
  <c r="F851" i="3"/>
  <c r="C851" i="3"/>
  <c r="D851" i="3" s="1"/>
  <c r="F850" i="3"/>
  <c r="C850" i="3"/>
  <c r="D850" i="3" s="1"/>
  <c r="F849" i="3"/>
  <c r="C849" i="3"/>
  <c r="D849" i="3" s="1"/>
  <c r="F848" i="3"/>
  <c r="C848" i="3"/>
  <c r="D848" i="3" s="1"/>
  <c r="F847" i="3"/>
  <c r="C847" i="3"/>
  <c r="D847" i="3" s="1"/>
  <c r="F846" i="3"/>
  <c r="C846" i="3"/>
  <c r="D846" i="3" s="1"/>
  <c r="F845" i="3"/>
  <c r="C845" i="3"/>
  <c r="D845" i="3" s="1"/>
  <c r="F844" i="3"/>
  <c r="C844" i="3"/>
  <c r="D844" i="3" s="1"/>
  <c r="F843" i="3"/>
  <c r="C843" i="3"/>
  <c r="D843" i="3" s="1"/>
  <c r="F842" i="3"/>
  <c r="C842" i="3"/>
  <c r="D842" i="3" s="1"/>
  <c r="F841" i="3"/>
  <c r="C841" i="3"/>
  <c r="D841" i="3" s="1"/>
  <c r="F840" i="3"/>
  <c r="C840" i="3"/>
  <c r="D840" i="3" s="1"/>
  <c r="F839" i="3"/>
  <c r="C839" i="3"/>
  <c r="D839" i="3" s="1"/>
  <c r="F838" i="3"/>
  <c r="C838" i="3"/>
  <c r="D838" i="3" s="1"/>
  <c r="F837" i="3"/>
  <c r="C837" i="3"/>
  <c r="D837" i="3" s="1"/>
  <c r="F836" i="3"/>
  <c r="C836" i="3"/>
  <c r="D836" i="3" s="1"/>
  <c r="F835" i="3"/>
  <c r="C835" i="3"/>
  <c r="D835" i="3" s="1"/>
  <c r="F834" i="3"/>
  <c r="C834" i="3"/>
  <c r="D834" i="3" s="1"/>
  <c r="F833" i="3"/>
  <c r="C833" i="3"/>
  <c r="D833" i="3" s="1"/>
  <c r="F832" i="3"/>
  <c r="C832" i="3"/>
  <c r="D832" i="3" s="1"/>
  <c r="F831" i="3"/>
  <c r="C831" i="3"/>
  <c r="D831" i="3" s="1"/>
  <c r="F830" i="3"/>
  <c r="C830" i="3"/>
  <c r="D830" i="3" s="1"/>
  <c r="F829" i="3"/>
  <c r="C829" i="3"/>
  <c r="D829" i="3" s="1"/>
  <c r="F828" i="3"/>
  <c r="C828" i="3"/>
  <c r="D828" i="3" s="1"/>
  <c r="F827" i="3"/>
  <c r="C827" i="3"/>
  <c r="D827" i="3" s="1"/>
  <c r="F826" i="3"/>
  <c r="C826" i="3"/>
  <c r="D826" i="3" s="1"/>
  <c r="F825" i="3"/>
  <c r="C825" i="3"/>
  <c r="D825" i="3" s="1"/>
  <c r="F824" i="3"/>
  <c r="C824" i="3"/>
  <c r="D824" i="3" s="1"/>
  <c r="F823" i="3"/>
  <c r="C823" i="3"/>
  <c r="D823" i="3" s="1"/>
  <c r="F822" i="3"/>
  <c r="C822" i="3"/>
  <c r="D822" i="3" s="1"/>
  <c r="F821" i="3"/>
  <c r="C821" i="3"/>
  <c r="D821" i="3" s="1"/>
  <c r="F820" i="3"/>
  <c r="C820" i="3"/>
  <c r="D820" i="3" s="1"/>
  <c r="F819" i="3"/>
  <c r="C819" i="3"/>
  <c r="D819" i="3" s="1"/>
  <c r="F818" i="3"/>
  <c r="C818" i="3"/>
  <c r="D818" i="3" s="1"/>
  <c r="F817" i="3"/>
  <c r="C817" i="3"/>
  <c r="D817" i="3" s="1"/>
  <c r="F816" i="3"/>
  <c r="C816" i="3"/>
  <c r="D816" i="3" s="1"/>
  <c r="F815" i="3"/>
  <c r="C815" i="3"/>
  <c r="D815" i="3" s="1"/>
  <c r="F814" i="3"/>
  <c r="C814" i="3"/>
  <c r="D814" i="3" s="1"/>
  <c r="F813" i="3"/>
  <c r="C813" i="3"/>
  <c r="D813" i="3" s="1"/>
  <c r="F812" i="3"/>
  <c r="C812" i="3"/>
  <c r="D812" i="3" s="1"/>
  <c r="F811" i="3"/>
  <c r="C811" i="3"/>
  <c r="D811" i="3" s="1"/>
  <c r="F810" i="3"/>
  <c r="C810" i="3"/>
  <c r="D810" i="3" s="1"/>
  <c r="F809" i="3"/>
  <c r="C809" i="3"/>
  <c r="D809" i="3" s="1"/>
  <c r="F808" i="3"/>
  <c r="C808" i="3"/>
  <c r="D808" i="3" s="1"/>
  <c r="F807" i="3"/>
  <c r="C807" i="3"/>
  <c r="D807" i="3" s="1"/>
  <c r="F806" i="3"/>
  <c r="C806" i="3"/>
  <c r="D806" i="3" s="1"/>
  <c r="F805" i="3"/>
  <c r="C805" i="3"/>
  <c r="D805" i="3" s="1"/>
  <c r="F804" i="3"/>
  <c r="C804" i="3"/>
  <c r="D804" i="3" s="1"/>
  <c r="F803" i="3"/>
  <c r="C803" i="3"/>
  <c r="D803" i="3" s="1"/>
  <c r="F802" i="3"/>
  <c r="C802" i="3"/>
  <c r="D802" i="3" s="1"/>
  <c r="F801" i="3"/>
  <c r="C801" i="3"/>
  <c r="D801" i="3" s="1"/>
  <c r="F800" i="3"/>
  <c r="C800" i="3"/>
  <c r="D800" i="3" s="1"/>
  <c r="F799" i="3"/>
  <c r="C799" i="3"/>
  <c r="D799" i="3" s="1"/>
  <c r="F798" i="3"/>
  <c r="C798" i="3"/>
  <c r="D798" i="3" s="1"/>
  <c r="F797" i="3"/>
  <c r="C797" i="3"/>
  <c r="D797" i="3" s="1"/>
  <c r="F796" i="3"/>
  <c r="C796" i="3"/>
  <c r="D796" i="3" s="1"/>
  <c r="F795" i="3"/>
  <c r="C795" i="3"/>
  <c r="D795" i="3" s="1"/>
  <c r="F794" i="3"/>
  <c r="C794" i="3"/>
  <c r="D794" i="3" s="1"/>
  <c r="F793" i="3"/>
  <c r="C793" i="3"/>
  <c r="D793" i="3" s="1"/>
  <c r="F792" i="3"/>
  <c r="C792" i="3"/>
  <c r="D792" i="3" s="1"/>
  <c r="F791" i="3"/>
  <c r="C791" i="3"/>
  <c r="D791" i="3" s="1"/>
  <c r="F790" i="3"/>
  <c r="C790" i="3"/>
  <c r="D790" i="3" s="1"/>
  <c r="F789" i="3"/>
  <c r="C789" i="3"/>
  <c r="D789" i="3" s="1"/>
  <c r="F788" i="3"/>
  <c r="C788" i="3"/>
  <c r="D788" i="3" s="1"/>
  <c r="F787" i="3"/>
  <c r="C787" i="3"/>
  <c r="D787" i="3" s="1"/>
  <c r="F786" i="3"/>
  <c r="C786" i="3"/>
  <c r="D786" i="3" s="1"/>
  <c r="F785" i="3"/>
  <c r="C785" i="3"/>
  <c r="D785" i="3" s="1"/>
  <c r="F784" i="3"/>
  <c r="C784" i="3"/>
  <c r="D784" i="3" s="1"/>
  <c r="F783" i="3"/>
  <c r="C783" i="3"/>
  <c r="D783" i="3" s="1"/>
  <c r="F782" i="3"/>
  <c r="C782" i="3"/>
  <c r="D782" i="3" s="1"/>
  <c r="F781" i="3"/>
  <c r="C781" i="3"/>
  <c r="D781" i="3" s="1"/>
  <c r="F780" i="3"/>
  <c r="C780" i="3"/>
  <c r="D780" i="3" s="1"/>
  <c r="F779" i="3"/>
  <c r="C779" i="3"/>
  <c r="D779" i="3" s="1"/>
  <c r="F778" i="3"/>
  <c r="C778" i="3"/>
  <c r="D778" i="3" s="1"/>
  <c r="F777" i="3"/>
  <c r="C777" i="3"/>
  <c r="D777" i="3" s="1"/>
  <c r="F776" i="3"/>
  <c r="C776" i="3"/>
  <c r="D776" i="3" s="1"/>
  <c r="F775" i="3"/>
  <c r="C775" i="3"/>
  <c r="D775" i="3" s="1"/>
  <c r="F774" i="3"/>
  <c r="C774" i="3"/>
  <c r="D774" i="3" s="1"/>
  <c r="F773" i="3"/>
  <c r="C773" i="3"/>
  <c r="D773" i="3" s="1"/>
  <c r="F772" i="3"/>
  <c r="C772" i="3"/>
  <c r="D772" i="3" s="1"/>
  <c r="F771" i="3"/>
  <c r="C771" i="3"/>
  <c r="D771" i="3" s="1"/>
  <c r="F770" i="3"/>
  <c r="C770" i="3"/>
  <c r="D770" i="3" s="1"/>
  <c r="F769" i="3"/>
  <c r="C769" i="3"/>
  <c r="D769" i="3" s="1"/>
  <c r="F768" i="3"/>
  <c r="C768" i="3"/>
  <c r="D768" i="3" s="1"/>
  <c r="F767" i="3"/>
  <c r="C767" i="3"/>
  <c r="D767" i="3" s="1"/>
  <c r="F766" i="3"/>
  <c r="C766" i="3"/>
  <c r="D766" i="3" s="1"/>
  <c r="F765" i="3"/>
  <c r="C765" i="3"/>
  <c r="D765" i="3" s="1"/>
  <c r="F764" i="3"/>
  <c r="C764" i="3"/>
  <c r="D764" i="3" s="1"/>
  <c r="F763" i="3"/>
  <c r="C763" i="3"/>
  <c r="D763" i="3" s="1"/>
  <c r="F762" i="3"/>
  <c r="C762" i="3"/>
  <c r="D762" i="3" s="1"/>
  <c r="F761" i="3"/>
  <c r="C761" i="3"/>
  <c r="D761" i="3" s="1"/>
  <c r="F760" i="3"/>
  <c r="C760" i="3"/>
  <c r="D760" i="3" s="1"/>
  <c r="F759" i="3"/>
  <c r="C759" i="3"/>
  <c r="D759" i="3" s="1"/>
  <c r="F758" i="3"/>
  <c r="C758" i="3"/>
  <c r="D758" i="3" s="1"/>
  <c r="F757" i="3"/>
  <c r="C757" i="3"/>
  <c r="D757" i="3" s="1"/>
  <c r="F756" i="3"/>
  <c r="C756" i="3"/>
  <c r="D756" i="3" s="1"/>
  <c r="F755" i="3"/>
  <c r="C755" i="3"/>
  <c r="D755" i="3" s="1"/>
  <c r="F754" i="3"/>
  <c r="C754" i="3"/>
  <c r="D754" i="3" s="1"/>
  <c r="F753" i="3"/>
  <c r="C753" i="3"/>
  <c r="D753" i="3" s="1"/>
  <c r="F752" i="3"/>
  <c r="C752" i="3"/>
  <c r="D752" i="3" s="1"/>
  <c r="F751" i="3"/>
  <c r="C751" i="3"/>
  <c r="D751" i="3" s="1"/>
  <c r="F750" i="3"/>
  <c r="C750" i="3"/>
  <c r="D750" i="3" s="1"/>
  <c r="F749" i="3"/>
  <c r="C749" i="3"/>
  <c r="D749" i="3" s="1"/>
  <c r="F748" i="3"/>
  <c r="C748" i="3"/>
  <c r="D748" i="3" s="1"/>
  <c r="F747" i="3"/>
  <c r="C747" i="3"/>
  <c r="D747" i="3" s="1"/>
  <c r="F746" i="3"/>
  <c r="C746" i="3"/>
  <c r="D746" i="3" s="1"/>
  <c r="F745" i="3"/>
  <c r="C745" i="3"/>
  <c r="D745" i="3" s="1"/>
  <c r="F744" i="3"/>
  <c r="C744" i="3"/>
  <c r="D744" i="3" s="1"/>
  <c r="F743" i="3"/>
  <c r="C743" i="3"/>
  <c r="D743" i="3" s="1"/>
  <c r="F742" i="3"/>
  <c r="C742" i="3"/>
  <c r="D742" i="3" s="1"/>
  <c r="F741" i="3"/>
  <c r="C741" i="3"/>
  <c r="D741" i="3" s="1"/>
  <c r="F740" i="3"/>
  <c r="C740" i="3"/>
  <c r="D740" i="3" s="1"/>
  <c r="F739" i="3"/>
  <c r="C739" i="3"/>
  <c r="D739" i="3" s="1"/>
  <c r="F738" i="3"/>
  <c r="C738" i="3"/>
  <c r="D738" i="3" s="1"/>
  <c r="F737" i="3"/>
  <c r="C737" i="3"/>
  <c r="D737" i="3" s="1"/>
  <c r="F736" i="3"/>
  <c r="C736" i="3"/>
  <c r="D736" i="3" s="1"/>
  <c r="F735" i="3"/>
  <c r="C735" i="3"/>
  <c r="D735" i="3" s="1"/>
  <c r="F734" i="3"/>
  <c r="C734" i="3"/>
  <c r="D734" i="3" s="1"/>
  <c r="F733" i="3"/>
  <c r="C733" i="3"/>
  <c r="D733" i="3" s="1"/>
  <c r="F732" i="3"/>
  <c r="C732" i="3"/>
  <c r="D732" i="3" s="1"/>
  <c r="F731" i="3"/>
  <c r="C731" i="3"/>
  <c r="D731" i="3" s="1"/>
  <c r="F730" i="3"/>
  <c r="C730" i="3"/>
  <c r="D730" i="3" s="1"/>
  <c r="F729" i="3"/>
  <c r="C729" i="3"/>
  <c r="D729" i="3" s="1"/>
  <c r="F728" i="3"/>
  <c r="C728" i="3"/>
  <c r="D728" i="3" s="1"/>
  <c r="F727" i="3"/>
  <c r="C727" i="3"/>
  <c r="D727" i="3" s="1"/>
  <c r="F726" i="3"/>
  <c r="C726" i="3"/>
  <c r="D726" i="3" s="1"/>
  <c r="F725" i="3"/>
  <c r="C725" i="3"/>
  <c r="D725" i="3" s="1"/>
  <c r="F724" i="3"/>
  <c r="C724" i="3"/>
  <c r="D724" i="3" s="1"/>
  <c r="F723" i="3"/>
  <c r="C723" i="3"/>
  <c r="D723" i="3" s="1"/>
  <c r="F722" i="3"/>
  <c r="C722" i="3"/>
  <c r="D722" i="3" s="1"/>
  <c r="F721" i="3"/>
  <c r="C721" i="3"/>
  <c r="D721" i="3" s="1"/>
  <c r="F720" i="3"/>
  <c r="C720" i="3"/>
  <c r="D720" i="3" s="1"/>
  <c r="F719" i="3"/>
  <c r="C719" i="3"/>
  <c r="D719" i="3" s="1"/>
  <c r="F718" i="3"/>
  <c r="C718" i="3"/>
  <c r="D718" i="3" s="1"/>
  <c r="F717" i="3"/>
  <c r="C717" i="3"/>
  <c r="D717" i="3" s="1"/>
  <c r="F716" i="3"/>
  <c r="C716" i="3"/>
  <c r="D716" i="3" s="1"/>
  <c r="F715" i="3"/>
  <c r="C715" i="3"/>
  <c r="D715" i="3" s="1"/>
  <c r="F714" i="3"/>
  <c r="C714" i="3"/>
  <c r="D714" i="3" s="1"/>
  <c r="F713" i="3"/>
  <c r="C713" i="3"/>
  <c r="D713" i="3" s="1"/>
  <c r="F712" i="3"/>
  <c r="C712" i="3"/>
  <c r="D712" i="3" s="1"/>
  <c r="F711" i="3"/>
  <c r="C711" i="3"/>
  <c r="D711" i="3" s="1"/>
  <c r="F710" i="3"/>
  <c r="C710" i="3"/>
  <c r="D710" i="3" s="1"/>
  <c r="F709" i="3"/>
  <c r="C709" i="3"/>
  <c r="D709" i="3" s="1"/>
  <c r="F708" i="3"/>
  <c r="C708" i="3"/>
  <c r="D708" i="3" s="1"/>
  <c r="F707" i="3"/>
  <c r="C707" i="3"/>
  <c r="D707" i="3" s="1"/>
  <c r="F706" i="3"/>
  <c r="C706" i="3"/>
  <c r="D706" i="3" s="1"/>
  <c r="F705" i="3"/>
  <c r="C705" i="3"/>
  <c r="D705" i="3" s="1"/>
  <c r="F704" i="3"/>
  <c r="C704" i="3"/>
  <c r="D704" i="3" s="1"/>
  <c r="F703" i="3"/>
  <c r="C703" i="3"/>
  <c r="D703" i="3" s="1"/>
  <c r="F702" i="3"/>
  <c r="C702" i="3"/>
  <c r="D702" i="3" s="1"/>
  <c r="F701" i="3"/>
  <c r="C701" i="3"/>
  <c r="D701" i="3" s="1"/>
  <c r="F700" i="3"/>
  <c r="C700" i="3"/>
  <c r="D700" i="3" s="1"/>
  <c r="F699" i="3"/>
  <c r="C699" i="3"/>
  <c r="D699" i="3" s="1"/>
  <c r="F698" i="3"/>
  <c r="C698" i="3"/>
  <c r="D698" i="3" s="1"/>
  <c r="F697" i="3"/>
  <c r="C697" i="3"/>
  <c r="D697" i="3" s="1"/>
  <c r="F696" i="3"/>
  <c r="C696" i="3"/>
  <c r="D696" i="3" s="1"/>
  <c r="F695" i="3"/>
  <c r="C695" i="3"/>
  <c r="D695" i="3" s="1"/>
  <c r="F694" i="3"/>
  <c r="C694" i="3"/>
  <c r="D694" i="3" s="1"/>
  <c r="F693" i="3"/>
  <c r="C693" i="3"/>
  <c r="D693" i="3" s="1"/>
  <c r="F692" i="3"/>
  <c r="C692" i="3"/>
  <c r="D692" i="3" s="1"/>
  <c r="F691" i="3"/>
  <c r="C691" i="3"/>
  <c r="D691" i="3" s="1"/>
  <c r="F690" i="3"/>
  <c r="C690" i="3"/>
  <c r="D690" i="3" s="1"/>
  <c r="F689" i="3"/>
  <c r="C689" i="3"/>
  <c r="D689" i="3" s="1"/>
  <c r="F688" i="3"/>
  <c r="C688" i="3"/>
  <c r="D688" i="3" s="1"/>
  <c r="F687" i="3"/>
  <c r="C687" i="3"/>
  <c r="D687" i="3" s="1"/>
  <c r="F686" i="3"/>
  <c r="C686" i="3"/>
  <c r="D686" i="3" s="1"/>
  <c r="F685" i="3"/>
  <c r="C685" i="3"/>
  <c r="D685" i="3" s="1"/>
  <c r="F684" i="3"/>
  <c r="C684" i="3"/>
  <c r="D684" i="3" s="1"/>
  <c r="F683" i="3"/>
  <c r="C683" i="3"/>
  <c r="D683" i="3" s="1"/>
  <c r="F682" i="3"/>
  <c r="C682" i="3"/>
  <c r="D682" i="3" s="1"/>
  <c r="F681" i="3"/>
  <c r="C681" i="3"/>
  <c r="D681" i="3" s="1"/>
  <c r="F680" i="3"/>
  <c r="C680" i="3"/>
  <c r="D680" i="3" s="1"/>
  <c r="F679" i="3"/>
  <c r="C679" i="3"/>
  <c r="D679" i="3" s="1"/>
  <c r="F678" i="3"/>
  <c r="C678" i="3"/>
  <c r="D678" i="3" s="1"/>
  <c r="F677" i="3"/>
  <c r="C677" i="3"/>
  <c r="D677" i="3" s="1"/>
  <c r="F676" i="3"/>
  <c r="C676" i="3"/>
  <c r="D676" i="3" s="1"/>
  <c r="F675" i="3"/>
  <c r="C675" i="3"/>
  <c r="D675" i="3" s="1"/>
  <c r="F674" i="3"/>
  <c r="C674" i="3"/>
  <c r="D674" i="3" s="1"/>
  <c r="F673" i="3"/>
  <c r="C673" i="3"/>
  <c r="D673" i="3" s="1"/>
  <c r="F672" i="3"/>
  <c r="C672" i="3"/>
  <c r="D672" i="3" s="1"/>
  <c r="F671" i="3"/>
  <c r="C671" i="3"/>
  <c r="D671" i="3" s="1"/>
  <c r="F670" i="3"/>
  <c r="C670" i="3"/>
  <c r="D670" i="3" s="1"/>
  <c r="F669" i="3"/>
  <c r="C669" i="3"/>
  <c r="D669" i="3" s="1"/>
  <c r="F668" i="3"/>
  <c r="C668" i="3"/>
  <c r="D668" i="3" s="1"/>
  <c r="F667" i="3"/>
  <c r="C667" i="3"/>
  <c r="D667" i="3" s="1"/>
  <c r="F666" i="3"/>
  <c r="C666" i="3"/>
  <c r="D666" i="3" s="1"/>
  <c r="F665" i="3"/>
  <c r="C665" i="3"/>
  <c r="D665" i="3" s="1"/>
  <c r="F664" i="3"/>
  <c r="C664" i="3"/>
  <c r="D664" i="3" s="1"/>
  <c r="F663" i="3"/>
  <c r="C663" i="3"/>
  <c r="D663" i="3" s="1"/>
  <c r="F662" i="3"/>
  <c r="C662" i="3"/>
  <c r="D662" i="3" s="1"/>
  <c r="F661" i="3"/>
  <c r="C661" i="3"/>
  <c r="D661" i="3" s="1"/>
  <c r="F660" i="3"/>
  <c r="C660" i="3"/>
  <c r="D660" i="3" s="1"/>
  <c r="F659" i="3"/>
  <c r="C659" i="3"/>
  <c r="D659" i="3" s="1"/>
  <c r="F658" i="3"/>
  <c r="C658" i="3"/>
  <c r="D658" i="3" s="1"/>
  <c r="F657" i="3"/>
  <c r="C657" i="3"/>
  <c r="D657" i="3" s="1"/>
  <c r="F656" i="3"/>
  <c r="C656" i="3"/>
  <c r="D656" i="3" s="1"/>
  <c r="F655" i="3"/>
  <c r="C655" i="3"/>
  <c r="D655" i="3" s="1"/>
  <c r="F654" i="3"/>
  <c r="C654" i="3"/>
  <c r="D654" i="3" s="1"/>
  <c r="F653" i="3"/>
  <c r="C653" i="3"/>
  <c r="D653" i="3" s="1"/>
  <c r="F652" i="3"/>
  <c r="C652" i="3"/>
  <c r="D652" i="3" s="1"/>
  <c r="F651" i="3"/>
  <c r="C651" i="3"/>
  <c r="D651" i="3" s="1"/>
  <c r="F650" i="3"/>
  <c r="C650" i="3"/>
  <c r="D650" i="3" s="1"/>
  <c r="F649" i="3"/>
  <c r="C649" i="3"/>
  <c r="D649" i="3" s="1"/>
  <c r="F648" i="3"/>
  <c r="C648" i="3"/>
  <c r="D648" i="3" s="1"/>
  <c r="F647" i="3"/>
  <c r="C647" i="3"/>
  <c r="D647" i="3" s="1"/>
  <c r="F646" i="3"/>
  <c r="C646" i="3"/>
  <c r="D646" i="3" s="1"/>
  <c r="F645" i="3"/>
  <c r="C645" i="3"/>
  <c r="D645" i="3" s="1"/>
  <c r="F644" i="3"/>
  <c r="C644" i="3"/>
  <c r="D644" i="3" s="1"/>
  <c r="F643" i="3"/>
  <c r="C643" i="3"/>
  <c r="D643" i="3" s="1"/>
  <c r="F642" i="3"/>
  <c r="C642" i="3"/>
  <c r="D642" i="3" s="1"/>
  <c r="F641" i="3"/>
  <c r="C641" i="3"/>
  <c r="D641" i="3" s="1"/>
  <c r="F640" i="3"/>
  <c r="C640" i="3"/>
  <c r="D640" i="3" s="1"/>
  <c r="F639" i="3"/>
  <c r="C639" i="3"/>
  <c r="D639" i="3" s="1"/>
  <c r="F638" i="3"/>
  <c r="C638" i="3"/>
  <c r="D638" i="3" s="1"/>
  <c r="F637" i="3"/>
  <c r="C637" i="3"/>
  <c r="D637" i="3" s="1"/>
  <c r="F636" i="3"/>
  <c r="C636" i="3"/>
  <c r="D636" i="3" s="1"/>
  <c r="F635" i="3"/>
  <c r="C635" i="3"/>
  <c r="D635" i="3" s="1"/>
  <c r="F634" i="3"/>
  <c r="C634" i="3"/>
  <c r="D634" i="3" s="1"/>
  <c r="F633" i="3"/>
  <c r="C633" i="3"/>
  <c r="D633" i="3" s="1"/>
  <c r="F632" i="3"/>
  <c r="C632" i="3"/>
  <c r="D632" i="3" s="1"/>
  <c r="F631" i="3"/>
  <c r="C631" i="3"/>
  <c r="D631" i="3" s="1"/>
  <c r="F630" i="3"/>
  <c r="C630" i="3"/>
  <c r="D630" i="3" s="1"/>
  <c r="F629" i="3"/>
  <c r="C629" i="3"/>
  <c r="D629" i="3" s="1"/>
  <c r="F628" i="3"/>
  <c r="C628" i="3"/>
  <c r="D628" i="3" s="1"/>
  <c r="F627" i="3"/>
  <c r="C627" i="3"/>
  <c r="D627" i="3" s="1"/>
  <c r="F626" i="3"/>
  <c r="C626" i="3"/>
  <c r="D626" i="3" s="1"/>
  <c r="F625" i="3"/>
  <c r="C625" i="3"/>
  <c r="D625" i="3" s="1"/>
  <c r="F624" i="3"/>
  <c r="C624" i="3"/>
  <c r="D624" i="3" s="1"/>
  <c r="F623" i="3"/>
  <c r="C623" i="3"/>
  <c r="D623" i="3" s="1"/>
  <c r="F622" i="3"/>
  <c r="C622" i="3"/>
  <c r="D622" i="3" s="1"/>
  <c r="F621" i="3"/>
  <c r="C621" i="3"/>
  <c r="D621" i="3" s="1"/>
  <c r="F620" i="3"/>
  <c r="C620" i="3"/>
  <c r="D620" i="3" s="1"/>
  <c r="F619" i="3"/>
  <c r="C619" i="3"/>
  <c r="D619" i="3" s="1"/>
  <c r="F618" i="3"/>
  <c r="C618" i="3"/>
  <c r="D618" i="3" s="1"/>
  <c r="F617" i="3"/>
  <c r="C617" i="3"/>
  <c r="D617" i="3" s="1"/>
  <c r="F616" i="3"/>
  <c r="C616" i="3"/>
  <c r="D616" i="3" s="1"/>
  <c r="F615" i="3"/>
  <c r="C615" i="3"/>
  <c r="D615" i="3" s="1"/>
  <c r="F614" i="3"/>
  <c r="C614" i="3"/>
  <c r="D614" i="3" s="1"/>
  <c r="F613" i="3"/>
  <c r="C613" i="3"/>
  <c r="D613" i="3" s="1"/>
  <c r="F612" i="3"/>
  <c r="C612" i="3"/>
  <c r="D612" i="3" s="1"/>
  <c r="F611" i="3"/>
  <c r="C611" i="3"/>
  <c r="D611" i="3" s="1"/>
  <c r="F610" i="3"/>
  <c r="C610" i="3"/>
  <c r="D610" i="3" s="1"/>
  <c r="F609" i="3"/>
  <c r="C609" i="3"/>
  <c r="D609" i="3" s="1"/>
  <c r="F608" i="3"/>
  <c r="C608" i="3"/>
  <c r="D608" i="3" s="1"/>
  <c r="F607" i="3"/>
  <c r="C607" i="3"/>
  <c r="D607" i="3" s="1"/>
  <c r="F606" i="3"/>
  <c r="C606" i="3"/>
  <c r="D606" i="3" s="1"/>
  <c r="F605" i="3"/>
  <c r="C605" i="3"/>
  <c r="D605" i="3" s="1"/>
  <c r="F604" i="3"/>
  <c r="C604" i="3"/>
  <c r="D604" i="3" s="1"/>
  <c r="F603" i="3"/>
  <c r="C603" i="3"/>
  <c r="D603" i="3" s="1"/>
  <c r="F602" i="3"/>
  <c r="C602" i="3"/>
  <c r="D602" i="3" s="1"/>
  <c r="F601" i="3"/>
  <c r="C601" i="3"/>
  <c r="D601" i="3" s="1"/>
  <c r="F600" i="3"/>
  <c r="C600" i="3"/>
  <c r="D600" i="3" s="1"/>
  <c r="F599" i="3"/>
  <c r="C599" i="3"/>
  <c r="D599" i="3" s="1"/>
  <c r="F598" i="3"/>
  <c r="C598" i="3"/>
  <c r="D598" i="3" s="1"/>
  <c r="F597" i="3"/>
  <c r="C597" i="3"/>
  <c r="D597" i="3" s="1"/>
  <c r="F596" i="3"/>
  <c r="C596" i="3"/>
  <c r="D596" i="3" s="1"/>
  <c r="F595" i="3"/>
  <c r="C595" i="3"/>
  <c r="D595" i="3" s="1"/>
  <c r="F594" i="3"/>
  <c r="C594" i="3"/>
  <c r="D594" i="3" s="1"/>
  <c r="F593" i="3"/>
  <c r="C593" i="3"/>
  <c r="D593" i="3" s="1"/>
  <c r="F592" i="3"/>
  <c r="C592" i="3"/>
  <c r="D592" i="3" s="1"/>
  <c r="F591" i="3"/>
  <c r="C591" i="3"/>
  <c r="D591" i="3" s="1"/>
  <c r="F590" i="3"/>
  <c r="C590" i="3"/>
  <c r="D590" i="3" s="1"/>
  <c r="F589" i="3"/>
  <c r="C589" i="3"/>
  <c r="D589" i="3" s="1"/>
  <c r="F588" i="3"/>
  <c r="C588" i="3"/>
  <c r="D588" i="3" s="1"/>
  <c r="F587" i="3"/>
  <c r="C587" i="3"/>
  <c r="D587" i="3" s="1"/>
  <c r="F586" i="3"/>
  <c r="C586" i="3"/>
  <c r="D586" i="3" s="1"/>
  <c r="F585" i="3"/>
  <c r="C585" i="3"/>
  <c r="D585" i="3" s="1"/>
  <c r="F584" i="3"/>
  <c r="C584" i="3"/>
  <c r="D584" i="3" s="1"/>
  <c r="F583" i="3"/>
  <c r="C583" i="3"/>
  <c r="D583" i="3" s="1"/>
  <c r="F582" i="3"/>
  <c r="C582" i="3"/>
  <c r="D582" i="3" s="1"/>
  <c r="F581" i="3"/>
  <c r="C581" i="3"/>
  <c r="D581" i="3" s="1"/>
  <c r="F580" i="3"/>
  <c r="C580" i="3"/>
  <c r="D580" i="3" s="1"/>
  <c r="F579" i="3"/>
  <c r="C579" i="3"/>
  <c r="D579" i="3" s="1"/>
  <c r="F578" i="3"/>
  <c r="C578" i="3"/>
  <c r="D578" i="3" s="1"/>
  <c r="F577" i="3"/>
  <c r="C577" i="3"/>
  <c r="D577" i="3" s="1"/>
  <c r="F576" i="3"/>
  <c r="C576" i="3"/>
  <c r="D576" i="3" s="1"/>
  <c r="F575" i="3"/>
  <c r="C575" i="3"/>
  <c r="D575" i="3" s="1"/>
  <c r="F574" i="3"/>
  <c r="C574" i="3"/>
  <c r="D574" i="3" s="1"/>
  <c r="F573" i="3"/>
  <c r="C573" i="3"/>
  <c r="D573" i="3" s="1"/>
  <c r="F572" i="3"/>
  <c r="C572" i="3"/>
  <c r="D572" i="3" s="1"/>
  <c r="F571" i="3"/>
  <c r="C571" i="3"/>
  <c r="D571" i="3" s="1"/>
  <c r="F570" i="3"/>
  <c r="C570" i="3"/>
  <c r="D570" i="3" s="1"/>
  <c r="F569" i="3"/>
  <c r="C569" i="3"/>
  <c r="D569" i="3" s="1"/>
  <c r="F568" i="3"/>
  <c r="C568" i="3"/>
  <c r="D568" i="3" s="1"/>
  <c r="F567" i="3"/>
  <c r="C567" i="3"/>
  <c r="D567" i="3" s="1"/>
  <c r="F566" i="3"/>
  <c r="C566" i="3"/>
  <c r="D566" i="3" s="1"/>
  <c r="F565" i="3"/>
  <c r="C565" i="3"/>
  <c r="D565" i="3" s="1"/>
  <c r="F564" i="3"/>
  <c r="C564" i="3"/>
  <c r="D564" i="3" s="1"/>
  <c r="F563" i="3"/>
  <c r="C563" i="3"/>
  <c r="D563" i="3" s="1"/>
  <c r="F562" i="3"/>
  <c r="C562" i="3"/>
  <c r="D562" i="3" s="1"/>
  <c r="F561" i="3"/>
  <c r="C561" i="3"/>
  <c r="D561" i="3" s="1"/>
  <c r="F560" i="3"/>
  <c r="C560" i="3"/>
  <c r="D560" i="3" s="1"/>
  <c r="F559" i="3"/>
  <c r="C559" i="3"/>
  <c r="D559" i="3" s="1"/>
  <c r="F558" i="3"/>
  <c r="C558" i="3"/>
  <c r="D558" i="3" s="1"/>
  <c r="F557" i="3"/>
  <c r="C557" i="3"/>
  <c r="D557" i="3" s="1"/>
  <c r="F556" i="3"/>
  <c r="C556" i="3"/>
  <c r="D556" i="3" s="1"/>
  <c r="F555" i="3"/>
  <c r="C555" i="3"/>
  <c r="D555" i="3" s="1"/>
  <c r="F554" i="3"/>
  <c r="C554" i="3"/>
  <c r="D554" i="3" s="1"/>
  <c r="F553" i="3"/>
  <c r="C553" i="3"/>
  <c r="D553" i="3" s="1"/>
  <c r="F552" i="3"/>
  <c r="C552" i="3"/>
  <c r="D552" i="3" s="1"/>
  <c r="F551" i="3"/>
  <c r="C551" i="3"/>
  <c r="D551" i="3" s="1"/>
  <c r="F550" i="3"/>
  <c r="C550" i="3"/>
  <c r="D550" i="3" s="1"/>
  <c r="F549" i="3"/>
  <c r="C549" i="3"/>
  <c r="D549" i="3" s="1"/>
  <c r="F548" i="3"/>
  <c r="C548" i="3"/>
  <c r="D548" i="3" s="1"/>
  <c r="F547" i="3"/>
  <c r="C547" i="3"/>
  <c r="D547" i="3" s="1"/>
  <c r="F546" i="3"/>
  <c r="C546" i="3"/>
  <c r="D546" i="3" s="1"/>
  <c r="F545" i="3"/>
  <c r="C545" i="3"/>
  <c r="D545" i="3" s="1"/>
  <c r="F544" i="3"/>
  <c r="C544" i="3"/>
  <c r="D544" i="3" s="1"/>
  <c r="F543" i="3"/>
  <c r="C543" i="3"/>
  <c r="D543" i="3" s="1"/>
  <c r="F542" i="3"/>
  <c r="C542" i="3"/>
  <c r="D542" i="3" s="1"/>
  <c r="F541" i="3"/>
  <c r="C541" i="3"/>
  <c r="D541" i="3" s="1"/>
  <c r="F540" i="3"/>
  <c r="C540" i="3"/>
  <c r="D540" i="3" s="1"/>
  <c r="F539" i="3"/>
  <c r="C539" i="3"/>
  <c r="D539" i="3" s="1"/>
  <c r="F538" i="3"/>
  <c r="C538" i="3"/>
  <c r="D538" i="3" s="1"/>
  <c r="F537" i="3"/>
  <c r="C537" i="3"/>
  <c r="D537" i="3" s="1"/>
  <c r="F536" i="3"/>
  <c r="C536" i="3"/>
  <c r="D536" i="3" s="1"/>
  <c r="F535" i="3"/>
  <c r="C535" i="3"/>
  <c r="D535" i="3" s="1"/>
  <c r="F534" i="3"/>
  <c r="C534" i="3"/>
  <c r="D534" i="3" s="1"/>
  <c r="F533" i="3"/>
  <c r="C533" i="3"/>
  <c r="D533" i="3" s="1"/>
  <c r="F532" i="3"/>
  <c r="C532" i="3"/>
  <c r="D532" i="3" s="1"/>
  <c r="F531" i="3"/>
  <c r="C531" i="3"/>
  <c r="D531" i="3" s="1"/>
  <c r="F530" i="3"/>
  <c r="C530" i="3"/>
  <c r="D530" i="3" s="1"/>
  <c r="F529" i="3"/>
  <c r="C529" i="3"/>
  <c r="D529" i="3" s="1"/>
  <c r="F528" i="3"/>
  <c r="C528" i="3"/>
  <c r="D528" i="3" s="1"/>
  <c r="F527" i="3"/>
  <c r="C527" i="3"/>
  <c r="D527" i="3" s="1"/>
  <c r="F526" i="3"/>
  <c r="C526" i="3"/>
  <c r="D526" i="3" s="1"/>
  <c r="F525" i="3"/>
  <c r="C525" i="3"/>
  <c r="D525" i="3" s="1"/>
  <c r="F524" i="3"/>
  <c r="C524" i="3"/>
  <c r="D524" i="3" s="1"/>
  <c r="F523" i="3"/>
  <c r="C523" i="3"/>
  <c r="D523" i="3" s="1"/>
  <c r="F522" i="3"/>
  <c r="C522" i="3"/>
  <c r="D522" i="3" s="1"/>
  <c r="F521" i="3"/>
  <c r="C521" i="3"/>
  <c r="D521" i="3" s="1"/>
  <c r="F520" i="3"/>
  <c r="C520" i="3"/>
  <c r="D520" i="3" s="1"/>
  <c r="F519" i="3"/>
  <c r="C519" i="3"/>
  <c r="D519" i="3" s="1"/>
  <c r="F518" i="3"/>
  <c r="C518" i="3"/>
  <c r="D518" i="3" s="1"/>
  <c r="F517" i="3"/>
  <c r="C517" i="3"/>
  <c r="D517" i="3" s="1"/>
  <c r="F516" i="3"/>
  <c r="C516" i="3"/>
  <c r="D516" i="3" s="1"/>
  <c r="F515" i="3"/>
  <c r="C515" i="3"/>
  <c r="D515" i="3" s="1"/>
  <c r="F514" i="3"/>
  <c r="C514" i="3"/>
  <c r="D514" i="3" s="1"/>
  <c r="F513" i="3"/>
  <c r="C513" i="3"/>
  <c r="D513" i="3" s="1"/>
  <c r="F512" i="3"/>
  <c r="C512" i="3"/>
  <c r="D512" i="3" s="1"/>
  <c r="F511" i="3"/>
  <c r="C511" i="3"/>
  <c r="D511" i="3" s="1"/>
  <c r="F510" i="3"/>
  <c r="C510" i="3"/>
  <c r="D510" i="3" s="1"/>
  <c r="F509" i="3"/>
  <c r="C509" i="3"/>
  <c r="D509" i="3" s="1"/>
  <c r="F508" i="3"/>
  <c r="C508" i="3"/>
  <c r="D508" i="3" s="1"/>
  <c r="F507" i="3"/>
  <c r="C507" i="3"/>
  <c r="D507" i="3" s="1"/>
  <c r="F506" i="3"/>
  <c r="C506" i="3"/>
  <c r="D506" i="3" s="1"/>
  <c r="F505" i="3"/>
  <c r="C505" i="3"/>
  <c r="D505" i="3" s="1"/>
  <c r="F504" i="3"/>
  <c r="C504" i="3"/>
  <c r="D504" i="3" s="1"/>
  <c r="F503" i="3"/>
  <c r="C503" i="3"/>
  <c r="D503" i="3" s="1"/>
  <c r="F502" i="3"/>
  <c r="C502" i="3"/>
  <c r="D502" i="3" s="1"/>
  <c r="F501" i="3"/>
  <c r="C501" i="3"/>
  <c r="D501" i="3" s="1"/>
  <c r="F500" i="3"/>
  <c r="C500" i="3"/>
  <c r="D500" i="3" s="1"/>
  <c r="F499" i="3"/>
  <c r="C499" i="3"/>
  <c r="D499" i="3" s="1"/>
  <c r="F498" i="3"/>
  <c r="C498" i="3"/>
  <c r="D498" i="3" s="1"/>
  <c r="F497" i="3"/>
  <c r="C497" i="3"/>
  <c r="D497" i="3" s="1"/>
  <c r="F496" i="3"/>
  <c r="C496" i="3"/>
  <c r="D496" i="3" s="1"/>
  <c r="F495" i="3"/>
  <c r="C495" i="3"/>
  <c r="D495" i="3" s="1"/>
  <c r="F494" i="3"/>
  <c r="C494" i="3"/>
  <c r="D494" i="3" s="1"/>
  <c r="F493" i="3"/>
  <c r="C493" i="3"/>
  <c r="D493" i="3" s="1"/>
  <c r="F492" i="3"/>
  <c r="C492" i="3"/>
  <c r="D492" i="3" s="1"/>
  <c r="F491" i="3"/>
  <c r="C491" i="3"/>
  <c r="D491" i="3" s="1"/>
  <c r="F490" i="3"/>
  <c r="C490" i="3"/>
  <c r="D490" i="3" s="1"/>
  <c r="F489" i="3"/>
  <c r="C489" i="3"/>
  <c r="D489" i="3" s="1"/>
  <c r="F488" i="3"/>
  <c r="C488" i="3"/>
  <c r="D488" i="3" s="1"/>
  <c r="F487" i="3"/>
  <c r="C487" i="3"/>
  <c r="D487" i="3" s="1"/>
  <c r="F486" i="3"/>
  <c r="C486" i="3"/>
  <c r="D486" i="3" s="1"/>
  <c r="F485" i="3"/>
  <c r="C485" i="3"/>
  <c r="D485" i="3" s="1"/>
  <c r="F484" i="3"/>
  <c r="C484" i="3"/>
  <c r="D484" i="3" s="1"/>
  <c r="F483" i="3"/>
  <c r="C483" i="3"/>
  <c r="D483" i="3" s="1"/>
  <c r="F482" i="3"/>
  <c r="C482" i="3"/>
  <c r="D482" i="3" s="1"/>
  <c r="F481" i="3"/>
  <c r="C481" i="3"/>
  <c r="D481" i="3" s="1"/>
  <c r="F480" i="3"/>
  <c r="C480" i="3"/>
  <c r="D480" i="3" s="1"/>
  <c r="F479" i="3"/>
  <c r="C479" i="3"/>
  <c r="D479" i="3" s="1"/>
  <c r="F478" i="3"/>
  <c r="C478" i="3"/>
  <c r="D478" i="3" s="1"/>
  <c r="F477" i="3"/>
  <c r="C477" i="3"/>
  <c r="D477" i="3" s="1"/>
  <c r="F476" i="3"/>
  <c r="C476" i="3"/>
  <c r="D476" i="3" s="1"/>
  <c r="F475" i="3"/>
  <c r="C475" i="3"/>
  <c r="D475" i="3" s="1"/>
  <c r="F474" i="3"/>
  <c r="C474" i="3"/>
  <c r="D474" i="3" s="1"/>
  <c r="F473" i="3"/>
  <c r="C473" i="3"/>
  <c r="D473" i="3" s="1"/>
  <c r="F472" i="3"/>
  <c r="C472" i="3"/>
  <c r="D472" i="3" s="1"/>
  <c r="F471" i="3"/>
  <c r="C471" i="3"/>
  <c r="D471" i="3" s="1"/>
  <c r="F470" i="3"/>
  <c r="C470" i="3"/>
  <c r="D470" i="3" s="1"/>
  <c r="F469" i="3"/>
  <c r="C469" i="3"/>
  <c r="D469" i="3" s="1"/>
  <c r="F468" i="3"/>
  <c r="C468" i="3"/>
  <c r="D468" i="3" s="1"/>
  <c r="F467" i="3"/>
  <c r="C467" i="3"/>
  <c r="D467" i="3" s="1"/>
  <c r="F466" i="3"/>
  <c r="C466" i="3"/>
  <c r="D466" i="3" s="1"/>
  <c r="F465" i="3"/>
  <c r="C465" i="3"/>
  <c r="D465" i="3" s="1"/>
  <c r="F464" i="3"/>
  <c r="C464" i="3"/>
  <c r="D464" i="3" s="1"/>
  <c r="F463" i="3"/>
  <c r="C463" i="3"/>
  <c r="D463" i="3" s="1"/>
  <c r="F462" i="3"/>
  <c r="C462" i="3"/>
  <c r="D462" i="3" s="1"/>
  <c r="F461" i="3"/>
  <c r="C461" i="3"/>
  <c r="D461" i="3" s="1"/>
  <c r="F460" i="3"/>
  <c r="C460" i="3"/>
  <c r="D460" i="3" s="1"/>
  <c r="F459" i="3"/>
  <c r="C459" i="3"/>
  <c r="D459" i="3" s="1"/>
  <c r="F458" i="3"/>
  <c r="C458" i="3"/>
  <c r="D458" i="3" s="1"/>
  <c r="F457" i="3"/>
  <c r="C457" i="3"/>
  <c r="D457" i="3" s="1"/>
  <c r="F456" i="3"/>
  <c r="C456" i="3"/>
  <c r="D456" i="3" s="1"/>
  <c r="F455" i="3"/>
  <c r="C455" i="3"/>
  <c r="D455" i="3" s="1"/>
  <c r="F454" i="3"/>
  <c r="C454" i="3"/>
  <c r="D454" i="3" s="1"/>
  <c r="F453" i="3"/>
  <c r="C453" i="3"/>
  <c r="D453" i="3" s="1"/>
  <c r="F452" i="3"/>
  <c r="C452" i="3"/>
  <c r="D452" i="3" s="1"/>
  <c r="F451" i="3"/>
  <c r="C451" i="3"/>
  <c r="D451" i="3" s="1"/>
  <c r="F450" i="3"/>
  <c r="C450" i="3"/>
  <c r="D450" i="3" s="1"/>
  <c r="F449" i="3"/>
  <c r="C449" i="3"/>
  <c r="D449" i="3" s="1"/>
  <c r="F448" i="3"/>
  <c r="C448" i="3"/>
  <c r="D448" i="3" s="1"/>
  <c r="F447" i="3"/>
  <c r="C447" i="3"/>
  <c r="D447" i="3" s="1"/>
  <c r="F446" i="3"/>
  <c r="C446" i="3"/>
  <c r="D446" i="3" s="1"/>
  <c r="F445" i="3"/>
  <c r="C445" i="3"/>
  <c r="D445" i="3" s="1"/>
  <c r="F444" i="3"/>
  <c r="C444" i="3"/>
  <c r="D444" i="3" s="1"/>
  <c r="F443" i="3"/>
  <c r="C443" i="3"/>
  <c r="D443" i="3" s="1"/>
  <c r="F442" i="3"/>
  <c r="C442" i="3"/>
  <c r="D442" i="3" s="1"/>
  <c r="F441" i="3"/>
  <c r="C441" i="3"/>
  <c r="D441" i="3" s="1"/>
  <c r="F440" i="3"/>
  <c r="C440" i="3"/>
  <c r="D440" i="3" s="1"/>
  <c r="F439" i="3"/>
  <c r="C439" i="3"/>
  <c r="D439" i="3" s="1"/>
  <c r="F438" i="3"/>
  <c r="C438" i="3"/>
  <c r="D438" i="3" s="1"/>
  <c r="F437" i="3"/>
  <c r="C437" i="3"/>
  <c r="D437" i="3" s="1"/>
  <c r="F436" i="3"/>
  <c r="C436" i="3"/>
  <c r="D436" i="3" s="1"/>
  <c r="F435" i="3"/>
  <c r="C435" i="3"/>
  <c r="D435" i="3" s="1"/>
  <c r="F434" i="3"/>
  <c r="C434" i="3"/>
  <c r="D434" i="3" s="1"/>
  <c r="F433" i="3"/>
  <c r="C433" i="3"/>
  <c r="D433" i="3" s="1"/>
  <c r="F432" i="3"/>
  <c r="C432" i="3"/>
  <c r="D432" i="3" s="1"/>
  <c r="F431" i="3"/>
  <c r="C431" i="3"/>
  <c r="D431" i="3" s="1"/>
  <c r="F430" i="3"/>
  <c r="C430" i="3"/>
  <c r="D430" i="3" s="1"/>
  <c r="F429" i="3"/>
  <c r="C429" i="3"/>
  <c r="D429" i="3" s="1"/>
  <c r="F428" i="3"/>
  <c r="C428" i="3"/>
  <c r="D428" i="3" s="1"/>
  <c r="F427" i="3"/>
  <c r="C427" i="3"/>
  <c r="D427" i="3" s="1"/>
  <c r="F426" i="3"/>
  <c r="C426" i="3"/>
  <c r="D426" i="3" s="1"/>
  <c r="F425" i="3"/>
  <c r="C425" i="3"/>
  <c r="D425" i="3" s="1"/>
  <c r="F424" i="3"/>
  <c r="C424" i="3"/>
  <c r="D424" i="3" s="1"/>
  <c r="F423" i="3"/>
  <c r="C423" i="3"/>
  <c r="D423" i="3" s="1"/>
  <c r="F422" i="3"/>
  <c r="C422" i="3"/>
  <c r="D422" i="3" s="1"/>
  <c r="F421" i="3"/>
  <c r="C421" i="3"/>
  <c r="D421" i="3" s="1"/>
  <c r="F420" i="3"/>
  <c r="C420" i="3"/>
  <c r="D420" i="3" s="1"/>
  <c r="F419" i="3"/>
  <c r="C419" i="3"/>
  <c r="D419" i="3" s="1"/>
  <c r="F418" i="3"/>
  <c r="C418" i="3"/>
  <c r="D418" i="3" s="1"/>
  <c r="F417" i="3"/>
  <c r="C417" i="3"/>
  <c r="D417" i="3" s="1"/>
  <c r="F416" i="3"/>
  <c r="C416" i="3"/>
  <c r="D416" i="3" s="1"/>
  <c r="F415" i="3"/>
  <c r="C415" i="3"/>
  <c r="D415" i="3" s="1"/>
  <c r="F414" i="3"/>
  <c r="C414" i="3"/>
  <c r="D414" i="3" s="1"/>
  <c r="F413" i="3"/>
  <c r="C413" i="3"/>
  <c r="D413" i="3" s="1"/>
  <c r="F412" i="3"/>
  <c r="C412" i="3"/>
  <c r="D412" i="3" s="1"/>
  <c r="F411" i="3"/>
  <c r="C411" i="3"/>
  <c r="D411" i="3" s="1"/>
  <c r="F410" i="3"/>
  <c r="C410" i="3"/>
  <c r="D410" i="3" s="1"/>
  <c r="F409" i="3"/>
  <c r="C409" i="3"/>
  <c r="D409" i="3" s="1"/>
  <c r="F408" i="3"/>
  <c r="C408" i="3"/>
  <c r="D408" i="3" s="1"/>
  <c r="F407" i="3"/>
  <c r="C407" i="3"/>
  <c r="D407" i="3" s="1"/>
  <c r="F406" i="3"/>
  <c r="C406" i="3"/>
  <c r="D406" i="3" s="1"/>
  <c r="F405" i="3"/>
  <c r="C405" i="3"/>
  <c r="D405" i="3" s="1"/>
  <c r="F404" i="3"/>
  <c r="C404" i="3"/>
  <c r="D404" i="3" s="1"/>
  <c r="F403" i="3"/>
  <c r="D403" i="3"/>
  <c r="C403" i="3"/>
  <c r="F402" i="3"/>
  <c r="C402" i="3"/>
  <c r="D402" i="3" s="1"/>
  <c r="F401" i="3"/>
  <c r="C401" i="3"/>
  <c r="D401" i="3" s="1"/>
  <c r="F400" i="3"/>
  <c r="C400" i="3"/>
  <c r="D400" i="3" s="1"/>
  <c r="F399" i="3"/>
  <c r="C399" i="3"/>
  <c r="D399" i="3" s="1"/>
  <c r="F398" i="3"/>
  <c r="C398" i="3"/>
  <c r="D398" i="3" s="1"/>
  <c r="F397" i="3"/>
  <c r="C397" i="3"/>
  <c r="D397" i="3" s="1"/>
  <c r="F396" i="3"/>
  <c r="C396" i="3"/>
  <c r="D396" i="3" s="1"/>
  <c r="F395" i="3"/>
  <c r="C395" i="3"/>
  <c r="D395" i="3" s="1"/>
  <c r="F394" i="3"/>
  <c r="C394" i="3"/>
  <c r="D394" i="3" s="1"/>
  <c r="F393" i="3"/>
  <c r="C393" i="3"/>
  <c r="D393" i="3" s="1"/>
  <c r="F392" i="3"/>
  <c r="C392" i="3"/>
  <c r="D392" i="3" s="1"/>
  <c r="F391" i="3"/>
  <c r="C391" i="3"/>
  <c r="D391" i="3" s="1"/>
  <c r="F390" i="3"/>
  <c r="C390" i="3"/>
  <c r="D390" i="3" s="1"/>
  <c r="F389" i="3"/>
  <c r="C389" i="3"/>
  <c r="D389" i="3" s="1"/>
  <c r="F388" i="3"/>
  <c r="C388" i="3"/>
  <c r="D388" i="3" s="1"/>
  <c r="F387" i="3"/>
  <c r="C387" i="3"/>
  <c r="D387" i="3" s="1"/>
  <c r="F386" i="3"/>
  <c r="C386" i="3"/>
  <c r="D386" i="3" s="1"/>
  <c r="F385" i="3"/>
  <c r="C385" i="3"/>
  <c r="D385" i="3" s="1"/>
  <c r="F384" i="3"/>
  <c r="C384" i="3"/>
  <c r="D384" i="3" s="1"/>
  <c r="F383" i="3"/>
  <c r="C383" i="3"/>
  <c r="D383" i="3" s="1"/>
  <c r="F382" i="3"/>
  <c r="C382" i="3"/>
  <c r="D382" i="3" s="1"/>
  <c r="F381" i="3"/>
  <c r="C381" i="3"/>
  <c r="D381" i="3" s="1"/>
  <c r="F380" i="3"/>
  <c r="C380" i="3"/>
  <c r="D380" i="3" s="1"/>
  <c r="F379" i="3"/>
  <c r="C379" i="3"/>
  <c r="D379" i="3" s="1"/>
  <c r="F378" i="3"/>
  <c r="C378" i="3"/>
  <c r="D378" i="3" s="1"/>
  <c r="F377" i="3"/>
  <c r="C377" i="3"/>
  <c r="D377" i="3" s="1"/>
  <c r="F376" i="3"/>
  <c r="C376" i="3"/>
  <c r="D376" i="3" s="1"/>
  <c r="F375" i="3"/>
  <c r="C375" i="3"/>
  <c r="D375" i="3" s="1"/>
  <c r="F374" i="3"/>
  <c r="C374" i="3"/>
  <c r="D374" i="3" s="1"/>
  <c r="F373" i="3"/>
  <c r="C373" i="3"/>
  <c r="D373" i="3" s="1"/>
  <c r="F372" i="3"/>
  <c r="C372" i="3"/>
  <c r="D372" i="3" s="1"/>
  <c r="F371" i="3"/>
  <c r="C371" i="3"/>
  <c r="D371" i="3" s="1"/>
  <c r="F370" i="3"/>
  <c r="C370" i="3"/>
  <c r="D370" i="3" s="1"/>
  <c r="F369" i="3"/>
  <c r="C369" i="3"/>
  <c r="D369" i="3" s="1"/>
  <c r="F368" i="3"/>
  <c r="C368" i="3"/>
  <c r="D368" i="3" s="1"/>
  <c r="F367" i="3"/>
  <c r="C367" i="3"/>
  <c r="D367" i="3" s="1"/>
  <c r="F366" i="3"/>
  <c r="C366" i="3"/>
  <c r="D366" i="3" s="1"/>
  <c r="F365" i="3"/>
  <c r="C365" i="3"/>
  <c r="D365" i="3" s="1"/>
  <c r="F364" i="3"/>
  <c r="C364" i="3"/>
  <c r="D364" i="3" s="1"/>
  <c r="F363" i="3"/>
  <c r="C363" i="3"/>
  <c r="D363" i="3" s="1"/>
  <c r="F362" i="3"/>
  <c r="C362" i="3"/>
  <c r="D362" i="3" s="1"/>
  <c r="F361" i="3"/>
  <c r="C361" i="3"/>
  <c r="D361" i="3" s="1"/>
  <c r="F360" i="3"/>
  <c r="C360" i="3"/>
  <c r="D360" i="3" s="1"/>
  <c r="F359" i="3"/>
  <c r="C359" i="3"/>
  <c r="D359" i="3" s="1"/>
  <c r="F358" i="3"/>
  <c r="C358" i="3"/>
  <c r="D358" i="3" s="1"/>
  <c r="F357" i="3"/>
  <c r="C357" i="3"/>
  <c r="D357" i="3" s="1"/>
  <c r="F356" i="3"/>
  <c r="C356" i="3"/>
  <c r="D356" i="3" s="1"/>
  <c r="F355" i="3"/>
  <c r="C355" i="3"/>
  <c r="D355" i="3" s="1"/>
  <c r="F354" i="3"/>
  <c r="C354" i="3"/>
  <c r="D354" i="3" s="1"/>
  <c r="F353" i="3"/>
  <c r="C353" i="3"/>
  <c r="D353" i="3" s="1"/>
  <c r="F352" i="3"/>
  <c r="C352" i="3"/>
  <c r="D352" i="3" s="1"/>
  <c r="F351" i="3"/>
  <c r="C351" i="3"/>
  <c r="D351" i="3" s="1"/>
  <c r="F350" i="3"/>
  <c r="C350" i="3"/>
  <c r="D350" i="3" s="1"/>
  <c r="F349" i="3"/>
  <c r="C349" i="3"/>
  <c r="D349" i="3" s="1"/>
  <c r="F348" i="3"/>
  <c r="C348" i="3"/>
  <c r="D348" i="3" s="1"/>
  <c r="F347" i="3"/>
  <c r="C347" i="3"/>
  <c r="D347" i="3" s="1"/>
  <c r="F346" i="3"/>
  <c r="C346" i="3"/>
  <c r="D346" i="3" s="1"/>
  <c r="F345" i="3"/>
  <c r="C345" i="3"/>
  <c r="D345" i="3" s="1"/>
  <c r="F344" i="3"/>
  <c r="C344" i="3"/>
  <c r="D344" i="3" s="1"/>
  <c r="F343" i="3"/>
  <c r="C343" i="3"/>
  <c r="D343" i="3" s="1"/>
  <c r="F342" i="3"/>
  <c r="C342" i="3"/>
  <c r="D342" i="3" s="1"/>
  <c r="F341" i="3"/>
  <c r="C341" i="3"/>
  <c r="D341" i="3" s="1"/>
  <c r="F340" i="3"/>
  <c r="C340" i="3"/>
  <c r="D340" i="3" s="1"/>
  <c r="F339" i="3"/>
  <c r="C339" i="3"/>
  <c r="D339" i="3" s="1"/>
  <c r="F338" i="3"/>
  <c r="C338" i="3"/>
  <c r="D338" i="3" s="1"/>
  <c r="F337" i="3"/>
  <c r="C337" i="3"/>
  <c r="D337" i="3" s="1"/>
  <c r="F336" i="3"/>
  <c r="C336" i="3"/>
  <c r="D336" i="3" s="1"/>
  <c r="F335" i="3"/>
  <c r="C335" i="3"/>
  <c r="D335" i="3" s="1"/>
  <c r="F334" i="3"/>
  <c r="C334" i="3"/>
  <c r="D334" i="3" s="1"/>
  <c r="F333" i="3"/>
  <c r="C333" i="3"/>
  <c r="D333" i="3" s="1"/>
  <c r="F332" i="3"/>
  <c r="C332" i="3"/>
  <c r="D332" i="3" s="1"/>
  <c r="F331" i="3"/>
  <c r="C331" i="3"/>
  <c r="D331" i="3" s="1"/>
  <c r="F330" i="3"/>
  <c r="C330" i="3"/>
  <c r="D330" i="3" s="1"/>
  <c r="F329" i="3"/>
  <c r="C329" i="3"/>
  <c r="D329" i="3" s="1"/>
  <c r="F328" i="3"/>
  <c r="C328" i="3"/>
  <c r="D328" i="3" s="1"/>
  <c r="F327" i="3"/>
  <c r="C327" i="3"/>
  <c r="D327" i="3" s="1"/>
  <c r="F326" i="3"/>
  <c r="C326" i="3"/>
  <c r="D326" i="3" s="1"/>
  <c r="F325" i="3"/>
  <c r="C325" i="3"/>
  <c r="D325" i="3" s="1"/>
  <c r="F324" i="3"/>
  <c r="C324" i="3"/>
  <c r="D324" i="3" s="1"/>
  <c r="F323" i="3"/>
  <c r="C323" i="3"/>
  <c r="D323" i="3" s="1"/>
  <c r="F322" i="3"/>
  <c r="C322" i="3"/>
  <c r="D322" i="3" s="1"/>
  <c r="F321" i="3"/>
  <c r="C321" i="3"/>
  <c r="D321" i="3" s="1"/>
  <c r="F320" i="3"/>
  <c r="C320" i="3"/>
  <c r="D320" i="3" s="1"/>
  <c r="F319" i="3"/>
  <c r="C319" i="3"/>
  <c r="D319" i="3" s="1"/>
  <c r="F318" i="3"/>
  <c r="C318" i="3"/>
  <c r="D318" i="3" s="1"/>
  <c r="F317" i="3"/>
  <c r="C317" i="3"/>
  <c r="D317" i="3" s="1"/>
  <c r="F316" i="3"/>
  <c r="C316" i="3"/>
  <c r="D316" i="3" s="1"/>
  <c r="F315" i="3"/>
  <c r="C315" i="3"/>
  <c r="D315" i="3" s="1"/>
  <c r="F314" i="3"/>
  <c r="C314" i="3"/>
  <c r="D314" i="3" s="1"/>
  <c r="F313" i="3"/>
  <c r="C313" i="3"/>
  <c r="D313" i="3" s="1"/>
  <c r="F312" i="3"/>
  <c r="C312" i="3"/>
  <c r="D312" i="3" s="1"/>
  <c r="F311" i="3"/>
  <c r="C311" i="3"/>
  <c r="D311" i="3" s="1"/>
  <c r="F310" i="3"/>
  <c r="C310" i="3"/>
  <c r="D310" i="3" s="1"/>
  <c r="F309" i="3"/>
  <c r="C309" i="3"/>
  <c r="D309" i="3" s="1"/>
  <c r="F308" i="3"/>
  <c r="C308" i="3"/>
  <c r="D308" i="3" s="1"/>
  <c r="F307" i="3"/>
  <c r="C307" i="3"/>
  <c r="D307" i="3" s="1"/>
  <c r="F306" i="3"/>
  <c r="C306" i="3"/>
  <c r="D306" i="3" s="1"/>
  <c r="F305" i="3"/>
  <c r="C305" i="3"/>
  <c r="D305" i="3" s="1"/>
  <c r="F304" i="3"/>
  <c r="C304" i="3"/>
  <c r="D304" i="3" s="1"/>
  <c r="F303" i="3"/>
  <c r="C303" i="3"/>
  <c r="D303" i="3" s="1"/>
  <c r="F302" i="3"/>
  <c r="C302" i="3"/>
  <c r="D302" i="3" s="1"/>
  <c r="F301" i="3"/>
  <c r="C301" i="3"/>
  <c r="D301" i="3" s="1"/>
  <c r="F300" i="3"/>
  <c r="C300" i="3"/>
  <c r="D300" i="3" s="1"/>
  <c r="F299" i="3"/>
  <c r="C299" i="3"/>
  <c r="D299" i="3" s="1"/>
  <c r="F298" i="3"/>
  <c r="C298" i="3"/>
  <c r="D298" i="3" s="1"/>
  <c r="F297" i="3"/>
  <c r="C297" i="3"/>
  <c r="D297" i="3" s="1"/>
  <c r="F296" i="3"/>
  <c r="C296" i="3"/>
  <c r="D296" i="3" s="1"/>
  <c r="F295" i="3"/>
  <c r="C295" i="3"/>
  <c r="D295" i="3" s="1"/>
  <c r="F294" i="3"/>
  <c r="C294" i="3"/>
  <c r="D294" i="3" s="1"/>
  <c r="F293" i="3"/>
  <c r="C293" i="3"/>
  <c r="D293" i="3" s="1"/>
  <c r="F292" i="3"/>
  <c r="C292" i="3"/>
  <c r="D292" i="3" s="1"/>
  <c r="F291" i="3"/>
  <c r="C291" i="3"/>
  <c r="D291" i="3" s="1"/>
  <c r="F290" i="3"/>
  <c r="C290" i="3"/>
  <c r="D290" i="3" s="1"/>
  <c r="F289" i="3"/>
  <c r="C289" i="3"/>
  <c r="D289" i="3" s="1"/>
  <c r="F288" i="3"/>
  <c r="C288" i="3"/>
  <c r="D288" i="3" s="1"/>
  <c r="F287" i="3"/>
  <c r="C287" i="3"/>
  <c r="D287" i="3" s="1"/>
  <c r="F286" i="3"/>
  <c r="C286" i="3"/>
  <c r="D286" i="3" s="1"/>
  <c r="F285" i="3"/>
  <c r="C285" i="3"/>
  <c r="D285" i="3" s="1"/>
  <c r="F284" i="3"/>
  <c r="C284" i="3"/>
  <c r="D284" i="3" s="1"/>
  <c r="F283" i="3"/>
  <c r="C283" i="3"/>
  <c r="D283" i="3" s="1"/>
  <c r="F282" i="3"/>
  <c r="C282" i="3"/>
  <c r="D282" i="3" s="1"/>
  <c r="F281" i="3"/>
  <c r="C281" i="3"/>
  <c r="D281" i="3" s="1"/>
  <c r="F280" i="3"/>
  <c r="C280" i="3"/>
  <c r="D280" i="3" s="1"/>
  <c r="F279" i="3"/>
  <c r="C279" i="3"/>
  <c r="D279" i="3" s="1"/>
  <c r="F278" i="3"/>
  <c r="C278" i="3"/>
  <c r="D278" i="3" s="1"/>
  <c r="F277" i="3"/>
  <c r="C277" i="3"/>
  <c r="D277" i="3" s="1"/>
  <c r="F276" i="3"/>
  <c r="C276" i="3"/>
  <c r="D276" i="3" s="1"/>
  <c r="F275" i="3"/>
  <c r="C275" i="3"/>
  <c r="D275" i="3" s="1"/>
  <c r="F274" i="3"/>
  <c r="C274" i="3"/>
  <c r="D274" i="3" s="1"/>
  <c r="F273" i="3"/>
  <c r="C273" i="3"/>
  <c r="D273" i="3" s="1"/>
  <c r="F272" i="3"/>
  <c r="C272" i="3"/>
  <c r="D272" i="3" s="1"/>
  <c r="F271" i="3"/>
  <c r="C271" i="3"/>
  <c r="D271" i="3" s="1"/>
  <c r="F270" i="3"/>
  <c r="C270" i="3"/>
  <c r="D270" i="3" s="1"/>
  <c r="F269" i="3"/>
  <c r="C269" i="3"/>
  <c r="D269" i="3" s="1"/>
  <c r="F268" i="3"/>
  <c r="C268" i="3"/>
  <c r="D268" i="3" s="1"/>
  <c r="F267" i="3"/>
  <c r="C267" i="3"/>
  <c r="D267" i="3" s="1"/>
  <c r="F266" i="3"/>
  <c r="C266" i="3"/>
  <c r="D266" i="3" s="1"/>
  <c r="F265" i="3"/>
  <c r="C265" i="3"/>
  <c r="D265" i="3" s="1"/>
  <c r="F264" i="3"/>
  <c r="C264" i="3"/>
  <c r="D264" i="3" s="1"/>
  <c r="F263" i="3"/>
  <c r="C263" i="3"/>
  <c r="D263" i="3" s="1"/>
  <c r="F262" i="3"/>
  <c r="C262" i="3"/>
  <c r="D262" i="3" s="1"/>
  <c r="F261" i="3"/>
  <c r="C261" i="3"/>
  <c r="D261" i="3" s="1"/>
  <c r="F260" i="3"/>
  <c r="C260" i="3"/>
  <c r="D260" i="3" s="1"/>
  <c r="F259" i="3"/>
  <c r="C259" i="3"/>
  <c r="D259" i="3" s="1"/>
  <c r="F258" i="3"/>
  <c r="C258" i="3"/>
  <c r="D258" i="3" s="1"/>
  <c r="F257" i="3"/>
  <c r="C257" i="3"/>
  <c r="D257" i="3" s="1"/>
  <c r="F256" i="3"/>
  <c r="C256" i="3"/>
  <c r="D256" i="3" s="1"/>
  <c r="F255" i="3"/>
  <c r="C255" i="3"/>
  <c r="D255" i="3" s="1"/>
  <c r="F254" i="3"/>
  <c r="C254" i="3"/>
  <c r="D254" i="3" s="1"/>
  <c r="F253" i="3"/>
  <c r="C253" i="3"/>
  <c r="D253" i="3" s="1"/>
  <c r="F252" i="3"/>
  <c r="C252" i="3"/>
  <c r="D252" i="3" s="1"/>
  <c r="F251" i="3"/>
  <c r="C251" i="3"/>
  <c r="D251" i="3" s="1"/>
  <c r="F250" i="3"/>
  <c r="C250" i="3"/>
  <c r="D250" i="3" s="1"/>
  <c r="F249" i="3"/>
  <c r="C249" i="3"/>
  <c r="D249" i="3" s="1"/>
  <c r="F248" i="3"/>
  <c r="C248" i="3"/>
  <c r="D248" i="3" s="1"/>
  <c r="F247" i="3"/>
  <c r="C247" i="3"/>
  <c r="D247" i="3" s="1"/>
  <c r="F246" i="3"/>
  <c r="C246" i="3"/>
  <c r="D246" i="3" s="1"/>
  <c r="F245" i="3"/>
  <c r="C245" i="3"/>
  <c r="D245" i="3" s="1"/>
  <c r="F244" i="3"/>
  <c r="C244" i="3"/>
  <c r="D244" i="3" s="1"/>
  <c r="F243" i="3"/>
  <c r="C243" i="3"/>
  <c r="D243" i="3" s="1"/>
  <c r="F242" i="3"/>
  <c r="C242" i="3"/>
  <c r="D242" i="3" s="1"/>
  <c r="F241" i="3"/>
  <c r="C241" i="3"/>
  <c r="D241" i="3" s="1"/>
  <c r="F240" i="3"/>
  <c r="C240" i="3"/>
  <c r="D240" i="3" s="1"/>
  <c r="F239" i="3"/>
  <c r="C239" i="3"/>
  <c r="D239" i="3" s="1"/>
  <c r="F238" i="3"/>
  <c r="C238" i="3"/>
  <c r="D238" i="3" s="1"/>
  <c r="F237" i="3"/>
  <c r="C237" i="3"/>
  <c r="D237" i="3" s="1"/>
  <c r="F236" i="3"/>
  <c r="C236" i="3"/>
  <c r="D236" i="3" s="1"/>
  <c r="F235" i="3"/>
  <c r="C235" i="3"/>
  <c r="D235" i="3" s="1"/>
  <c r="F234" i="3"/>
  <c r="C234" i="3"/>
  <c r="D234" i="3" s="1"/>
  <c r="F233" i="3"/>
  <c r="C233" i="3"/>
  <c r="D233" i="3" s="1"/>
  <c r="F232" i="3"/>
  <c r="C232" i="3"/>
  <c r="D232" i="3" s="1"/>
  <c r="F231" i="3"/>
  <c r="C231" i="3"/>
  <c r="D231" i="3" s="1"/>
  <c r="F230" i="3"/>
  <c r="C230" i="3"/>
  <c r="D230" i="3" s="1"/>
  <c r="F229" i="3"/>
  <c r="C229" i="3"/>
  <c r="D229" i="3" s="1"/>
  <c r="F228" i="3"/>
  <c r="C228" i="3"/>
  <c r="D228" i="3" s="1"/>
  <c r="F227" i="3"/>
  <c r="C227" i="3"/>
  <c r="D227" i="3" s="1"/>
  <c r="F226" i="3"/>
  <c r="C226" i="3"/>
  <c r="D226" i="3" s="1"/>
  <c r="F225" i="3"/>
  <c r="C225" i="3"/>
  <c r="D225" i="3" s="1"/>
  <c r="F224" i="3"/>
  <c r="C224" i="3"/>
  <c r="D224" i="3" s="1"/>
  <c r="F223" i="3"/>
  <c r="C223" i="3"/>
  <c r="D223" i="3" s="1"/>
  <c r="F222" i="3"/>
  <c r="C222" i="3"/>
  <c r="D222" i="3" s="1"/>
  <c r="F221" i="3"/>
  <c r="C221" i="3"/>
  <c r="D221" i="3" s="1"/>
  <c r="F220" i="3"/>
  <c r="C220" i="3"/>
  <c r="D220" i="3" s="1"/>
  <c r="F219" i="3"/>
  <c r="C219" i="3"/>
  <c r="D219" i="3" s="1"/>
  <c r="F218" i="3"/>
  <c r="C218" i="3"/>
  <c r="D218" i="3" s="1"/>
  <c r="F217" i="3"/>
  <c r="C217" i="3"/>
  <c r="D217" i="3" s="1"/>
  <c r="F216" i="3"/>
  <c r="C216" i="3"/>
  <c r="D216" i="3" s="1"/>
  <c r="F215" i="3"/>
  <c r="C215" i="3"/>
  <c r="D215" i="3" s="1"/>
  <c r="F214" i="3"/>
  <c r="C214" i="3"/>
  <c r="D214" i="3" s="1"/>
  <c r="F213" i="3"/>
  <c r="C213" i="3"/>
  <c r="D213" i="3" s="1"/>
  <c r="F212" i="3"/>
  <c r="C212" i="3"/>
  <c r="D212" i="3" s="1"/>
  <c r="F211" i="3"/>
  <c r="C211" i="3"/>
  <c r="D211" i="3" s="1"/>
  <c r="F210" i="3"/>
  <c r="C210" i="3"/>
  <c r="D210" i="3" s="1"/>
  <c r="F209" i="3"/>
  <c r="C209" i="3"/>
  <c r="D209" i="3" s="1"/>
  <c r="F208" i="3"/>
  <c r="C208" i="3"/>
  <c r="D208" i="3" s="1"/>
  <c r="F207" i="3"/>
  <c r="C207" i="3"/>
  <c r="D207" i="3" s="1"/>
  <c r="F206" i="3"/>
  <c r="C206" i="3"/>
  <c r="D206" i="3" s="1"/>
  <c r="F205" i="3"/>
  <c r="C205" i="3"/>
  <c r="D205" i="3" s="1"/>
  <c r="F204" i="3"/>
  <c r="C204" i="3"/>
  <c r="D204" i="3" s="1"/>
  <c r="F203" i="3"/>
  <c r="C203" i="3"/>
  <c r="D203" i="3" s="1"/>
  <c r="F202" i="3"/>
  <c r="C202" i="3"/>
  <c r="D202" i="3" s="1"/>
  <c r="F201" i="3"/>
  <c r="C201" i="3"/>
  <c r="D201" i="3" s="1"/>
  <c r="F200" i="3"/>
  <c r="C200" i="3"/>
  <c r="D200" i="3" s="1"/>
  <c r="F199" i="3"/>
  <c r="C199" i="3"/>
  <c r="D199" i="3" s="1"/>
  <c r="F198" i="3"/>
  <c r="C198" i="3"/>
  <c r="D198" i="3" s="1"/>
  <c r="F197" i="3"/>
  <c r="C197" i="3"/>
  <c r="D197" i="3" s="1"/>
  <c r="F196" i="3"/>
  <c r="C196" i="3"/>
  <c r="D196" i="3" s="1"/>
  <c r="F195" i="3"/>
  <c r="C195" i="3"/>
  <c r="D195" i="3" s="1"/>
  <c r="F194" i="3"/>
  <c r="C194" i="3"/>
  <c r="D194" i="3" s="1"/>
  <c r="F193" i="3"/>
  <c r="C193" i="3"/>
  <c r="D193" i="3" s="1"/>
  <c r="F192" i="3"/>
  <c r="C192" i="3"/>
  <c r="D192" i="3" s="1"/>
  <c r="F191" i="3"/>
  <c r="C191" i="3"/>
  <c r="D191" i="3" s="1"/>
  <c r="F190" i="3"/>
  <c r="C190" i="3"/>
  <c r="D190" i="3" s="1"/>
  <c r="F189" i="3"/>
  <c r="C189" i="3"/>
  <c r="D189" i="3" s="1"/>
  <c r="F188" i="3"/>
  <c r="C188" i="3"/>
  <c r="D188" i="3" s="1"/>
  <c r="F187" i="3"/>
  <c r="C187" i="3"/>
  <c r="D187" i="3" s="1"/>
  <c r="F186" i="3"/>
  <c r="C186" i="3"/>
  <c r="D186" i="3" s="1"/>
  <c r="F185" i="3"/>
  <c r="C185" i="3"/>
  <c r="D185" i="3" s="1"/>
  <c r="F184" i="3"/>
  <c r="C184" i="3"/>
  <c r="D184" i="3" s="1"/>
  <c r="F183" i="3"/>
  <c r="C183" i="3"/>
  <c r="D183" i="3" s="1"/>
  <c r="F182" i="3"/>
  <c r="C182" i="3"/>
  <c r="D182" i="3" s="1"/>
  <c r="F181" i="3"/>
  <c r="C181" i="3"/>
  <c r="D181" i="3" s="1"/>
  <c r="F180" i="3"/>
  <c r="C180" i="3"/>
  <c r="D180" i="3" s="1"/>
  <c r="F179" i="3"/>
  <c r="C179" i="3"/>
  <c r="D179" i="3" s="1"/>
  <c r="F178" i="3"/>
  <c r="C178" i="3"/>
  <c r="D178" i="3" s="1"/>
  <c r="F177" i="3"/>
  <c r="C177" i="3"/>
  <c r="D177" i="3" s="1"/>
  <c r="F176" i="3"/>
  <c r="C176" i="3"/>
  <c r="D176" i="3" s="1"/>
  <c r="F175" i="3"/>
  <c r="C175" i="3"/>
  <c r="D175" i="3" s="1"/>
  <c r="F174" i="3"/>
  <c r="C174" i="3"/>
  <c r="D174" i="3" s="1"/>
  <c r="F173" i="3"/>
  <c r="C173" i="3"/>
  <c r="D173" i="3" s="1"/>
  <c r="F172" i="3"/>
  <c r="C172" i="3"/>
  <c r="D172" i="3" s="1"/>
  <c r="F171" i="3"/>
  <c r="C171" i="3"/>
  <c r="D171" i="3" s="1"/>
  <c r="F170" i="3"/>
  <c r="C170" i="3"/>
  <c r="D170" i="3" s="1"/>
  <c r="F169" i="3"/>
  <c r="C169" i="3"/>
  <c r="D169" i="3" s="1"/>
  <c r="F168" i="3"/>
  <c r="C168" i="3"/>
  <c r="D168" i="3" s="1"/>
  <c r="F167" i="3"/>
  <c r="C167" i="3"/>
  <c r="D167" i="3" s="1"/>
  <c r="F166" i="3"/>
  <c r="C166" i="3"/>
  <c r="D166" i="3" s="1"/>
  <c r="F165" i="3"/>
  <c r="C165" i="3"/>
  <c r="D165" i="3" s="1"/>
  <c r="F164" i="3"/>
  <c r="C164" i="3"/>
  <c r="D164" i="3" s="1"/>
  <c r="F163" i="3"/>
  <c r="C163" i="3"/>
  <c r="D163" i="3" s="1"/>
  <c r="F162" i="3"/>
  <c r="C162" i="3"/>
  <c r="D162" i="3" s="1"/>
  <c r="F161" i="3"/>
  <c r="C161" i="3"/>
  <c r="D161" i="3" s="1"/>
  <c r="F160" i="3"/>
  <c r="C160" i="3"/>
  <c r="D160" i="3" s="1"/>
  <c r="F159" i="3"/>
  <c r="C159" i="3"/>
  <c r="D159" i="3" s="1"/>
  <c r="F158" i="3"/>
  <c r="C158" i="3"/>
  <c r="D158" i="3" s="1"/>
  <c r="F157" i="3"/>
  <c r="C157" i="3"/>
  <c r="D157" i="3" s="1"/>
  <c r="F156" i="3"/>
  <c r="C156" i="3"/>
  <c r="D156" i="3" s="1"/>
  <c r="F155" i="3"/>
  <c r="C155" i="3"/>
  <c r="D155" i="3" s="1"/>
  <c r="F154" i="3"/>
  <c r="C154" i="3"/>
  <c r="D154" i="3" s="1"/>
  <c r="F153" i="3"/>
  <c r="C153" i="3"/>
  <c r="D153" i="3" s="1"/>
  <c r="F152" i="3"/>
  <c r="C152" i="3"/>
  <c r="D152" i="3" s="1"/>
  <c r="F151" i="3"/>
  <c r="C151" i="3"/>
  <c r="D151" i="3" s="1"/>
  <c r="F150" i="3"/>
  <c r="C150" i="3"/>
  <c r="D150" i="3" s="1"/>
  <c r="F149" i="3"/>
  <c r="C149" i="3"/>
  <c r="D149" i="3" s="1"/>
  <c r="F148" i="3"/>
  <c r="C148" i="3"/>
  <c r="D148" i="3" s="1"/>
  <c r="F147" i="3"/>
  <c r="C147" i="3"/>
  <c r="D147" i="3" s="1"/>
  <c r="F146" i="3"/>
  <c r="C146" i="3"/>
  <c r="D146" i="3" s="1"/>
  <c r="F145" i="3"/>
  <c r="C145" i="3"/>
  <c r="D145" i="3" s="1"/>
  <c r="F144" i="3"/>
  <c r="C144" i="3"/>
  <c r="D144" i="3" s="1"/>
  <c r="F143" i="3"/>
  <c r="C143" i="3"/>
  <c r="D143" i="3" s="1"/>
  <c r="F142" i="3"/>
  <c r="C142" i="3"/>
  <c r="D142" i="3" s="1"/>
  <c r="F141" i="3"/>
  <c r="C141" i="3"/>
  <c r="D141" i="3" s="1"/>
  <c r="F140" i="3"/>
  <c r="C140" i="3"/>
  <c r="D140" i="3" s="1"/>
  <c r="F139" i="3"/>
  <c r="C139" i="3"/>
  <c r="D139" i="3" s="1"/>
  <c r="F138" i="3"/>
  <c r="C138" i="3"/>
  <c r="D138" i="3" s="1"/>
  <c r="F137" i="3"/>
  <c r="C137" i="3"/>
  <c r="D137" i="3" s="1"/>
  <c r="F136" i="3"/>
  <c r="C136" i="3"/>
  <c r="D136" i="3" s="1"/>
  <c r="F135" i="3"/>
  <c r="C135" i="3"/>
  <c r="D135" i="3" s="1"/>
  <c r="F134" i="3"/>
  <c r="C134" i="3"/>
  <c r="D134" i="3" s="1"/>
  <c r="F133" i="3"/>
  <c r="C133" i="3"/>
  <c r="D133" i="3" s="1"/>
  <c r="F132" i="3"/>
  <c r="C132" i="3"/>
  <c r="D132" i="3" s="1"/>
  <c r="F131" i="3"/>
  <c r="C131" i="3"/>
  <c r="D131" i="3" s="1"/>
  <c r="F130" i="3"/>
  <c r="C130" i="3"/>
  <c r="D130" i="3" s="1"/>
  <c r="F129" i="3"/>
  <c r="C129" i="3"/>
  <c r="D129" i="3" s="1"/>
  <c r="F128" i="3"/>
  <c r="C128" i="3"/>
  <c r="D128" i="3" s="1"/>
  <c r="F127" i="3"/>
  <c r="C127" i="3"/>
  <c r="D127" i="3" s="1"/>
  <c r="F126" i="3"/>
  <c r="C126" i="3"/>
  <c r="D126" i="3" s="1"/>
  <c r="F125" i="3"/>
  <c r="C125" i="3"/>
  <c r="D125" i="3" s="1"/>
  <c r="F124" i="3"/>
  <c r="C124" i="3"/>
  <c r="D124" i="3" s="1"/>
  <c r="F123" i="3"/>
  <c r="C123" i="3"/>
  <c r="D123" i="3" s="1"/>
  <c r="F122" i="3"/>
  <c r="C122" i="3"/>
  <c r="D122" i="3" s="1"/>
  <c r="F121" i="3"/>
  <c r="C121" i="3"/>
  <c r="D121" i="3" s="1"/>
  <c r="F120" i="3"/>
  <c r="C120" i="3"/>
  <c r="D120" i="3" s="1"/>
  <c r="F119" i="3"/>
  <c r="C119" i="3"/>
  <c r="D119" i="3" s="1"/>
  <c r="F118" i="3"/>
  <c r="C118" i="3"/>
  <c r="D118" i="3" s="1"/>
  <c r="F117" i="3"/>
  <c r="C117" i="3"/>
  <c r="D117" i="3" s="1"/>
  <c r="F116" i="3"/>
  <c r="C116" i="3"/>
  <c r="D116" i="3" s="1"/>
  <c r="F115" i="3"/>
  <c r="C115" i="3"/>
  <c r="D115" i="3" s="1"/>
  <c r="F114" i="3"/>
  <c r="C114" i="3"/>
  <c r="D114" i="3" s="1"/>
  <c r="F113" i="3"/>
  <c r="C113" i="3"/>
  <c r="D113" i="3" s="1"/>
  <c r="F112" i="3"/>
  <c r="C112" i="3"/>
  <c r="D112" i="3" s="1"/>
  <c r="F111" i="3"/>
  <c r="C111" i="3"/>
  <c r="D111" i="3" s="1"/>
  <c r="F110" i="3"/>
  <c r="C110" i="3"/>
  <c r="D110" i="3" s="1"/>
  <c r="F109" i="3"/>
  <c r="C109" i="3"/>
  <c r="D109" i="3" s="1"/>
  <c r="F108" i="3"/>
  <c r="C108" i="3"/>
  <c r="D108" i="3" s="1"/>
  <c r="F107" i="3"/>
  <c r="C107" i="3"/>
  <c r="D107" i="3" s="1"/>
  <c r="F106" i="3"/>
  <c r="C106" i="3"/>
  <c r="D106" i="3" s="1"/>
  <c r="F105" i="3"/>
  <c r="C105" i="3"/>
  <c r="D105" i="3" s="1"/>
  <c r="F104" i="3"/>
  <c r="C104" i="3"/>
  <c r="D104" i="3" s="1"/>
  <c r="F103" i="3"/>
  <c r="C103" i="3"/>
  <c r="D103" i="3" s="1"/>
  <c r="F102" i="3"/>
  <c r="C102" i="3"/>
  <c r="D102" i="3" s="1"/>
  <c r="F101" i="3"/>
  <c r="C101" i="3"/>
  <c r="D101" i="3" s="1"/>
  <c r="F100" i="3"/>
  <c r="C100" i="3"/>
  <c r="D100" i="3" s="1"/>
  <c r="F99" i="3"/>
  <c r="C99" i="3"/>
  <c r="D99" i="3" s="1"/>
  <c r="F98" i="3"/>
  <c r="C98" i="3"/>
  <c r="D98" i="3" s="1"/>
  <c r="F97" i="3"/>
  <c r="C97" i="3"/>
  <c r="D97" i="3" s="1"/>
  <c r="F96" i="3"/>
  <c r="C96" i="3"/>
  <c r="D96" i="3" s="1"/>
  <c r="F95" i="3"/>
  <c r="C95" i="3"/>
  <c r="D95" i="3" s="1"/>
  <c r="F94" i="3"/>
  <c r="C94" i="3"/>
  <c r="D94" i="3" s="1"/>
  <c r="F93" i="3"/>
  <c r="C93" i="3"/>
  <c r="D93" i="3" s="1"/>
  <c r="F92" i="3"/>
  <c r="C92" i="3"/>
  <c r="D92" i="3" s="1"/>
  <c r="F91" i="3"/>
  <c r="C91" i="3"/>
  <c r="D91" i="3" s="1"/>
  <c r="F90" i="3"/>
  <c r="C90" i="3"/>
  <c r="D90" i="3" s="1"/>
  <c r="F89" i="3"/>
  <c r="H89" i="3" s="1"/>
  <c r="I89" i="3" s="1"/>
  <c r="C89" i="3"/>
  <c r="D89" i="3" s="1"/>
  <c r="F88" i="3"/>
  <c r="C88" i="3"/>
  <c r="D88" i="3" s="1"/>
  <c r="F87" i="3"/>
  <c r="C87" i="3"/>
  <c r="D87" i="3" s="1"/>
  <c r="F86" i="3"/>
  <c r="C86" i="3"/>
  <c r="D86" i="3" s="1"/>
  <c r="F85" i="3"/>
  <c r="C85" i="3"/>
  <c r="D85" i="3" s="1"/>
  <c r="F84" i="3"/>
  <c r="C84" i="3"/>
  <c r="D84" i="3" s="1"/>
  <c r="F83" i="3"/>
  <c r="C83" i="3"/>
  <c r="D83" i="3" s="1"/>
  <c r="F82" i="3"/>
  <c r="C82" i="3"/>
  <c r="D82" i="3" s="1"/>
  <c r="F81" i="3"/>
  <c r="C81" i="3"/>
  <c r="D81" i="3" s="1"/>
  <c r="F80" i="3"/>
  <c r="C80" i="3"/>
  <c r="D80" i="3" s="1"/>
  <c r="F79" i="3"/>
  <c r="C79" i="3"/>
  <c r="D79" i="3" s="1"/>
  <c r="F78" i="3"/>
  <c r="C78" i="3"/>
  <c r="D78" i="3" s="1"/>
  <c r="F77" i="3"/>
  <c r="C77" i="3"/>
  <c r="D77" i="3" s="1"/>
  <c r="F76" i="3"/>
  <c r="C76" i="3"/>
  <c r="D76" i="3" s="1"/>
  <c r="F75" i="3"/>
  <c r="C75" i="3"/>
  <c r="D75" i="3" s="1"/>
  <c r="F74" i="3"/>
  <c r="C74" i="3"/>
  <c r="D74" i="3" s="1"/>
  <c r="F73" i="3"/>
  <c r="C73" i="3"/>
  <c r="D73" i="3" s="1"/>
  <c r="F72" i="3"/>
  <c r="C72" i="3"/>
  <c r="D72" i="3" s="1"/>
  <c r="F71" i="3"/>
  <c r="C71" i="3"/>
  <c r="D71" i="3" s="1"/>
  <c r="F70" i="3"/>
  <c r="C70" i="3"/>
  <c r="D70" i="3" s="1"/>
  <c r="F69" i="3"/>
  <c r="C69" i="3"/>
  <c r="D69" i="3" s="1"/>
  <c r="F68" i="3"/>
  <c r="C68" i="3"/>
  <c r="D68" i="3" s="1"/>
  <c r="F67" i="3"/>
  <c r="C67" i="3"/>
  <c r="D67" i="3" s="1"/>
  <c r="F66" i="3"/>
  <c r="C66" i="3"/>
  <c r="D66" i="3" s="1"/>
  <c r="F65" i="3"/>
  <c r="C65" i="3"/>
  <c r="D65" i="3" s="1"/>
  <c r="F64" i="3"/>
  <c r="C64" i="3"/>
  <c r="D64" i="3" s="1"/>
  <c r="F63" i="3"/>
  <c r="C63" i="3"/>
  <c r="D63" i="3" s="1"/>
  <c r="F62" i="3"/>
  <c r="C62" i="3"/>
  <c r="D62" i="3" s="1"/>
  <c r="F61" i="3"/>
  <c r="C61" i="3"/>
  <c r="D61" i="3" s="1"/>
  <c r="F60" i="3"/>
  <c r="C60" i="3"/>
  <c r="D60" i="3" s="1"/>
  <c r="F59" i="3"/>
  <c r="C59" i="3"/>
  <c r="D59" i="3" s="1"/>
  <c r="F58" i="3"/>
  <c r="C58" i="3"/>
  <c r="D58" i="3" s="1"/>
  <c r="F57" i="3"/>
  <c r="C57" i="3"/>
  <c r="D57" i="3" s="1"/>
  <c r="F56" i="3"/>
  <c r="C56" i="3"/>
  <c r="D56" i="3" s="1"/>
  <c r="F55" i="3"/>
  <c r="C55" i="3"/>
  <c r="D55" i="3" s="1"/>
  <c r="F54" i="3"/>
  <c r="C54" i="3"/>
  <c r="D54" i="3" s="1"/>
  <c r="F53" i="3"/>
  <c r="C53" i="3"/>
  <c r="D53" i="3" s="1"/>
  <c r="F52" i="3"/>
  <c r="C52" i="3"/>
  <c r="D52" i="3" s="1"/>
  <c r="F51" i="3"/>
  <c r="C51" i="3"/>
  <c r="D51" i="3" s="1"/>
  <c r="F50" i="3"/>
  <c r="C50" i="3"/>
  <c r="D50" i="3" s="1"/>
  <c r="F49" i="3"/>
  <c r="C49" i="3"/>
  <c r="D49" i="3" s="1"/>
  <c r="F48" i="3"/>
  <c r="C48" i="3"/>
  <c r="D48" i="3" s="1"/>
  <c r="F47" i="3"/>
  <c r="C47" i="3"/>
  <c r="D47" i="3" s="1"/>
  <c r="F46" i="3"/>
  <c r="C46" i="3"/>
  <c r="D46" i="3" s="1"/>
  <c r="F45" i="3"/>
  <c r="C45" i="3"/>
  <c r="D45" i="3" s="1"/>
  <c r="F44" i="3"/>
  <c r="C44" i="3"/>
  <c r="D44" i="3" s="1"/>
  <c r="F43" i="3"/>
  <c r="C43" i="3"/>
  <c r="D43" i="3" s="1"/>
  <c r="F42" i="3"/>
  <c r="C42" i="3"/>
  <c r="D42" i="3" s="1"/>
  <c r="F41" i="3"/>
  <c r="C41" i="3"/>
  <c r="D41" i="3" s="1"/>
  <c r="F40" i="3"/>
  <c r="C40" i="3"/>
  <c r="D40" i="3" s="1"/>
  <c r="F39" i="3"/>
  <c r="C39" i="3"/>
  <c r="D39" i="3" s="1"/>
  <c r="F38" i="3"/>
  <c r="C38" i="3"/>
  <c r="D38" i="3" s="1"/>
  <c r="F37" i="3"/>
  <c r="C37" i="3"/>
  <c r="D37" i="3" s="1"/>
  <c r="F36" i="3"/>
  <c r="C36" i="3"/>
  <c r="D36" i="3" s="1"/>
  <c r="F35" i="3"/>
  <c r="C35" i="3"/>
  <c r="D35" i="3" s="1"/>
  <c r="F34" i="3"/>
  <c r="C34" i="3"/>
  <c r="D34" i="3" s="1"/>
  <c r="F33" i="3"/>
  <c r="C33" i="3"/>
  <c r="D33" i="3" s="1"/>
  <c r="F32" i="3"/>
  <c r="C32" i="3"/>
  <c r="D32" i="3" s="1"/>
  <c r="F31" i="3"/>
  <c r="C31" i="3"/>
  <c r="D31" i="3" s="1"/>
  <c r="F30" i="3"/>
  <c r="C30" i="3"/>
  <c r="D30" i="3" s="1"/>
  <c r="F29" i="3"/>
  <c r="C29" i="3"/>
  <c r="D29" i="3" s="1"/>
  <c r="F28" i="3"/>
  <c r="C28" i="3"/>
  <c r="D28" i="3" s="1"/>
  <c r="F27" i="3"/>
  <c r="C27" i="3"/>
  <c r="D27" i="3" s="1"/>
  <c r="F26" i="3"/>
  <c r="C26" i="3"/>
  <c r="D26" i="3" s="1"/>
  <c r="F25" i="3"/>
  <c r="C25" i="3"/>
  <c r="D25" i="3" s="1"/>
  <c r="F24" i="3"/>
  <c r="C24" i="3"/>
  <c r="D24" i="3" s="1"/>
  <c r="F23" i="3"/>
  <c r="C23" i="3"/>
  <c r="D23" i="3" s="1"/>
  <c r="F22" i="3"/>
  <c r="C22" i="3"/>
  <c r="D22" i="3" s="1"/>
  <c r="F21" i="3"/>
  <c r="C21" i="3"/>
  <c r="D21" i="3" s="1"/>
  <c r="F20" i="3"/>
  <c r="C20" i="3"/>
  <c r="D20" i="3" s="1"/>
  <c r="F19" i="3"/>
  <c r="C19" i="3"/>
  <c r="D19" i="3" s="1"/>
  <c r="F18" i="3"/>
  <c r="C18" i="3"/>
  <c r="D18" i="3" s="1"/>
  <c r="F17" i="3"/>
  <c r="C17" i="3"/>
  <c r="D17" i="3" s="1"/>
  <c r="F16" i="3"/>
  <c r="C16" i="3"/>
  <c r="D16" i="3" s="1"/>
  <c r="F15" i="3"/>
  <c r="C15" i="3"/>
  <c r="D15" i="3" s="1"/>
  <c r="F14" i="3"/>
  <c r="C14" i="3"/>
  <c r="D14" i="3" s="1"/>
  <c r="F13" i="3"/>
  <c r="C13" i="3"/>
  <c r="D13" i="3" s="1"/>
  <c r="F12" i="3"/>
  <c r="C12" i="3"/>
  <c r="D12" i="3" s="1"/>
  <c r="F11" i="3"/>
  <c r="C11" i="3"/>
  <c r="D11" i="3" s="1"/>
  <c r="F10" i="3"/>
  <c r="C10" i="3"/>
  <c r="D10" i="3" s="1"/>
  <c r="F9" i="3"/>
  <c r="C9" i="3"/>
  <c r="D9" i="3" s="1"/>
  <c r="F8" i="3"/>
  <c r="C8" i="3"/>
  <c r="D8" i="3" s="1"/>
  <c r="F7" i="3"/>
  <c r="C7" i="3"/>
  <c r="D7" i="3" s="1"/>
  <c r="F6" i="3"/>
  <c r="C6" i="3"/>
  <c r="D6" i="3" s="1"/>
  <c r="F5" i="3"/>
  <c r="C5" i="3"/>
  <c r="D5" i="3" s="1"/>
  <c r="F4" i="3"/>
  <c r="C4" i="3"/>
  <c r="D4" i="3" s="1"/>
  <c r="F3" i="3"/>
  <c r="C3" i="3"/>
  <c r="D3" i="3" s="1"/>
  <c r="F2" i="3"/>
  <c r="C2" i="3"/>
  <c r="F1001" i="2"/>
  <c r="C1001" i="2"/>
  <c r="D1001" i="2" s="1"/>
  <c r="F1000" i="2"/>
  <c r="C1000" i="2"/>
  <c r="D1000" i="2" s="1"/>
  <c r="F999" i="2"/>
  <c r="C999" i="2"/>
  <c r="D999" i="2" s="1"/>
  <c r="F998" i="2"/>
  <c r="C998" i="2"/>
  <c r="D998" i="2" s="1"/>
  <c r="F997" i="2"/>
  <c r="C997" i="2"/>
  <c r="D997" i="2" s="1"/>
  <c r="F996" i="2"/>
  <c r="C996" i="2"/>
  <c r="D996" i="2" s="1"/>
  <c r="F995" i="2"/>
  <c r="C995" i="2"/>
  <c r="D995" i="2" s="1"/>
  <c r="F994" i="2"/>
  <c r="C994" i="2"/>
  <c r="D994" i="2" s="1"/>
  <c r="F993" i="2"/>
  <c r="C993" i="2"/>
  <c r="D993" i="2" s="1"/>
  <c r="F992" i="2"/>
  <c r="C992" i="2"/>
  <c r="D992" i="2" s="1"/>
  <c r="F991" i="2"/>
  <c r="C991" i="2"/>
  <c r="D991" i="2" s="1"/>
  <c r="F990" i="2"/>
  <c r="C990" i="2"/>
  <c r="D990" i="2" s="1"/>
  <c r="F989" i="2"/>
  <c r="C989" i="2"/>
  <c r="D989" i="2" s="1"/>
  <c r="F988" i="2"/>
  <c r="C988" i="2"/>
  <c r="D988" i="2" s="1"/>
  <c r="F987" i="2"/>
  <c r="C987" i="2"/>
  <c r="D987" i="2" s="1"/>
  <c r="F986" i="2"/>
  <c r="C986" i="2"/>
  <c r="D986" i="2" s="1"/>
  <c r="F985" i="2"/>
  <c r="C985" i="2"/>
  <c r="D985" i="2" s="1"/>
  <c r="F984" i="2"/>
  <c r="C984" i="2"/>
  <c r="D984" i="2" s="1"/>
  <c r="F983" i="2"/>
  <c r="C983" i="2"/>
  <c r="D983" i="2" s="1"/>
  <c r="F982" i="2"/>
  <c r="C982" i="2"/>
  <c r="D982" i="2" s="1"/>
  <c r="F981" i="2"/>
  <c r="C981" i="2"/>
  <c r="D981" i="2" s="1"/>
  <c r="F980" i="2"/>
  <c r="C980" i="2"/>
  <c r="D980" i="2" s="1"/>
  <c r="F979" i="2"/>
  <c r="C979" i="2"/>
  <c r="D979" i="2" s="1"/>
  <c r="F978" i="2"/>
  <c r="C978" i="2"/>
  <c r="D978" i="2" s="1"/>
  <c r="F977" i="2"/>
  <c r="C977" i="2"/>
  <c r="D977" i="2" s="1"/>
  <c r="F976" i="2"/>
  <c r="C976" i="2"/>
  <c r="D976" i="2" s="1"/>
  <c r="F975" i="2"/>
  <c r="C975" i="2"/>
  <c r="D975" i="2" s="1"/>
  <c r="F974" i="2"/>
  <c r="C974" i="2"/>
  <c r="D974" i="2" s="1"/>
  <c r="F973" i="2"/>
  <c r="C973" i="2"/>
  <c r="D973" i="2" s="1"/>
  <c r="F972" i="2"/>
  <c r="C972" i="2"/>
  <c r="D972" i="2" s="1"/>
  <c r="F971" i="2"/>
  <c r="C971" i="2"/>
  <c r="D971" i="2" s="1"/>
  <c r="F970" i="2"/>
  <c r="C970" i="2"/>
  <c r="D970" i="2" s="1"/>
  <c r="F969" i="2"/>
  <c r="C969" i="2"/>
  <c r="D969" i="2" s="1"/>
  <c r="F968" i="2"/>
  <c r="C968" i="2"/>
  <c r="D968" i="2" s="1"/>
  <c r="F967" i="2"/>
  <c r="C967" i="2"/>
  <c r="D967" i="2" s="1"/>
  <c r="F966" i="2"/>
  <c r="C966" i="2"/>
  <c r="D966" i="2" s="1"/>
  <c r="F965" i="2"/>
  <c r="C965" i="2"/>
  <c r="D965" i="2" s="1"/>
  <c r="F964" i="2"/>
  <c r="C964" i="2"/>
  <c r="D964" i="2" s="1"/>
  <c r="F963" i="2"/>
  <c r="C963" i="2"/>
  <c r="D963" i="2" s="1"/>
  <c r="F962" i="2"/>
  <c r="C962" i="2"/>
  <c r="D962" i="2" s="1"/>
  <c r="F961" i="2"/>
  <c r="C961" i="2"/>
  <c r="D961" i="2" s="1"/>
  <c r="F960" i="2"/>
  <c r="C960" i="2"/>
  <c r="D960" i="2" s="1"/>
  <c r="F959" i="2"/>
  <c r="C959" i="2"/>
  <c r="D959" i="2" s="1"/>
  <c r="F958" i="2"/>
  <c r="C958" i="2"/>
  <c r="D958" i="2" s="1"/>
  <c r="F957" i="2"/>
  <c r="C957" i="2"/>
  <c r="D957" i="2" s="1"/>
  <c r="F956" i="2"/>
  <c r="C956" i="2"/>
  <c r="D956" i="2" s="1"/>
  <c r="F955" i="2"/>
  <c r="C955" i="2"/>
  <c r="D955" i="2" s="1"/>
  <c r="F954" i="2"/>
  <c r="C954" i="2"/>
  <c r="D954" i="2" s="1"/>
  <c r="F953" i="2"/>
  <c r="C953" i="2"/>
  <c r="D953" i="2" s="1"/>
  <c r="F952" i="2"/>
  <c r="C952" i="2"/>
  <c r="D952" i="2" s="1"/>
  <c r="F951" i="2"/>
  <c r="C951" i="2"/>
  <c r="D951" i="2" s="1"/>
  <c r="F950" i="2"/>
  <c r="C950" i="2"/>
  <c r="D950" i="2" s="1"/>
  <c r="F949" i="2"/>
  <c r="C949" i="2"/>
  <c r="D949" i="2" s="1"/>
  <c r="F948" i="2"/>
  <c r="C948" i="2"/>
  <c r="D948" i="2" s="1"/>
  <c r="F947" i="2"/>
  <c r="C947" i="2"/>
  <c r="D947" i="2" s="1"/>
  <c r="F946" i="2"/>
  <c r="C946" i="2"/>
  <c r="D946" i="2" s="1"/>
  <c r="F945" i="2"/>
  <c r="C945" i="2"/>
  <c r="D945" i="2" s="1"/>
  <c r="F944" i="2"/>
  <c r="C944" i="2"/>
  <c r="D944" i="2" s="1"/>
  <c r="F943" i="2"/>
  <c r="C943" i="2"/>
  <c r="D943" i="2" s="1"/>
  <c r="F942" i="2"/>
  <c r="C942" i="2"/>
  <c r="D942" i="2" s="1"/>
  <c r="F941" i="2"/>
  <c r="C941" i="2"/>
  <c r="D941" i="2" s="1"/>
  <c r="F940" i="2"/>
  <c r="C940" i="2"/>
  <c r="D940" i="2" s="1"/>
  <c r="F939" i="2"/>
  <c r="C939" i="2"/>
  <c r="D939" i="2" s="1"/>
  <c r="F938" i="2"/>
  <c r="C938" i="2"/>
  <c r="D938" i="2" s="1"/>
  <c r="F937" i="2"/>
  <c r="C937" i="2"/>
  <c r="D937" i="2" s="1"/>
  <c r="F936" i="2"/>
  <c r="C936" i="2"/>
  <c r="D936" i="2" s="1"/>
  <c r="F935" i="2"/>
  <c r="C935" i="2"/>
  <c r="D935" i="2" s="1"/>
  <c r="F934" i="2"/>
  <c r="C934" i="2"/>
  <c r="D934" i="2" s="1"/>
  <c r="F933" i="2"/>
  <c r="C933" i="2"/>
  <c r="D933" i="2" s="1"/>
  <c r="F932" i="2"/>
  <c r="C932" i="2"/>
  <c r="D932" i="2" s="1"/>
  <c r="F931" i="2"/>
  <c r="C931" i="2"/>
  <c r="D931" i="2" s="1"/>
  <c r="F930" i="2"/>
  <c r="C930" i="2"/>
  <c r="D930" i="2" s="1"/>
  <c r="F929" i="2"/>
  <c r="C929" i="2"/>
  <c r="D929" i="2" s="1"/>
  <c r="F928" i="2"/>
  <c r="C928" i="2"/>
  <c r="D928" i="2" s="1"/>
  <c r="F927" i="2"/>
  <c r="C927" i="2"/>
  <c r="D927" i="2" s="1"/>
  <c r="F926" i="2"/>
  <c r="D926" i="2"/>
  <c r="C926" i="2"/>
  <c r="F925" i="2"/>
  <c r="C925" i="2"/>
  <c r="D925" i="2" s="1"/>
  <c r="F924" i="2"/>
  <c r="C924" i="2"/>
  <c r="D924" i="2" s="1"/>
  <c r="F923" i="2"/>
  <c r="C923" i="2"/>
  <c r="D923" i="2" s="1"/>
  <c r="F922" i="2"/>
  <c r="C922" i="2"/>
  <c r="D922" i="2" s="1"/>
  <c r="F921" i="2"/>
  <c r="C921" i="2"/>
  <c r="D921" i="2" s="1"/>
  <c r="F920" i="2"/>
  <c r="C920" i="2"/>
  <c r="D920" i="2" s="1"/>
  <c r="F919" i="2"/>
  <c r="C919" i="2"/>
  <c r="D919" i="2" s="1"/>
  <c r="F918" i="2"/>
  <c r="C918" i="2"/>
  <c r="D918" i="2" s="1"/>
  <c r="F917" i="2"/>
  <c r="C917" i="2"/>
  <c r="D917" i="2" s="1"/>
  <c r="F916" i="2"/>
  <c r="C916" i="2"/>
  <c r="D916" i="2" s="1"/>
  <c r="F915" i="2"/>
  <c r="C915" i="2"/>
  <c r="D915" i="2" s="1"/>
  <c r="F914" i="2"/>
  <c r="C914" i="2"/>
  <c r="D914" i="2" s="1"/>
  <c r="F913" i="2"/>
  <c r="C913" i="2"/>
  <c r="D913" i="2" s="1"/>
  <c r="F912" i="2"/>
  <c r="C912" i="2"/>
  <c r="D912" i="2" s="1"/>
  <c r="F911" i="2"/>
  <c r="C911" i="2"/>
  <c r="D911" i="2" s="1"/>
  <c r="F910" i="2"/>
  <c r="C910" i="2"/>
  <c r="D910" i="2" s="1"/>
  <c r="F909" i="2"/>
  <c r="C909" i="2"/>
  <c r="D909" i="2" s="1"/>
  <c r="F908" i="2"/>
  <c r="C908" i="2"/>
  <c r="D908" i="2" s="1"/>
  <c r="F907" i="2"/>
  <c r="C907" i="2"/>
  <c r="D907" i="2" s="1"/>
  <c r="F906" i="2"/>
  <c r="C906" i="2"/>
  <c r="D906" i="2" s="1"/>
  <c r="F905" i="2"/>
  <c r="C905" i="2"/>
  <c r="D905" i="2" s="1"/>
  <c r="F904" i="2"/>
  <c r="C904" i="2"/>
  <c r="D904" i="2" s="1"/>
  <c r="F903" i="2"/>
  <c r="C903" i="2"/>
  <c r="D903" i="2" s="1"/>
  <c r="F902" i="2"/>
  <c r="C902" i="2"/>
  <c r="D902" i="2" s="1"/>
  <c r="F901" i="2"/>
  <c r="C901" i="2"/>
  <c r="D901" i="2" s="1"/>
  <c r="F900" i="2"/>
  <c r="C900" i="2"/>
  <c r="D900" i="2" s="1"/>
  <c r="F899" i="2"/>
  <c r="C899" i="2"/>
  <c r="D899" i="2" s="1"/>
  <c r="F898" i="2"/>
  <c r="C898" i="2"/>
  <c r="D898" i="2" s="1"/>
  <c r="F897" i="2"/>
  <c r="C897" i="2"/>
  <c r="D897" i="2" s="1"/>
  <c r="F896" i="2"/>
  <c r="C896" i="2"/>
  <c r="D896" i="2" s="1"/>
  <c r="F895" i="2"/>
  <c r="C895" i="2"/>
  <c r="D895" i="2" s="1"/>
  <c r="F894" i="2"/>
  <c r="C894" i="2"/>
  <c r="D894" i="2" s="1"/>
  <c r="F893" i="2"/>
  <c r="C893" i="2"/>
  <c r="D893" i="2" s="1"/>
  <c r="F892" i="2"/>
  <c r="C892" i="2"/>
  <c r="D892" i="2" s="1"/>
  <c r="F891" i="2"/>
  <c r="C891" i="2"/>
  <c r="D891" i="2" s="1"/>
  <c r="F890" i="2"/>
  <c r="C890" i="2"/>
  <c r="D890" i="2" s="1"/>
  <c r="F889" i="2"/>
  <c r="C889" i="2"/>
  <c r="D889" i="2" s="1"/>
  <c r="F888" i="2"/>
  <c r="C888" i="2"/>
  <c r="D888" i="2" s="1"/>
  <c r="F887" i="2"/>
  <c r="C887" i="2"/>
  <c r="D887" i="2" s="1"/>
  <c r="F886" i="2"/>
  <c r="C886" i="2"/>
  <c r="D886" i="2" s="1"/>
  <c r="F885" i="2"/>
  <c r="C885" i="2"/>
  <c r="D885" i="2" s="1"/>
  <c r="F884" i="2"/>
  <c r="D884" i="2"/>
  <c r="C884" i="2"/>
  <c r="F883" i="2"/>
  <c r="C883" i="2"/>
  <c r="D883" i="2" s="1"/>
  <c r="F882" i="2"/>
  <c r="C882" i="2"/>
  <c r="D882" i="2" s="1"/>
  <c r="F881" i="2"/>
  <c r="C881" i="2"/>
  <c r="D881" i="2" s="1"/>
  <c r="F880" i="2"/>
  <c r="C880" i="2"/>
  <c r="D880" i="2" s="1"/>
  <c r="F879" i="2"/>
  <c r="C879" i="2"/>
  <c r="D879" i="2" s="1"/>
  <c r="F878" i="2"/>
  <c r="C878" i="2"/>
  <c r="D878" i="2" s="1"/>
  <c r="F877" i="2"/>
  <c r="C877" i="2"/>
  <c r="D877" i="2" s="1"/>
  <c r="F876" i="2"/>
  <c r="C876" i="2"/>
  <c r="D876" i="2" s="1"/>
  <c r="F875" i="2"/>
  <c r="C875" i="2"/>
  <c r="D875" i="2" s="1"/>
  <c r="F874" i="2"/>
  <c r="C874" i="2"/>
  <c r="D874" i="2" s="1"/>
  <c r="F873" i="2"/>
  <c r="C873" i="2"/>
  <c r="D873" i="2" s="1"/>
  <c r="F872" i="2"/>
  <c r="C872" i="2"/>
  <c r="D872" i="2" s="1"/>
  <c r="F871" i="2"/>
  <c r="C871" i="2"/>
  <c r="D871" i="2" s="1"/>
  <c r="F870" i="2"/>
  <c r="C870" i="2"/>
  <c r="D870" i="2" s="1"/>
  <c r="F869" i="2"/>
  <c r="C869" i="2"/>
  <c r="D869" i="2" s="1"/>
  <c r="F868" i="2"/>
  <c r="C868" i="2"/>
  <c r="D868" i="2" s="1"/>
  <c r="F867" i="2"/>
  <c r="C867" i="2"/>
  <c r="D867" i="2" s="1"/>
  <c r="F866" i="2"/>
  <c r="C866" i="2"/>
  <c r="D866" i="2" s="1"/>
  <c r="F865" i="2"/>
  <c r="C865" i="2"/>
  <c r="D865" i="2" s="1"/>
  <c r="F864" i="2"/>
  <c r="C864" i="2"/>
  <c r="D864" i="2" s="1"/>
  <c r="F863" i="2"/>
  <c r="C863" i="2"/>
  <c r="D863" i="2" s="1"/>
  <c r="F862" i="2"/>
  <c r="C862" i="2"/>
  <c r="D862" i="2" s="1"/>
  <c r="F861" i="2"/>
  <c r="C861" i="2"/>
  <c r="D861" i="2" s="1"/>
  <c r="F860" i="2"/>
  <c r="C860" i="2"/>
  <c r="D860" i="2" s="1"/>
  <c r="F859" i="2"/>
  <c r="C859" i="2"/>
  <c r="D859" i="2" s="1"/>
  <c r="F858" i="2"/>
  <c r="C858" i="2"/>
  <c r="D858" i="2" s="1"/>
  <c r="F857" i="2"/>
  <c r="C857" i="2"/>
  <c r="D857" i="2" s="1"/>
  <c r="F856" i="2"/>
  <c r="C856" i="2"/>
  <c r="D856" i="2" s="1"/>
  <c r="F855" i="2"/>
  <c r="C855" i="2"/>
  <c r="D855" i="2" s="1"/>
  <c r="F854" i="2"/>
  <c r="C854" i="2"/>
  <c r="D854" i="2" s="1"/>
  <c r="F853" i="2"/>
  <c r="C853" i="2"/>
  <c r="D853" i="2" s="1"/>
  <c r="F852" i="2"/>
  <c r="C852" i="2"/>
  <c r="D852" i="2" s="1"/>
  <c r="F851" i="2"/>
  <c r="C851" i="2"/>
  <c r="D851" i="2" s="1"/>
  <c r="F850" i="2"/>
  <c r="C850" i="2"/>
  <c r="D850" i="2" s="1"/>
  <c r="F849" i="2"/>
  <c r="C849" i="2"/>
  <c r="D849" i="2" s="1"/>
  <c r="F848" i="2"/>
  <c r="C848" i="2"/>
  <c r="D848" i="2" s="1"/>
  <c r="F847" i="2"/>
  <c r="C847" i="2"/>
  <c r="D847" i="2" s="1"/>
  <c r="F846" i="2"/>
  <c r="C846" i="2"/>
  <c r="D846" i="2" s="1"/>
  <c r="F845" i="2"/>
  <c r="C845" i="2"/>
  <c r="D845" i="2" s="1"/>
  <c r="F844" i="2"/>
  <c r="C844" i="2"/>
  <c r="D844" i="2" s="1"/>
  <c r="F843" i="2"/>
  <c r="C843" i="2"/>
  <c r="D843" i="2" s="1"/>
  <c r="F842" i="2"/>
  <c r="C842" i="2"/>
  <c r="D842" i="2" s="1"/>
  <c r="F841" i="2"/>
  <c r="C841" i="2"/>
  <c r="D841" i="2" s="1"/>
  <c r="F840" i="2"/>
  <c r="C840" i="2"/>
  <c r="D840" i="2" s="1"/>
  <c r="F839" i="2"/>
  <c r="C839" i="2"/>
  <c r="D839" i="2" s="1"/>
  <c r="F838" i="2"/>
  <c r="C838" i="2"/>
  <c r="D838" i="2" s="1"/>
  <c r="F837" i="2"/>
  <c r="C837" i="2"/>
  <c r="D837" i="2" s="1"/>
  <c r="F836" i="2"/>
  <c r="C836" i="2"/>
  <c r="D836" i="2" s="1"/>
  <c r="F835" i="2"/>
  <c r="C835" i="2"/>
  <c r="D835" i="2" s="1"/>
  <c r="F834" i="2"/>
  <c r="C834" i="2"/>
  <c r="D834" i="2" s="1"/>
  <c r="F833" i="2"/>
  <c r="C833" i="2"/>
  <c r="D833" i="2" s="1"/>
  <c r="F832" i="2"/>
  <c r="C832" i="2"/>
  <c r="D832" i="2" s="1"/>
  <c r="F831" i="2"/>
  <c r="C831" i="2"/>
  <c r="D831" i="2" s="1"/>
  <c r="F830" i="2"/>
  <c r="C830" i="2"/>
  <c r="D830" i="2" s="1"/>
  <c r="F829" i="2"/>
  <c r="C829" i="2"/>
  <c r="D829" i="2" s="1"/>
  <c r="F828" i="2"/>
  <c r="C828" i="2"/>
  <c r="D828" i="2" s="1"/>
  <c r="F827" i="2"/>
  <c r="C827" i="2"/>
  <c r="D827" i="2" s="1"/>
  <c r="F826" i="2"/>
  <c r="C826" i="2"/>
  <c r="D826" i="2" s="1"/>
  <c r="F825" i="2"/>
  <c r="C825" i="2"/>
  <c r="D825" i="2" s="1"/>
  <c r="F824" i="2"/>
  <c r="C824" i="2"/>
  <c r="D824" i="2" s="1"/>
  <c r="F823" i="2"/>
  <c r="C823" i="2"/>
  <c r="D823" i="2" s="1"/>
  <c r="F822" i="2"/>
  <c r="C822" i="2"/>
  <c r="D822" i="2" s="1"/>
  <c r="F821" i="2"/>
  <c r="C821" i="2"/>
  <c r="D821" i="2" s="1"/>
  <c r="F820" i="2"/>
  <c r="C820" i="2"/>
  <c r="D820" i="2" s="1"/>
  <c r="F819" i="2"/>
  <c r="C819" i="2"/>
  <c r="D819" i="2" s="1"/>
  <c r="F818" i="2"/>
  <c r="C818" i="2"/>
  <c r="D818" i="2" s="1"/>
  <c r="F817" i="2"/>
  <c r="C817" i="2"/>
  <c r="D817" i="2" s="1"/>
  <c r="F816" i="2"/>
  <c r="C816" i="2"/>
  <c r="D816" i="2" s="1"/>
  <c r="F815" i="2"/>
  <c r="C815" i="2"/>
  <c r="D815" i="2" s="1"/>
  <c r="F814" i="2"/>
  <c r="C814" i="2"/>
  <c r="D814" i="2" s="1"/>
  <c r="F813" i="2"/>
  <c r="C813" i="2"/>
  <c r="D813" i="2" s="1"/>
  <c r="F812" i="2"/>
  <c r="C812" i="2"/>
  <c r="D812" i="2" s="1"/>
  <c r="F811" i="2"/>
  <c r="C811" i="2"/>
  <c r="D811" i="2" s="1"/>
  <c r="F810" i="2"/>
  <c r="C810" i="2"/>
  <c r="D810" i="2" s="1"/>
  <c r="F809" i="2"/>
  <c r="C809" i="2"/>
  <c r="D809" i="2" s="1"/>
  <c r="F808" i="2"/>
  <c r="C808" i="2"/>
  <c r="D808" i="2" s="1"/>
  <c r="F807" i="2"/>
  <c r="C807" i="2"/>
  <c r="D807" i="2" s="1"/>
  <c r="F806" i="2"/>
  <c r="C806" i="2"/>
  <c r="D806" i="2" s="1"/>
  <c r="F805" i="2"/>
  <c r="C805" i="2"/>
  <c r="D805" i="2" s="1"/>
  <c r="F804" i="2"/>
  <c r="C804" i="2"/>
  <c r="D804" i="2" s="1"/>
  <c r="F803" i="2"/>
  <c r="C803" i="2"/>
  <c r="D803" i="2" s="1"/>
  <c r="F802" i="2"/>
  <c r="C802" i="2"/>
  <c r="D802" i="2" s="1"/>
  <c r="F801" i="2"/>
  <c r="C801" i="2"/>
  <c r="D801" i="2" s="1"/>
  <c r="F800" i="2"/>
  <c r="C800" i="2"/>
  <c r="D800" i="2" s="1"/>
  <c r="F799" i="2"/>
  <c r="C799" i="2"/>
  <c r="D799" i="2" s="1"/>
  <c r="F798" i="2"/>
  <c r="C798" i="2"/>
  <c r="D798" i="2" s="1"/>
  <c r="F797" i="2"/>
  <c r="C797" i="2"/>
  <c r="D797" i="2" s="1"/>
  <c r="F796" i="2"/>
  <c r="C796" i="2"/>
  <c r="D796" i="2" s="1"/>
  <c r="F795" i="2"/>
  <c r="C795" i="2"/>
  <c r="D795" i="2" s="1"/>
  <c r="F794" i="2"/>
  <c r="C794" i="2"/>
  <c r="D794" i="2" s="1"/>
  <c r="F793" i="2"/>
  <c r="C793" i="2"/>
  <c r="D793" i="2" s="1"/>
  <c r="F792" i="2"/>
  <c r="C792" i="2"/>
  <c r="D792" i="2" s="1"/>
  <c r="F791" i="2"/>
  <c r="C791" i="2"/>
  <c r="D791" i="2" s="1"/>
  <c r="F790" i="2"/>
  <c r="C790" i="2"/>
  <c r="D790" i="2" s="1"/>
  <c r="F789" i="2"/>
  <c r="C789" i="2"/>
  <c r="D789" i="2" s="1"/>
  <c r="F788" i="2"/>
  <c r="C788" i="2"/>
  <c r="D788" i="2" s="1"/>
  <c r="F787" i="2"/>
  <c r="C787" i="2"/>
  <c r="D787" i="2" s="1"/>
  <c r="F786" i="2"/>
  <c r="C786" i="2"/>
  <c r="D786" i="2" s="1"/>
  <c r="F785" i="2"/>
  <c r="C785" i="2"/>
  <c r="D785" i="2" s="1"/>
  <c r="F784" i="2"/>
  <c r="C784" i="2"/>
  <c r="D784" i="2" s="1"/>
  <c r="F783" i="2"/>
  <c r="C783" i="2"/>
  <c r="D783" i="2" s="1"/>
  <c r="F782" i="2"/>
  <c r="C782" i="2"/>
  <c r="D782" i="2" s="1"/>
  <c r="F781" i="2"/>
  <c r="C781" i="2"/>
  <c r="D781" i="2" s="1"/>
  <c r="F780" i="2"/>
  <c r="C780" i="2"/>
  <c r="D780" i="2" s="1"/>
  <c r="F779" i="2"/>
  <c r="C779" i="2"/>
  <c r="D779" i="2" s="1"/>
  <c r="F778" i="2"/>
  <c r="C778" i="2"/>
  <c r="D778" i="2" s="1"/>
  <c r="F777" i="2"/>
  <c r="C777" i="2"/>
  <c r="D777" i="2" s="1"/>
  <c r="F776" i="2"/>
  <c r="C776" i="2"/>
  <c r="D776" i="2" s="1"/>
  <c r="F775" i="2"/>
  <c r="C775" i="2"/>
  <c r="D775" i="2" s="1"/>
  <c r="F774" i="2"/>
  <c r="C774" i="2"/>
  <c r="D774" i="2" s="1"/>
  <c r="F773" i="2"/>
  <c r="C773" i="2"/>
  <c r="D773" i="2" s="1"/>
  <c r="F772" i="2"/>
  <c r="C772" i="2"/>
  <c r="D772" i="2" s="1"/>
  <c r="F771" i="2"/>
  <c r="C771" i="2"/>
  <c r="D771" i="2" s="1"/>
  <c r="F770" i="2"/>
  <c r="C770" i="2"/>
  <c r="D770" i="2" s="1"/>
  <c r="F769" i="2"/>
  <c r="C769" i="2"/>
  <c r="D769" i="2" s="1"/>
  <c r="F768" i="2"/>
  <c r="C768" i="2"/>
  <c r="D768" i="2" s="1"/>
  <c r="F767" i="2"/>
  <c r="C767" i="2"/>
  <c r="D767" i="2" s="1"/>
  <c r="F766" i="2"/>
  <c r="C766" i="2"/>
  <c r="D766" i="2" s="1"/>
  <c r="F765" i="2"/>
  <c r="C765" i="2"/>
  <c r="D765" i="2" s="1"/>
  <c r="F764" i="2"/>
  <c r="C764" i="2"/>
  <c r="D764" i="2" s="1"/>
  <c r="F763" i="2"/>
  <c r="C763" i="2"/>
  <c r="D763" i="2" s="1"/>
  <c r="F762" i="2"/>
  <c r="C762" i="2"/>
  <c r="D762" i="2" s="1"/>
  <c r="F761" i="2"/>
  <c r="H761" i="2" s="1"/>
  <c r="I761" i="2" s="1"/>
  <c r="C761" i="2"/>
  <c r="D761" i="2" s="1"/>
  <c r="F760" i="2"/>
  <c r="C760" i="2"/>
  <c r="D760" i="2" s="1"/>
  <c r="F759" i="2"/>
  <c r="C759" i="2"/>
  <c r="D759" i="2" s="1"/>
  <c r="F758" i="2"/>
  <c r="C758" i="2"/>
  <c r="D758" i="2" s="1"/>
  <c r="F757" i="2"/>
  <c r="C757" i="2"/>
  <c r="D757" i="2" s="1"/>
  <c r="F756" i="2"/>
  <c r="C756" i="2"/>
  <c r="D756" i="2" s="1"/>
  <c r="F755" i="2"/>
  <c r="C755" i="2"/>
  <c r="D755" i="2" s="1"/>
  <c r="F754" i="2"/>
  <c r="C754" i="2"/>
  <c r="D754" i="2" s="1"/>
  <c r="F753" i="2"/>
  <c r="C753" i="2"/>
  <c r="D753" i="2" s="1"/>
  <c r="F752" i="2"/>
  <c r="C752" i="2"/>
  <c r="D752" i="2" s="1"/>
  <c r="F751" i="2"/>
  <c r="C751" i="2"/>
  <c r="D751" i="2" s="1"/>
  <c r="F750" i="2"/>
  <c r="C750" i="2"/>
  <c r="D750" i="2" s="1"/>
  <c r="F749" i="2"/>
  <c r="C749" i="2"/>
  <c r="D749" i="2" s="1"/>
  <c r="F748" i="2"/>
  <c r="C748" i="2"/>
  <c r="D748" i="2" s="1"/>
  <c r="F747" i="2"/>
  <c r="C747" i="2"/>
  <c r="D747" i="2" s="1"/>
  <c r="F746" i="2"/>
  <c r="C746" i="2"/>
  <c r="D746" i="2" s="1"/>
  <c r="F745" i="2"/>
  <c r="C745" i="2"/>
  <c r="D745" i="2" s="1"/>
  <c r="F744" i="2"/>
  <c r="C744" i="2"/>
  <c r="D744" i="2" s="1"/>
  <c r="F743" i="2"/>
  <c r="C743" i="2"/>
  <c r="D743" i="2" s="1"/>
  <c r="F742" i="2"/>
  <c r="C742" i="2"/>
  <c r="D742" i="2" s="1"/>
  <c r="F741" i="2"/>
  <c r="C741" i="2"/>
  <c r="D741" i="2" s="1"/>
  <c r="F740" i="2"/>
  <c r="C740" i="2"/>
  <c r="D740" i="2" s="1"/>
  <c r="F739" i="2"/>
  <c r="C739" i="2"/>
  <c r="D739" i="2" s="1"/>
  <c r="F738" i="2"/>
  <c r="C738" i="2"/>
  <c r="D738" i="2" s="1"/>
  <c r="F737" i="2"/>
  <c r="C737" i="2"/>
  <c r="D737" i="2" s="1"/>
  <c r="F736" i="2"/>
  <c r="C736" i="2"/>
  <c r="D736" i="2" s="1"/>
  <c r="F735" i="2"/>
  <c r="C735" i="2"/>
  <c r="D735" i="2" s="1"/>
  <c r="F734" i="2"/>
  <c r="C734" i="2"/>
  <c r="D734" i="2" s="1"/>
  <c r="F733" i="2"/>
  <c r="C733" i="2"/>
  <c r="D733" i="2" s="1"/>
  <c r="F732" i="2"/>
  <c r="C732" i="2"/>
  <c r="D732" i="2" s="1"/>
  <c r="F731" i="2"/>
  <c r="C731" i="2"/>
  <c r="D731" i="2" s="1"/>
  <c r="F730" i="2"/>
  <c r="C730" i="2"/>
  <c r="D730" i="2" s="1"/>
  <c r="F729" i="2"/>
  <c r="C729" i="2"/>
  <c r="D729" i="2" s="1"/>
  <c r="F728" i="2"/>
  <c r="C728" i="2"/>
  <c r="D728" i="2" s="1"/>
  <c r="F727" i="2"/>
  <c r="C727" i="2"/>
  <c r="D727" i="2" s="1"/>
  <c r="F726" i="2"/>
  <c r="C726" i="2"/>
  <c r="D726" i="2" s="1"/>
  <c r="F725" i="2"/>
  <c r="C725" i="2"/>
  <c r="D725" i="2" s="1"/>
  <c r="F724" i="2"/>
  <c r="C724" i="2"/>
  <c r="D724" i="2" s="1"/>
  <c r="F723" i="2"/>
  <c r="C723" i="2"/>
  <c r="D723" i="2" s="1"/>
  <c r="F722" i="2"/>
  <c r="C722" i="2"/>
  <c r="D722" i="2" s="1"/>
  <c r="F721" i="2"/>
  <c r="C721" i="2"/>
  <c r="D721" i="2" s="1"/>
  <c r="F720" i="2"/>
  <c r="C720" i="2"/>
  <c r="D720" i="2" s="1"/>
  <c r="F719" i="2"/>
  <c r="C719" i="2"/>
  <c r="D719" i="2" s="1"/>
  <c r="F718" i="2"/>
  <c r="C718" i="2"/>
  <c r="D718" i="2" s="1"/>
  <c r="F717" i="2"/>
  <c r="C717" i="2"/>
  <c r="D717" i="2" s="1"/>
  <c r="F716" i="2"/>
  <c r="C716" i="2"/>
  <c r="D716" i="2" s="1"/>
  <c r="F715" i="2"/>
  <c r="C715" i="2"/>
  <c r="D715" i="2" s="1"/>
  <c r="F714" i="2"/>
  <c r="C714" i="2"/>
  <c r="D714" i="2" s="1"/>
  <c r="F713" i="2"/>
  <c r="C713" i="2"/>
  <c r="D713" i="2" s="1"/>
  <c r="F712" i="2"/>
  <c r="C712" i="2"/>
  <c r="D712" i="2" s="1"/>
  <c r="F711" i="2"/>
  <c r="C711" i="2"/>
  <c r="D711" i="2" s="1"/>
  <c r="F710" i="2"/>
  <c r="C710" i="2"/>
  <c r="D710" i="2" s="1"/>
  <c r="F709" i="2"/>
  <c r="C709" i="2"/>
  <c r="D709" i="2" s="1"/>
  <c r="F708" i="2"/>
  <c r="C708" i="2"/>
  <c r="D708" i="2" s="1"/>
  <c r="F707" i="2"/>
  <c r="C707" i="2"/>
  <c r="D707" i="2" s="1"/>
  <c r="F706" i="2"/>
  <c r="C706" i="2"/>
  <c r="D706" i="2" s="1"/>
  <c r="F705" i="2"/>
  <c r="C705" i="2"/>
  <c r="D705" i="2" s="1"/>
  <c r="F704" i="2"/>
  <c r="C704" i="2"/>
  <c r="D704" i="2" s="1"/>
  <c r="F703" i="2"/>
  <c r="C703" i="2"/>
  <c r="D703" i="2" s="1"/>
  <c r="F702" i="2"/>
  <c r="C702" i="2"/>
  <c r="D702" i="2" s="1"/>
  <c r="F701" i="2"/>
  <c r="C701" i="2"/>
  <c r="D701" i="2" s="1"/>
  <c r="F700" i="2"/>
  <c r="C700" i="2"/>
  <c r="D700" i="2" s="1"/>
  <c r="F699" i="2"/>
  <c r="C699" i="2"/>
  <c r="D699" i="2" s="1"/>
  <c r="F698" i="2"/>
  <c r="C698" i="2"/>
  <c r="D698" i="2" s="1"/>
  <c r="F697" i="2"/>
  <c r="C697" i="2"/>
  <c r="D697" i="2" s="1"/>
  <c r="F696" i="2"/>
  <c r="C696" i="2"/>
  <c r="D696" i="2" s="1"/>
  <c r="F695" i="2"/>
  <c r="C695" i="2"/>
  <c r="D695" i="2" s="1"/>
  <c r="F694" i="2"/>
  <c r="C694" i="2"/>
  <c r="D694" i="2" s="1"/>
  <c r="F693" i="2"/>
  <c r="C693" i="2"/>
  <c r="D693" i="2" s="1"/>
  <c r="F692" i="2"/>
  <c r="C692" i="2"/>
  <c r="D692" i="2" s="1"/>
  <c r="F691" i="2"/>
  <c r="C691" i="2"/>
  <c r="D691" i="2" s="1"/>
  <c r="F690" i="2"/>
  <c r="C690" i="2"/>
  <c r="D690" i="2" s="1"/>
  <c r="F689" i="2"/>
  <c r="C689" i="2"/>
  <c r="D689" i="2" s="1"/>
  <c r="F688" i="2"/>
  <c r="C688" i="2"/>
  <c r="D688" i="2" s="1"/>
  <c r="F687" i="2"/>
  <c r="C687" i="2"/>
  <c r="D687" i="2" s="1"/>
  <c r="F686" i="2"/>
  <c r="C686" i="2"/>
  <c r="D686" i="2" s="1"/>
  <c r="F685" i="2"/>
  <c r="C685" i="2"/>
  <c r="D685" i="2" s="1"/>
  <c r="F684" i="2"/>
  <c r="C684" i="2"/>
  <c r="D684" i="2" s="1"/>
  <c r="F683" i="2"/>
  <c r="C683" i="2"/>
  <c r="D683" i="2" s="1"/>
  <c r="F682" i="2"/>
  <c r="C682" i="2"/>
  <c r="D682" i="2" s="1"/>
  <c r="F681" i="2"/>
  <c r="C681" i="2"/>
  <c r="D681" i="2" s="1"/>
  <c r="F680" i="2"/>
  <c r="C680" i="2"/>
  <c r="D680" i="2" s="1"/>
  <c r="F679" i="2"/>
  <c r="C679" i="2"/>
  <c r="D679" i="2" s="1"/>
  <c r="F678" i="2"/>
  <c r="C678" i="2"/>
  <c r="D678" i="2" s="1"/>
  <c r="F677" i="2"/>
  <c r="C677" i="2"/>
  <c r="D677" i="2" s="1"/>
  <c r="F676" i="2"/>
  <c r="C676" i="2"/>
  <c r="D676" i="2" s="1"/>
  <c r="F675" i="2"/>
  <c r="C675" i="2"/>
  <c r="D675" i="2" s="1"/>
  <c r="F674" i="2"/>
  <c r="C674" i="2"/>
  <c r="D674" i="2" s="1"/>
  <c r="F673" i="2"/>
  <c r="C673" i="2"/>
  <c r="D673" i="2" s="1"/>
  <c r="F672" i="2"/>
  <c r="C672" i="2"/>
  <c r="D672" i="2" s="1"/>
  <c r="F671" i="2"/>
  <c r="C671" i="2"/>
  <c r="D671" i="2" s="1"/>
  <c r="F670" i="2"/>
  <c r="C670" i="2"/>
  <c r="D670" i="2" s="1"/>
  <c r="F669" i="2"/>
  <c r="C669" i="2"/>
  <c r="D669" i="2" s="1"/>
  <c r="F668" i="2"/>
  <c r="C668" i="2"/>
  <c r="D668" i="2" s="1"/>
  <c r="F667" i="2"/>
  <c r="C667" i="2"/>
  <c r="D667" i="2" s="1"/>
  <c r="F666" i="2"/>
  <c r="C666" i="2"/>
  <c r="D666" i="2" s="1"/>
  <c r="F665" i="2"/>
  <c r="C665" i="2"/>
  <c r="D665" i="2" s="1"/>
  <c r="F664" i="2"/>
  <c r="C664" i="2"/>
  <c r="D664" i="2" s="1"/>
  <c r="F663" i="2"/>
  <c r="C663" i="2"/>
  <c r="D663" i="2" s="1"/>
  <c r="F662" i="2"/>
  <c r="C662" i="2"/>
  <c r="D662" i="2" s="1"/>
  <c r="F661" i="2"/>
  <c r="C661" i="2"/>
  <c r="D661" i="2" s="1"/>
  <c r="F660" i="2"/>
  <c r="C660" i="2"/>
  <c r="D660" i="2" s="1"/>
  <c r="F659" i="2"/>
  <c r="C659" i="2"/>
  <c r="D659" i="2" s="1"/>
  <c r="F658" i="2"/>
  <c r="C658" i="2"/>
  <c r="D658" i="2" s="1"/>
  <c r="F657" i="2"/>
  <c r="C657" i="2"/>
  <c r="D657" i="2" s="1"/>
  <c r="F656" i="2"/>
  <c r="C656" i="2"/>
  <c r="D656" i="2" s="1"/>
  <c r="F655" i="2"/>
  <c r="C655" i="2"/>
  <c r="D655" i="2" s="1"/>
  <c r="F654" i="2"/>
  <c r="C654" i="2"/>
  <c r="D654" i="2" s="1"/>
  <c r="F653" i="2"/>
  <c r="C653" i="2"/>
  <c r="D653" i="2" s="1"/>
  <c r="F652" i="2"/>
  <c r="C652" i="2"/>
  <c r="D652" i="2" s="1"/>
  <c r="F651" i="2"/>
  <c r="C651" i="2"/>
  <c r="D651" i="2" s="1"/>
  <c r="F650" i="2"/>
  <c r="C650" i="2"/>
  <c r="D650" i="2" s="1"/>
  <c r="F649" i="2"/>
  <c r="C649" i="2"/>
  <c r="D649" i="2" s="1"/>
  <c r="F648" i="2"/>
  <c r="C648" i="2"/>
  <c r="D648" i="2" s="1"/>
  <c r="F647" i="2"/>
  <c r="C647" i="2"/>
  <c r="D647" i="2" s="1"/>
  <c r="F646" i="2"/>
  <c r="C646" i="2"/>
  <c r="D646" i="2" s="1"/>
  <c r="F645" i="2"/>
  <c r="C645" i="2"/>
  <c r="D645" i="2" s="1"/>
  <c r="F644" i="2"/>
  <c r="C644" i="2"/>
  <c r="D644" i="2" s="1"/>
  <c r="F643" i="2"/>
  <c r="C643" i="2"/>
  <c r="D643" i="2" s="1"/>
  <c r="F642" i="2"/>
  <c r="C642" i="2"/>
  <c r="D642" i="2" s="1"/>
  <c r="F641" i="2"/>
  <c r="C641" i="2"/>
  <c r="D641" i="2" s="1"/>
  <c r="F640" i="2"/>
  <c r="C640" i="2"/>
  <c r="D640" i="2" s="1"/>
  <c r="F639" i="2"/>
  <c r="C639" i="2"/>
  <c r="D639" i="2" s="1"/>
  <c r="F638" i="2"/>
  <c r="C638" i="2"/>
  <c r="D638" i="2" s="1"/>
  <c r="F637" i="2"/>
  <c r="C637" i="2"/>
  <c r="D637" i="2" s="1"/>
  <c r="F636" i="2"/>
  <c r="C636" i="2"/>
  <c r="D636" i="2" s="1"/>
  <c r="F635" i="2"/>
  <c r="C635" i="2"/>
  <c r="D635" i="2" s="1"/>
  <c r="F634" i="2"/>
  <c r="C634" i="2"/>
  <c r="D634" i="2" s="1"/>
  <c r="F633" i="2"/>
  <c r="C633" i="2"/>
  <c r="D633" i="2" s="1"/>
  <c r="F632" i="2"/>
  <c r="C632" i="2"/>
  <c r="D632" i="2" s="1"/>
  <c r="F631" i="2"/>
  <c r="C631" i="2"/>
  <c r="D631" i="2" s="1"/>
  <c r="F630" i="2"/>
  <c r="C630" i="2"/>
  <c r="D630" i="2" s="1"/>
  <c r="F629" i="2"/>
  <c r="C629" i="2"/>
  <c r="D629" i="2" s="1"/>
  <c r="F628" i="2"/>
  <c r="C628" i="2"/>
  <c r="D628" i="2" s="1"/>
  <c r="F627" i="2"/>
  <c r="C627" i="2"/>
  <c r="D627" i="2" s="1"/>
  <c r="F626" i="2"/>
  <c r="C626" i="2"/>
  <c r="D626" i="2" s="1"/>
  <c r="F625" i="2"/>
  <c r="C625" i="2"/>
  <c r="D625" i="2" s="1"/>
  <c r="F624" i="2"/>
  <c r="C624" i="2"/>
  <c r="D624" i="2" s="1"/>
  <c r="F623" i="2"/>
  <c r="C623" i="2"/>
  <c r="D623" i="2" s="1"/>
  <c r="F622" i="2"/>
  <c r="C622" i="2"/>
  <c r="D622" i="2" s="1"/>
  <c r="F621" i="2"/>
  <c r="C621" i="2"/>
  <c r="D621" i="2" s="1"/>
  <c r="F620" i="2"/>
  <c r="C620" i="2"/>
  <c r="D620" i="2" s="1"/>
  <c r="F619" i="2"/>
  <c r="C619" i="2"/>
  <c r="D619" i="2" s="1"/>
  <c r="F618" i="2"/>
  <c r="C618" i="2"/>
  <c r="D618" i="2" s="1"/>
  <c r="F617" i="2"/>
  <c r="C617" i="2"/>
  <c r="D617" i="2" s="1"/>
  <c r="F616" i="2"/>
  <c r="C616" i="2"/>
  <c r="D616" i="2" s="1"/>
  <c r="F615" i="2"/>
  <c r="C615" i="2"/>
  <c r="D615" i="2" s="1"/>
  <c r="F614" i="2"/>
  <c r="C614" i="2"/>
  <c r="D614" i="2" s="1"/>
  <c r="F613" i="2"/>
  <c r="C613" i="2"/>
  <c r="D613" i="2" s="1"/>
  <c r="F612" i="2"/>
  <c r="C612" i="2"/>
  <c r="D612" i="2" s="1"/>
  <c r="F611" i="2"/>
  <c r="C611" i="2"/>
  <c r="D611" i="2" s="1"/>
  <c r="F610" i="2"/>
  <c r="C610" i="2"/>
  <c r="D610" i="2" s="1"/>
  <c r="F609" i="2"/>
  <c r="C609" i="2"/>
  <c r="D609" i="2" s="1"/>
  <c r="F608" i="2"/>
  <c r="C608" i="2"/>
  <c r="D608" i="2" s="1"/>
  <c r="F607" i="2"/>
  <c r="C607" i="2"/>
  <c r="D607" i="2" s="1"/>
  <c r="F606" i="2"/>
  <c r="C606" i="2"/>
  <c r="D606" i="2" s="1"/>
  <c r="F605" i="2"/>
  <c r="C605" i="2"/>
  <c r="D605" i="2" s="1"/>
  <c r="F604" i="2"/>
  <c r="C604" i="2"/>
  <c r="D604" i="2" s="1"/>
  <c r="F603" i="2"/>
  <c r="C603" i="2"/>
  <c r="D603" i="2" s="1"/>
  <c r="F602" i="2"/>
  <c r="C602" i="2"/>
  <c r="D602" i="2" s="1"/>
  <c r="F601" i="2"/>
  <c r="C601" i="2"/>
  <c r="D601" i="2" s="1"/>
  <c r="F600" i="2"/>
  <c r="C600" i="2"/>
  <c r="D600" i="2" s="1"/>
  <c r="F599" i="2"/>
  <c r="C599" i="2"/>
  <c r="D599" i="2" s="1"/>
  <c r="F598" i="2"/>
  <c r="C598" i="2"/>
  <c r="D598" i="2" s="1"/>
  <c r="F597" i="2"/>
  <c r="C597" i="2"/>
  <c r="D597" i="2" s="1"/>
  <c r="F596" i="2"/>
  <c r="C596" i="2"/>
  <c r="D596" i="2" s="1"/>
  <c r="F595" i="2"/>
  <c r="C595" i="2"/>
  <c r="D595" i="2" s="1"/>
  <c r="F594" i="2"/>
  <c r="C594" i="2"/>
  <c r="D594" i="2" s="1"/>
  <c r="F593" i="2"/>
  <c r="C593" i="2"/>
  <c r="D593" i="2" s="1"/>
  <c r="F592" i="2"/>
  <c r="C592" i="2"/>
  <c r="D592" i="2" s="1"/>
  <c r="F591" i="2"/>
  <c r="C591" i="2"/>
  <c r="D591" i="2" s="1"/>
  <c r="F590" i="2"/>
  <c r="C590" i="2"/>
  <c r="D590" i="2" s="1"/>
  <c r="F589" i="2"/>
  <c r="C589" i="2"/>
  <c r="D589" i="2" s="1"/>
  <c r="F588" i="2"/>
  <c r="C588" i="2"/>
  <c r="D588" i="2" s="1"/>
  <c r="F587" i="2"/>
  <c r="C587" i="2"/>
  <c r="D587" i="2" s="1"/>
  <c r="F586" i="2"/>
  <c r="C586" i="2"/>
  <c r="D586" i="2" s="1"/>
  <c r="F585" i="2"/>
  <c r="C585" i="2"/>
  <c r="D585" i="2" s="1"/>
  <c r="F584" i="2"/>
  <c r="C584" i="2"/>
  <c r="D584" i="2" s="1"/>
  <c r="F583" i="2"/>
  <c r="C583" i="2"/>
  <c r="D583" i="2" s="1"/>
  <c r="F582" i="2"/>
  <c r="C582" i="2"/>
  <c r="D582" i="2" s="1"/>
  <c r="F581" i="2"/>
  <c r="C581" i="2"/>
  <c r="D581" i="2" s="1"/>
  <c r="F580" i="2"/>
  <c r="C580" i="2"/>
  <c r="D580" i="2" s="1"/>
  <c r="F579" i="2"/>
  <c r="C579" i="2"/>
  <c r="D579" i="2" s="1"/>
  <c r="F578" i="2"/>
  <c r="C578" i="2"/>
  <c r="D578" i="2" s="1"/>
  <c r="F577" i="2"/>
  <c r="C577" i="2"/>
  <c r="D577" i="2" s="1"/>
  <c r="F576" i="2"/>
  <c r="C576" i="2"/>
  <c r="D576" i="2" s="1"/>
  <c r="F575" i="2"/>
  <c r="C575" i="2"/>
  <c r="D575" i="2" s="1"/>
  <c r="F574" i="2"/>
  <c r="C574" i="2"/>
  <c r="D574" i="2" s="1"/>
  <c r="F573" i="2"/>
  <c r="C573" i="2"/>
  <c r="D573" i="2" s="1"/>
  <c r="F572" i="2"/>
  <c r="C572" i="2"/>
  <c r="D572" i="2" s="1"/>
  <c r="F571" i="2"/>
  <c r="C571" i="2"/>
  <c r="D571" i="2" s="1"/>
  <c r="F570" i="2"/>
  <c r="C570" i="2"/>
  <c r="D570" i="2" s="1"/>
  <c r="F569" i="2"/>
  <c r="C569" i="2"/>
  <c r="D569" i="2" s="1"/>
  <c r="F568" i="2"/>
  <c r="C568" i="2"/>
  <c r="D568" i="2" s="1"/>
  <c r="F567" i="2"/>
  <c r="C567" i="2"/>
  <c r="D567" i="2" s="1"/>
  <c r="F566" i="2"/>
  <c r="C566" i="2"/>
  <c r="D566" i="2" s="1"/>
  <c r="F565" i="2"/>
  <c r="C565" i="2"/>
  <c r="D565" i="2" s="1"/>
  <c r="F564" i="2"/>
  <c r="C564" i="2"/>
  <c r="D564" i="2" s="1"/>
  <c r="F563" i="2"/>
  <c r="C563" i="2"/>
  <c r="D563" i="2" s="1"/>
  <c r="F562" i="2"/>
  <c r="C562" i="2"/>
  <c r="D562" i="2" s="1"/>
  <c r="F561" i="2"/>
  <c r="C561" i="2"/>
  <c r="D561" i="2" s="1"/>
  <c r="F560" i="2"/>
  <c r="C560" i="2"/>
  <c r="D560" i="2" s="1"/>
  <c r="F559" i="2"/>
  <c r="C559" i="2"/>
  <c r="D559" i="2" s="1"/>
  <c r="F558" i="2"/>
  <c r="C558" i="2"/>
  <c r="D558" i="2" s="1"/>
  <c r="F557" i="2"/>
  <c r="C557" i="2"/>
  <c r="D557" i="2" s="1"/>
  <c r="F556" i="2"/>
  <c r="C556" i="2"/>
  <c r="D556" i="2" s="1"/>
  <c r="F555" i="2"/>
  <c r="C555" i="2"/>
  <c r="D555" i="2" s="1"/>
  <c r="F554" i="2"/>
  <c r="C554" i="2"/>
  <c r="D554" i="2" s="1"/>
  <c r="F553" i="2"/>
  <c r="C553" i="2"/>
  <c r="D553" i="2" s="1"/>
  <c r="F552" i="2"/>
  <c r="C552" i="2"/>
  <c r="D552" i="2" s="1"/>
  <c r="F551" i="2"/>
  <c r="C551" i="2"/>
  <c r="D551" i="2" s="1"/>
  <c r="F550" i="2"/>
  <c r="C550" i="2"/>
  <c r="D550" i="2" s="1"/>
  <c r="F549" i="2"/>
  <c r="C549" i="2"/>
  <c r="D549" i="2" s="1"/>
  <c r="F548" i="2"/>
  <c r="C548" i="2"/>
  <c r="D548" i="2" s="1"/>
  <c r="F547" i="2"/>
  <c r="C547" i="2"/>
  <c r="D547" i="2" s="1"/>
  <c r="F546" i="2"/>
  <c r="C546" i="2"/>
  <c r="D546" i="2" s="1"/>
  <c r="F545" i="2"/>
  <c r="C545" i="2"/>
  <c r="D545" i="2" s="1"/>
  <c r="F544" i="2"/>
  <c r="C544" i="2"/>
  <c r="D544" i="2" s="1"/>
  <c r="F543" i="2"/>
  <c r="C543" i="2"/>
  <c r="D543" i="2" s="1"/>
  <c r="F542" i="2"/>
  <c r="C542" i="2"/>
  <c r="D542" i="2" s="1"/>
  <c r="F541" i="2"/>
  <c r="C541" i="2"/>
  <c r="D541" i="2" s="1"/>
  <c r="F540" i="2"/>
  <c r="C540" i="2"/>
  <c r="D540" i="2" s="1"/>
  <c r="F539" i="2"/>
  <c r="C539" i="2"/>
  <c r="D539" i="2" s="1"/>
  <c r="F538" i="2"/>
  <c r="C538" i="2"/>
  <c r="D538" i="2" s="1"/>
  <c r="F537" i="2"/>
  <c r="C537" i="2"/>
  <c r="D537" i="2" s="1"/>
  <c r="F536" i="2"/>
  <c r="C536" i="2"/>
  <c r="D536" i="2" s="1"/>
  <c r="F535" i="2"/>
  <c r="C535" i="2"/>
  <c r="D535" i="2" s="1"/>
  <c r="F534" i="2"/>
  <c r="C534" i="2"/>
  <c r="D534" i="2" s="1"/>
  <c r="F533" i="2"/>
  <c r="C533" i="2"/>
  <c r="D533" i="2" s="1"/>
  <c r="F532" i="2"/>
  <c r="C532" i="2"/>
  <c r="D532" i="2" s="1"/>
  <c r="F531" i="2"/>
  <c r="C531" i="2"/>
  <c r="D531" i="2" s="1"/>
  <c r="F530" i="2"/>
  <c r="C530" i="2"/>
  <c r="D530" i="2" s="1"/>
  <c r="F529" i="2"/>
  <c r="C529" i="2"/>
  <c r="D529" i="2" s="1"/>
  <c r="F528" i="2"/>
  <c r="C528" i="2"/>
  <c r="D528" i="2" s="1"/>
  <c r="F527" i="2"/>
  <c r="C527" i="2"/>
  <c r="D527" i="2" s="1"/>
  <c r="F526" i="2"/>
  <c r="C526" i="2"/>
  <c r="D526" i="2" s="1"/>
  <c r="F525" i="2"/>
  <c r="C525" i="2"/>
  <c r="D525" i="2" s="1"/>
  <c r="F524" i="2"/>
  <c r="C524" i="2"/>
  <c r="D524" i="2" s="1"/>
  <c r="F523" i="2"/>
  <c r="C523" i="2"/>
  <c r="D523" i="2" s="1"/>
  <c r="F522" i="2"/>
  <c r="C522" i="2"/>
  <c r="D522" i="2" s="1"/>
  <c r="F521" i="2"/>
  <c r="C521" i="2"/>
  <c r="D521" i="2" s="1"/>
  <c r="F520" i="2"/>
  <c r="C520" i="2"/>
  <c r="D520" i="2" s="1"/>
  <c r="F519" i="2"/>
  <c r="C519" i="2"/>
  <c r="D519" i="2" s="1"/>
  <c r="F518" i="2"/>
  <c r="C518" i="2"/>
  <c r="D518" i="2" s="1"/>
  <c r="F517" i="2"/>
  <c r="C517" i="2"/>
  <c r="D517" i="2" s="1"/>
  <c r="F516" i="2"/>
  <c r="C516" i="2"/>
  <c r="D516" i="2" s="1"/>
  <c r="F515" i="2"/>
  <c r="C515" i="2"/>
  <c r="D515" i="2" s="1"/>
  <c r="F514" i="2"/>
  <c r="C514" i="2"/>
  <c r="D514" i="2" s="1"/>
  <c r="F513" i="2"/>
  <c r="C513" i="2"/>
  <c r="D513" i="2" s="1"/>
  <c r="F512" i="2"/>
  <c r="C512" i="2"/>
  <c r="D512" i="2" s="1"/>
  <c r="F511" i="2"/>
  <c r="C511" i="2"/>
  <c r="D511" i="2" s="1"/>
  <c r="F510" i="2"/>
  <c r="C510" i="2"/>
  <c r="D510" i="2" s="1"/>
  <c r="F509" i="2"/>
  <c r="C509" i="2"/>
  <c r="D509" i="2" s="1"/>
  <c r="F508" i="2"/>
  <c r="C508" i="2"/>
  <c r="D508" i="2" s="1"/>
  <c r="F507" i="2"/>
  <c r="C507" i="2"/>
  <c r="D507" i="2" s="1"/>
  <c r="F506" i="2"/>
  <c r="C506" i="2"/>
  <c r="D506" i="2" s="1"/>
  <c r="F505" i="2"/>
  <c r="C505" i="2"/>
  <c r="D505" i="2" s="1"/>
  <c r="F504" i="2"/>
  <c r="C504" i="2"/>
  <c r="D504" i="2" s="1"/>
  <c r="F503" i="2"/>
  <c r="C503" i="2"/>
  <c r="D503" i="2" s="1"/>
  <c r="F502" i="2"/>
  <c r="C502" i="2"/>
  <c r="D502" i="2" s="1"/>
  <c r="F501" i="2"/>
  <c r="C501" i="2"/>
  <c r="D501" i="2" s="1"/>
  <c r="F500" i="2"/>
  <c r="C500" i="2"/>
  <c r="D500" i="2" s="1"/>
  <c r="F499" i="2"/>
  <c r="C499" i="2"/>
  <c r="D499" i="2" s="1"/>
  <c r="F498" i="2"/>
  <c r="C498" i="2"/>
  <c r="D498" i="2" s="1"/>
  <c r="F497" i="2"/>
  <c r="C497" i="2"/>
  <c r="D497" i="2" s="1"/>
  <c r="F496" i="2"/>
  <c r="C496" i="2"/>
  <c r="D496" i="2" s="1"/>
  <c r="F495" i="2"/>
  <c r="C495" i="2"/>
  <c r="D495" i="2" s="1"/>
  <c r="F494" i="2"/>
  <c r="C494" i="2"/>
  <c r="D494" i="2" s="1"/>
  <c r="F493" i="2"/>
  <c r="C493" i="2"/>
  <c r="D493" i="2" s="1"/>
  <c r="F492" i="2"/>
  <c r="C492" i="2"/>
  <c r="D492" i="2" s="1"/>
  <c r="F491" i="2"/>
  <c r="C491" i="2"/>
  <c r="D491" i="2" s="1"/>
  <c r="F490" i="2"/>
  <c r="C490" i="2"/>
  <c r="D490" i="2" s="1"/>
  <c r="F489" i="2"/>
  <c r="C489" i="2"/>
  <c r="D489" i="2" s="1"/>
  <c r="F488" i="2"/>
  <c r="C488" i="2"/>
  <c r="D488" i="2" s="1"/>
  <c r="F487" i="2"/>
  <c r="C487" i="2"/>
  <c r="D487" i="2" s="1"/>
  <c r="F486" i="2"/>
  <c r="C486" i="2"/>
  <c r="D486" i="2" s="1"/>
  <c r="F485" i="2"/>
  <c r="C485" i="2"/>
  <c r="D485" i="2" s="1"/>
  <c r="F484" i="2"/>
  <c r="C484" i="2"/>
  <c r="D484" i="2" s="1"/>
  <c r="F483" i="2"/>
  <c r="C483" i="2"/>
  <c r="D483" i="2" s="1"/>
  <c r="F482" i="2"/>
  <c r="C482" i="2"/>
  <c r="D482" i="2" s="1"/>
  <c r="F481" i="2"/>
  <c r="C481" i="2"/>
  <c r="D481" i="2" s="1"/>
  <c r="F480" i="2"/>
  <c r="C480" i="2"/>
  <c r="D480" i="2" s="1"/>
  <c r="F479" i="2"/>
  <c r="C479" i="2"/>
  <c r="D479" i="2" s="1"/>
  <c r="F478" i="2"/>
  <c r="C478" i="2"/>
  <c r="D478" i="2" s="1"/>
  <c r="F477" i="2"/>
  <c r="C477" i="2"/>
  <c r="D477" i="2" s="1"/>
  <c r="F476" i="2"/>
  <c r="C476" i="2"/>
  <c r="D476" i="2" s="1"/>
  <c r="F475" i="2"/>
  <c r="C475" i="2"/>
  <c r="D475" i="2" s="1"/>
  <c r="F474" i="2"/>
  <c r="C474" i="2"/>
  <c r="D474" i="2" s="1"/>
  <c r="F473" i="2"/>
  <c r="C473" i="2"/>
  <c r="D473" i="2" s="1"/>
  <c r="F472" i="2"/>
  <c r="C472" i="2"/>
  <c r="D472" i="2" s="1"/>
  <c r="F471" i="2"/>
  <c r="C471" i="2"/>
  <c r="D471" i="2" s="1"/>
  <c r="F470" i="2"/>
  <c r="C470" i="2"/>
  <c r="D470" i="2" s="1"/>
  <c r="F469" i="2"/>
  <c r="C469" i="2"/>
  <c r="D469" i="2" s="1"/>
  <c r="F468" i="2"/>
  <c r="C468" i="2"/>
  <c r="D468" i="2" s="1"/>
  <c r="F467" i="2"/>
  <c r="C467" i="2"/>
  <c r="D467" i="2" s="1"/>
  <c r="F466" i="2"/>
  <c r="C466" i="2"/>
  <c r="D466" i="2" s="1"/>
  <c r="F465" i="2"/>
  <c r="C465" i="2"/>
  <c r="D465" i="2" s="1"/>
  <c r="F464" i="2"/>
  <c r="C464" i="2"/>
  <c r="D464" i="2" s="1"/>
  <c r="F463" i="2"/>
  <c r="C463" i="2"/>
  <c r="D463" i="2" s="1"/>
  <c r="F462" i="2"/>
  <c r="C462" i="2"/>
  <c r="D462" i="2" s="1"/>
  <c r="F461" i="2"/>
  <c r="C461" i="2"/>
  <c r="D461" i="2" s="1"/>
  <c r="F460" i="2"/>
  <c r="C460" i="2"/>
  <c r="D460" i="2" s="1"/>
  <c r="F459" i="2"/>
  <c r="C459" i="2"/>
  <c r="D459" i="2" s="1"/>
  <c r="F458" i="2"/>
  <c r="C458" i="2"/>
  <c r="D458" i="2" s="1"/>
  <c r="F457" i="2"/>
  <c r="C457" i="2"/>
  <c r="D457" i="2" s="1"/>
  <c r="F456" i="2"/>
  <c r="C456" i="2"/>
  <c r="D456" i="2" s="1"/>
  <c r="F455" i="2"/>
  <c r="C455" i="2"/>
  <c r="D455" i="2" s="1"/>
  <c r="F454" i="2"/>
  <c r="C454" i="2"/>
  <c r="D454" i="2" s="1"/>
  <c r="F453" i="2"/>
  <c r="C453" i="2"/>
  <c r="D453" i="2" s="1"/>
  <c r="F452" i="2"/>
  <c r="C452" i="2"/>
  <c r="D452" i="2" s="1"/>
  <c r="F451" i="2"/>
  <c r="C451" i="2"/>
  <c r="D451" i="2" s="1"/>
  <c r="F450" i="2"/>
  <c r="C450" i="2"/>
  <c r="D450" i="2" s="1"/>
  <c r="F449" i="2"/>
  <c r="C449" i="2"/>
  <c r="D449" i="2" s="1"/>
  <c r="F448" i="2"/>
  <c r="C448" i="2"/>
  <c r="D448" i="2" s="1"/>
  <c r="F447" i="2"/>
  <c r="C447" i="2"/>
  <c r="D447" i="2" s="1"/>
  <c r="F446" i="2"/>
  <c r="C446" i="2"/>
  <c r="D446" i="2" s="1"/>
  <c r="F445" i="2"/>
  <c r="C445" i="2"/>
  <c r="D445" i="2" s="1"/>
  <c r="F444" i="2"/>
  <c r="C444" i="2"/>
  <c r="D444" i="2" s="1"/>
  <c r="F443" i="2"/>
  <c r="C443" i="2"/>
  <c r="D443" i="2" s="1"/>
  <c r="F442" i="2"/>
  <c r="C442" i="2"/>
  <c r="D442" i="2" s="1"/>
  <c r="F441" i="2"/>
  <c r="C441" i="2"/>
  <c r="D441" i="2" s="1"/>
  <c r="F440" i="2"/>
  <c r="C440" i="2"/>
  <c r="D440" i="2" s="1"/>
  <c r="F439" i="2"/>
  <c r="C439" i="2"/>
  <c r="D439" i="2" s="1"/>
  <c r="F438" i="2"/>
  <c r="C438" i="2"/>
  <c r="D438" i="2" s="1"/>
  <c r="F437" i="2"/>
  <c r="C437" i="2"/>
  <c r="D437" i="2" s="1"/>
  <c r="F436" i="2"/>
  <c r="C436" i="2"/>
  <c r="D436" i="2" s="1"/>
  <c r="F435" i="2"/>
  <c r="C435" i="2"/>
  <c r="D435" i="2" s="1"/>
  <c r="F434" i="2"/>
  <c r="C434" i="2"/>
  <c r="D434" i="2" s="1"/>
  <c r="F433" i="2"/>
  <c r="C433" i="2"/>
  <c r="D433" i="2" s="1"/>
  <c r="F432" i="2"/>
  <c r="C432" i="2"/>
  <c r="D432" i="2" s="1"/>
  <c r="F431" i="2"/>
  <c r="C431" i="2"/>
  <c r="D431" i="2" s="1"/>
  <c r="F430" i="2"/>
  <c r="C430" i="2"/>
  <c r="D430" i="2" s="1"/>
  <c r="F429" i="2"/>
  <c r="C429" i="2"/>
  <c r="D429" i="2" s="1"/>
  <c r="F428" i="2"/>
  <c r="C428" i="2"/>
  <c r="D428" i="2" s="1"/>
  <c r="F427" i="2"/>
  <c r="C427" i="2"/>
  <c r="D427" i="2" s="1"/>
  <c r="F426" i="2"/>
  <c r="C426" i="2"/>
  <c r="D426" i="2" s="1"/>
  <c r="F425" i="2"/>
  <c r="C425" i="2"/>
  <c r="D425" i="2" s="1"/>
  <c r="F424" i="2"/>
  <c r="C424" i="2"/>
  <c r="D424" i="2" s="1"/>
  <c r="F423" i="2"/>
  <c r="C423" i="2"/>
  <c r="D423" i="2" s="1"/>
  <c r="F422" i="2"/>
  <c r="C422" i="2"/>
  <c r="D422" i="2" s="1"/>
  <c r="F421" i="2"/>
  <c r="C421" i="2"/>
  <c r="D421" i="2" s="1"/>
  <c r="F420" i="2"/>
  <c r="C420" i="2"/>
  <c r="D420" i="2" s="1"/>
  <c r="F419" i="2"/>
  <c r="C419" i="2"/>
  <c r="D419" i="2" s="1"/>
  <c r="F418" i="2"/>
  <c r="C418" i="2"/>
  <c r="D418" i="2" s="1"/>
  <c r="F417" i="2"/>
  <c r="C417" i="2"/>
  <c r="D417" i="2" s="1"/>
  <c r="F416" i="2"/>
  <c r="C416" i="2"/>
  <c r="D416" i="2" s="1"/>
  <c r="F415" i="2"/>
  <c r="C415" i="2"/>
  <c r="D415" i="2" s="1"/>
  <c r="F414" i="2"/>
  <c r="C414" i="2"/>
  <c r="D414" i="2" s="1"/>
  <c r="F413" i="2"/>
  <c r="C413" i="2"/>
  <c r="D413" i="2" s="1"/>
  <c r="F412" i="2"/>
  <c r="C412" i="2"/>
  <c r="D412" i="2" s="1"/>
  <c r="F411" i="2"/>
  <c r="C411" i="2"/>
  <c r="D411" i="2" s="1"/>
  <c r="F410" i="2"/>
  <c r="C410" i="2"/>
  <c r="D410" i="2" s="1"/>
  <c r="F409" i="2"/>
  <c r="C409" i="2"/>
  <c r="D409" i="2" s="1"/>
  <c r="F408" i="2"/>
  <c r="C408" i="2"/>
  <c r="D408" i="2" s="1"/>
  <c r="F407" i="2"/>
  <c r="C407" i="2"/>
  <c r="D407" i="2" s="1"/>
  <c r="F406" i="2"/>
  <c r="C406" i="2"/>
  <c r="D406" i="2" s="1"/>
  <c r="F405" i="2"/>
  <c r="C405" i="2"/>
  <c r="D405" i="2" s="1"/>
  <c r="F404" i="2"/>
  <c r="C404" i="2"/>
  <c r="D404" i="2" s="1"/>
  <c r="F403" i="2"/>
  <c r="C403" i="2"/>
  <c r="D403" i="2" s="1"/>
  <c r="F402" i="2"/>
  <c r="C402" i="2"/>
  <c r="D402" i="2" s="1"/>
  <c r="F401" i="2"/>
  <c r="C401" i="2"/>
  <c r="D401" i="2" s="1"/>
  <c r="F400" i="2"/>
  <c r="C400" i="2"/>
  <c r="D400" i="2" s="1"/>
  <c r="F399" i="2"/>
  <c r="C399" i="2"/>
  <c r="D399" i="2" s="1"/>
  <c r="F398" i="2"/>
  <c r="C398" i="2"/>
  <c r="D398" i="2" s="1"/>
  <c r="F397" i="2"/>
  <c r="C397" i="2"/>
  <c r="D397" i="2" s="1"/>
  <c r="F396" i="2"/>
  <c r="C396" i="2"/>
  <c r="D396" i="2" s="1"/>
  <c r="F395" i="2"/>
  <c r="C395" i="2"/>
  <c r="D395" i="2" s="1"/>
  <c r="F394" i="2"/>
  <c r="C394" i="2"/>
  <c r="D394" i="2" s="1"/>
  <c r="F393" i="2"/>
  <c r="C393" i="2"/>
  <c r="D393" i="2" s="1"/>
  <c r="F392" i="2"/>
  <c r="C392" i="2"/>
  <c r="D392" i="2" s="1"/>
  <c r="F391" i="2"/>
  <c r="C391" i="2"/>
  <c r="D391" i="2" s="1"/>
  <c r="F390" i="2"/>
  <c r="C390" i="2"/>
  <c r="D390" i="2" s="1"/>
  <c r="F389" i="2"/>
  <c r="C389" i="2"/>
  <c r="D389" i="2" s="1"/>
  <c r="F388" i="2"/>
  <c r="C388" i="2"/>
  <c r="D388" i="2" s="1"/>
  <c r="F387" i="2"/>
  <c r="C387" i="2"/>
  <c r="D387" i="2" s="1"/>
  <c r="F386" i="2"/>
  <c r="C386" i="2"/>
  <c r="D386" i="2" s="1"/>
  <c r="F385" i="2"/>
  <c r="C385" i="2"/>
  <c r="D385" i="2" s="1"/>
  <c r="F384" i="2"/>
  <c r="C384" i="2"/>
  <c r="D384" i="2" s="1"/>
  <c r="F383" i="2"/>
  <c r="C383" i="2"/>
  <c r="D383" i="2" s="1"/>
  <c r="F382" i="2"/>
  <c r="C382" i="2"/>
  <c r="D382" i="2" s="1"/>
  <c r="F381" i="2"/>
  <c r="C381" i="2"/>
  <c r="D381" i="2" s="1"/>
  <c r="F380" i="2"/>
  <c r="C380" i="2"/>
  <c r="D380" i="2" s="1"/>
  <c r="F379" i="2"/>
  <c r="C379" i="2"/>
  <c r="D379" i="2" s="1"/>
  <c r="F378" i="2"/>
  <c r="C378" i="2"/>
  <c r="D378" i="2" s="1"/>
  <c r="F377" i="2"/>
  <c r="C377" i="2"/>
  <c r="D377" i="2" s="1"/>
  <c r="F376" i="2"/>
  <c r="C376" i="2"/>
  <c r="D376" i="2" s="1"/>
  <c r="F375" i="2"/>
  <c r="C375" i="2"/>
  <c r="D375" i="2" s="1"/>
  <c r="F374" i="2"/>
  <c r="C374" i="2"/>
  <c r="D374" i="2" s="1"/>
  <c r="F373" i="2"/>
  <c r="C373" i="2"/>
  <c r="D373" i="2" s="1"/>
  <c r="F372" i="2"/>
  <c r="C372" i="2"/>
  <c r="D372" i="2" s="1"/>
  <c r="F371" i="2"/>
  <c r="C371" i="2"/>
  <c r="D371" i="2" s="1"/>
  <c r="F370" i="2"/>
  <c r="C370" i="2"/>
  <c r="D370" i="2" s="1"/>
  <c r="F369" i="2"/>
  <c r="C369" i="2"/>
  <c r="D369" i="2" s="1"/>
  <c r="F368" i="2"/>
  <c r="C368" i="2"/>
  <c r="D368" i="2" s="1"/>
  <c r="F367" i="2"/>
  <c r="C367" i="2"/>
  <c r="D367" i="2" s="1"/>
  <c r="F366" i="2"/>
  <c r="C366" i="2"/>
  <c r="D366" i="2" s="1"/>
  <c r="F365" i="2"/>
  <c r="C365" i="2"/>
  <c r="D365" i="2" s="1"/>
  <c r="F364" i="2"/>
  <c r="C364" i="2"/>
  <c r="D364" i="2" s="1"/>
  <c r="F363" i="2"/>
  <c r="C363" i="2"/>
  <c r="D363" i="2" s="1"/>
  <c r="F362" i="2"/>
  <c r="C362" i="2"/>
  <c r="D362" i="2" s="1"/>
  <c r="F361" i="2"/>
  <c r="C361" i="2"/>
  <c r="D361" i="2" s="1"/>
  <c r="F360" i="2"/>
  <c r="C360" i="2"/>
  <c r="D360" i="2" s="1"/>
  <c r="F359" i="2"/>
  <c r="C359" i="2"/>
  <c r="D359" i="2" s="1"/>
  <c r="F358" i="2"/>
  <c r="C358" i="2"/>
  <c r="D358" i="2" s="1"/>
  <c r="F357" i="2"/>
  <c r="C357" i="2"/>
  <c r="D357" i="2" s="1"/>
  <c r="F356" i="2"/>
  <c r="C356" i="2"/>
  <c r="D356" i="2" s="1"/>
  <c r="F355" i="2"/>
  <c r="C355" i="2"/>
  <c r="D355" i="2" s="1"/>
  <c r="F354" i="2"/>
  <c r="C354" i="2"/>
  <c r="D354" i="2" s="1"/>
  <c r="F353" i="2"/>
  <c r="C353" i="2"/>
  <c r="D353" i="2" s="1"/>
  <c r="F352" i="2"/>
  <c r="C352" i="2"/>
  <c r="D352" i="2" s="1"/>
  <c r="F351" i="2"/>
  <c r="C351" i="2"/>
  <c r="D351" i="2" s="1"/>
  <c r="F350" i="2"/>
  <c r="C350" i="2"/>
  <c r="D350" i="2" s="1"/>
  <c r="F349" i="2"/>
  <c r="C349" i="2"/>
  <c r="D349" i="2" s="1"/>
  <c r="F348" i="2"/>
  <c r="C348" i="2"/>
  <c r="D348" i="2" s="1"/>
  <c r="F347" i="2"/>
  <c r="C347" i="2"/>
  <c r="D347" i="2" s="1"/>
  <c r="F346" i="2"/>
  <c r="C346" i="2"/>
  <c r="D346" i="2" s="1"/>
  <c r="F345" i="2"/>
  <c r="C345" i="2"/>
  <c r="D345" i="2" s="1"/>
  <c r="F344" i="2"/>
  <c r="C344" i="2"/>
  <c r="D344" i="2" s="1"/>
  <c r="F343" i="2"/>
  <c r="C343" i="2"/>
  <c r="D343" i="2" s="1"/>
  <c r="F342" i="2"/>
  <c r="C342" i="2"/>
  <c r="D342" i="2" s="1"/>
  <c r="F341" i="2"/>
  <c r="C341" i="2"/>
  <c r="D341" i="2" s="1"/>
  <c r="F340" i="2"/>
  <c r="C340" i="2"/>
  <c r="D340" i="2" s="1"/>
  <c r="F339" i="2"/>
  <c r="C339" i="2"/>
  <c r="D339" i="2" s="1"/>
  <c r="F338" i="2"/>
  <c r="C338" i="2"/>
  <c r="D338" i="2" s="1"/>
  <c r="F337" i="2"/>
  <c r="C337" i="2"/>
  <c r="D337" i="2" s="1"/>
  <c r="F336" i="2"/>
  <c r="C336" i="2"/>
  <c r="D336" i="2" s="1"/>
  <c r="F335" i="2"/>
  <c r="C335" i="2"/>
  <c r="D335" i="2" s="1"/>
  <c r="F334" i="2"/>
  <c r="C334" i="2"/>
  <c r="D334" i="2" s="1"/>
  <c r="F333" i="2"/>
  <c r="C333" i="2"/>
  <c r="D333" i="2" s="1"/>
  <c r="F332" i="2"/>
  <c r="C332" i="2"/>
  <c r="D332" i="2" s="1"/>
  <c r="F331" i="2"/>
  <c r="C331" i="2"/>
  <c r="D331" i="2" s="1"/>
  <c r="F330" i="2"/>
  <c r="C330" i="2"/>
  <c r="D330" i="2" s="1"/>
  <c r="F329" i="2"/>
  <c r="C329" i="2"/>
  <c r="D329" i="2" s="1"/>
  <c r="F328" i="2"/>
  <c r="C328" i="2"/>
  <c r="D328" i="2" s="1"/>
  <c r="F327" i="2"/>
  <c r="C327" i="2"/>
  <c r="D327" i="2" s="1"/>
  <c r="F326" i="2"/>
  <c r="C326" i="2"/>
  <c r="D326" i="2" s="1"/>
  <c r="F325" i="2"/>
  <c r="C325" i="2"/>
  <c r="D325" i="2" s="1"/>
  <c r="F324" i="2"/>
  <c r="C324" i="2"/>
  <c r="D324" i="2" s="1"/>
  <c r="F323" i="2"/>
  <c r="C323" i="2"/>
  <c r="D323" i="2" s="1"/>
  <c r="F322" i="2"/>
  <c r="C322" i="2"/>
  <c r="D322" i="2" s="1"/>
  <c r="F321" i="2"/>
  <c r="C321" i="2"/>
  <c r="D321" i="2" s="1"/>
  <c r="F320" i="2"/>
  <c r="C320" i="2"/>
  <c r="D320" i="2" s="1"/>
  <c r="F319" i="2"/>
  <c r="C319" i="2"/>
  <c r="D319" i="2" s="1"/>
  <c r="F318" i="2"/>
  <c r="C318" i="2"/>
  <c r="D318" i="2" s="1"/>
  <c r="F317" i="2"/>
  <c r="C317" i="2"/>
  <c r="D317" i="2" s="1"/>
  <c r="F316" i="2"/>
  <c r="C316" i="2"/>
  <c r="D316" i="2" s="1"/>
  <c r="F315" i="2"/>
  <c r="C315" i="2"/>
  <c r="D315" i="2" s="1"/>
  <c r="F314" i="2"/>
  <c r="C314" i="2"/>
  <c r="D314" i="2" s="1"/>
  <c r="F313" i="2"/>
  <c r="C313" i="2"/>
  <c r="D313" i="2" s="1"/>
  <c r="F312" i="2"/>
  <c r="C312" i="2"/>
  <c r="D312" i="2" s="1"/>
  <c r="F311" i="2"/>
  <c r="C311" i="2"/>
  <c r="D311" i="2" s="1"/>
  <c r="F310" i="2"/>
  <c r="C310" i="2"/>
  <c r="D310" i="2" s="1"/>
  <c r="F309" i="2"/>
  <c r="C309" i="2"/>
  <c r="D309" i="2" s="1"/>
  <c r="F308" i="2"/>
  <c r="C308" i="2"/>
  <c r="D308" i="2" s="1"/>
  <c r="F307" i="2"/>
  <c r="C307" i="2"/>
  <c r="D307" i="2" s="1"/>
  <c r="F306" i="2"/>
  <c r="C306" i="2"/>
  <c r="D306" i="2" s="1"/>
  <c r="F305" i="2"/>
  <c r="C305" i="2"/>
  <c r="D305" i="2" s="1"/>
  <c r="F304" i="2"/>
  <c r="C304" i="2"/>
  <c r="D304" i="2" s="1"/>
  <c r="F303" i="2"/>
  <c r="C303" i="2"/>
  <c r="D303" i="2" s="1"/>
  <c r="F302" i="2"/>
  <c r="C302" i="2"/>
  <c r="D302" i="2" s="1"/>
  <c r="F301" i="2"/>
  <c r="C301" i="2"/>
  <c r="D301" i="2" s="1"/>
  <c r="F300" i="2"/>
  <c r="C300" i="2"/>
  <c r="D300" i="2" s="1"/>
  <c r="F299" i="2"/>
  <c r="C299" i="2"/>
  <c r="D299" i="2" s="1"/>
  <c r="F298" i="2"/>
  <c r="C298" i="2"/>
  <c r="D298" i="2" s="1"/>
  <c r="F297" i="2"/>
  <c r="C297" i="2"/>
  <c r="D297" i="2" s="1"/>
  <c r="F296" i="2"/>
  <c r="C296" i="2"/>
  <c r="D296" i="2" s="1"/>
  <c r="F295" i="2"/>
  <c r="C295" i="2"/>
  <c r="D295" i="2" s="1"/>
  <c r="F294" i="2"/>
  <c r="C294" i="2"/>
  <c r="D294" i="2" s="1"/>
  <c r="F293" i="2"/>
  <c r="C293" i="2"/>
  <c r="D293" i="2" s="1"/>
  <c r="F292" i="2"/>
  <c r="C292" i="2"/>
  <c r="D292" i="2" s="1"/>
  <c r="F291" i="2"/>
  <c r="C291" i="2"/>
  <c r="D291" i="2" s="1"/>
  <c r="F290" i="2"/>
  <c r="C290" i="2"/>
  <c r="D290" i="2" s="1"/>
  <c r="F289" i="2"/>
  <c r="C289" i="2"/>
  <c r="D289" i="2" s="1"/>
  <c r="F288" i="2"/>
  <c r="C288" i="2"/>
  <c r="D288" i="2" s="1"/>
  <c r="F287" i="2"/>
  <c r="C287" i="2"/>
  <c r="D287" i="2" s="1"/>
  <c r="F286" i="2"/>
  <c r="C286" i="2"/>
  <c r="D286" i="2" s="1"/>
  <c r="F285" i="2"/>
  <c r="C285" i="2"/>
  <c r="D285" i="2" s="1"/>
  <c r="F284" i="2"/>
  <c r="C284" i="2"/>
  <c r="D284" i="2" s="1"/>
  <c r="F283" i="2"/>
  <c r="C283" i="2"/>
  <c r="D283" i="2" s="1"/>
  <c r="F282" i="2"/>
  <c r="C282" i="2"/>
  <c r="D282" i="2" s="1"/>
  <c r="F281" i="2"/>
  <c r="C281" i="2"/>
  <c r="D281" i="2" s="1"/>
  <c r="F280" i="2"/>
  <c r="C280" i="2"/>
  <c r="D280" i="2" s="1"/>
  <c r="F279" i="2"/>
  <c r="C279" i="2"/>
  <c r="D279" i="2" s="1"/>
  <c r="F278" i="2"/>
  <c r="C278" i="2"/>
  <c r="D278" i="2" s="1"/>
  <c r="F277" i="2"/>
  <c r="C277" i="2"/>
  <c r="D277" i="2" s="1"/>
  <c r="F276" i="2"/>
  <c r="C276" i="2"/>
  <c r="D276" i="2" s="1"/>
  <c r="F275" i="2"/>
  <c r="C275" i="2"/>
  <c r="D275" i="2" s="1"/>
  <c r="F274" i="2"/>
  <c r="C274" i="2"/>
  <c r="D274" i="2" s="1"/>
  <c r="F273" i="2"/>
  <c r="C273" i="2"/>
  <c r="D273" i="2" s="1"/>
  <c r="F272" i="2"/>
  <c r="C272" i="2"/>
  <c r="D272" i="2" s="1"/>
  <c r="F271" i="2"/>
  <c r="C271" i="2"/>
  <c r="D271" i="2" s="1"/>
  <c r="F270" i="2"/>
  <c r="C270" i="2"/>
  <c r="D270" i="2" s="1"/>
  <c r="F269" i="2"/>
  <c r="C269" i="2"/>
  <c r="D269" i="2" s="1"/>
  <c r="F268" i="2"/>
  <c r="C268" i="2"/>
  <c r="D268" i="2" s="1"/>
  <c r="F267" i="2"/>
  <c r="C267" i="2"/>
  <c r="D267" i="2" s="1"/>
  <c r="F266" i="2"/>
  <c r="C266" i="2"/>
  <c r="D266" i="2" s="1"/>
  <c r="F265" i="2"/>
  <c r="C265" i="2"/>
  <c r="D265" i="2" s="1"/>
  <c r="F264" i="2"/>
  <c r="C264" i="2"/>
  <c r="D264" i="2" s="1"/>
  <c r="F263" i="2"/>
  <c r="C263" i="2"/>
  <c r="D263" i="2" s="1"/>
  <c r="F262" i="2"/>
  <c r="C262" i="2"/>
  <c r="D262" i="2" s="1"/>
  <c r="F261" i="2"/>
  <c r="C261" i="2"/>
  <c r="D261" i="2" s="1"/>
  <c r="F260" i="2"/>
  <c r="C260" i="2"/>
  <c r="D260" i="2" s="1"/>
  <c r="F259" i="2"/>
  <c r="C259" i="2"/>
  <c r="D259" i="2" s="1"/>
  <c r="F258" i="2"/>
  <c r="C258" i="2"/>
  <c r="D258" i="2" s="1"/>
  <c r="F257" i="2"/>
  <c r="C257" i="2"/>
  <c r="D257" i="2" s="1"/>
  <c r="F256" i="2"/>
  <c r="C256" i="2"/>
  <c r="D256" i="2" s="1"/>
  <c r="F255" i="2"/>
  <c r="C255" i="2"/>
  <c r="D255" i="2" s="1"/>
  <c r="F254" i="2"/>
  <c r="C254" i="2"/>
  <c r="D254" i="2" s="1"/>
  <c r="F253" i="2"/>
  <c r="C253" i="2"/>
  <c r="D253" i="2" s="1"/>
  <c r="F252" i="2"/>
  <c r="C252" i="2"/>
  <c r="D252" i="2" s="1"/>
  <c r="F251" i="2"/>
  <c r="C251" i="2"/>
  <c r="D251" i="2" s="1"/>
  <c r="F250" i="2"/>
  <c r="C250" i="2"/>
  <c r="D250" i="2" s="1"/>
  <c r="F249" i="2"/>
  <c r="C249" i="2"/>
  <c r="D249" i="2" s="1"/>
  <c r="F248" i="2"/>
  <c r="C248" i="2"/>
  <c r="D248" i="2" s="1"/>
  <c r="F247" i="2"/>
  <c r="C247" i="2"/>
  <c r="D247" i="2" s="1"/>
  <c r="F246" i="2"/>
  <c r="C246" i="2"/>
  <c r="D246" i="2" s="1"/>
  <c r="F245" i="2"/>
  <c r="C245" i="2"/>
  <c r="D245" i="2" s="1"/>
  <c r="F244" i="2"/>
  <c r="C244" i="2"/>
  <c r="D244" i="2" s="1"/>
  <c r="F243" i="2"/>
  <c r="C243" i="2"/>
  <c r="D243" i="2" s="1"/>
  <c r="F242" i="2"/>
  <c r="C242" i="2"/>
  <c r="D242" i="2" s="1"/>
  <c r="F241" i="2"/>
  <c r="C241" i="2"/>
  <c r="D241" i="2" s="1"/>
  <c r="F240" i="2"/>
  <c r="C240" i="2"/>
  <c r="D240" i="2" s="1"/>
  <c r="F239" i="2"/>
  <c r="C239" i="2"/>
  <c r="D239" i="2" s="1"/>
  <c r="F238" i="2"/>
  <c r="C238" i="2"/>
  <c r="D238" i="2" s="1"/>
  <c r="F237" i="2"/>
  <c r="C237" i="2"/>
  <c r="D237" i="2" s="1"/>
  <c r="F236" i="2"/>
  <c r="C236" i="2"/>
  <c r="D236" i="2" s="1"/>
  <c r="F235" i="2"/>
  <c r="C235" i="2"/>
  <c r="D235" i="2" s="1"/>
  <c r="F234" i="2"/>
  <c r="C234" i="2"/>
  <c r="D234" i="2" s="1"/>
  <c r="F233" i="2"/>
  <c r="C233" i="2"/>
  <c r="D233" i="2" s="1"/>
  <c r="F232" i="2"/>
  <c r="C232" i="2"/>
  <c r="D232" i="2" s="1"/>
  <c r="F231" i="2"/>
  <c r="C231" i="2"/>
  <c r="D231" i="2" s="1"/>
  <c r="F230" i="2"/>
  <c r="C230" i="2"/>
  <c r="D230" i="2" s="1"/>
  <c r="F229" i="2"/>
  <c r="C229" i="2"/>
  <c r="D229" i="2" s="1"/>
  <c r="F228" i="2"/>
  <c r="C228" i="2"/>
  <c r="D228" i="2" s="1"/>
  <c r="F227" i="2"/>
  <c r="C227" i="2"/>
  <c r="D227" i="2" s="1"/>
  <c r="F226" i="2"/>
  <c r="C226" i="2"/>
  <c r="D226" i="2" s="1"/>
  <c r="F225" i="2"/>
  <c r="C225" i="2"/>
  <c r="D225" i="2" s="1"/>
  <c r="F224" i="2"/>
  <c r="C224" i="2"/>
  <c r="D224" i="2" s="1"/>
  <c r="F223" i="2"/>
  <c r="C223" i="2"/>
  <c r="D223" i="2" s="1"/>
  <c r="F222" i="2"/>
  <c r="C222" i="2"/>
  <c r="D222" i="2" s="1"/>
  <c r="F221" i="2"/>
  <c r="C221" i="2"/>
  <c r="D221" i="2" s="1"/>
  <c r="F220" i="2"/>
  <c r="C220" i="2"/>
  <c r="D220" i="2" s="1"/>
  <c r="F219" i="2"/>
  <c r="C219" i="2"/>
  <c r="D219" i="2" s="1"/>
  <c r="F218" i="2"/>
  <c r="C218" i="2"/>
  <c r="D218" i="2" s="1"/>
  <c r="F217" i="2"/>
  <c r="C217" i="2"/>
  <c r="D217" i="2" s="1"/>
  <c r="F216" i="2"/>
  <c r="C216" i="2"/>
  <c r="D216" i="2" s="1"/>
  <c r="F215" i="2"/>
  <c r="C215" i="2"/>
  <c r="D215" i="2" s="1"/>
  <c r="F214" i="2"/>
  <c r="C214" i="2"/>
  <c r="D214" i="2" s="1"/>
  <c r="F213" i="2"/>
  <c r="C213" i="2"/>
  <c r="D213" i="2" s="1"/>
  <c r="F212" i="2"/>
  <c r="C212" i="2"/>
  <c r="D212" i="2" s="1"/>
  <c r="F211" i="2"/>
  <c r="C211" i="2"/>
  <c r="D211" i="2" s="1"/>
  <c r="F210" i="2"/>
  <c r="C210" i="2"/>
  <c r="D210" i="2" s="1"/>
  <c r="F209" i="2"/>
  <c r="C209" i="2"/>
  <c r="D209" i="2" s="1"/>
  <c r="F208" i="2"/>
  <c r="C208" i="2"/>
  <c r="D208" i="2" s="1"/>
  <c r="F207" i="2"/>
  <c r="C207" i="2"/>
  <c r="D207" i="2" s="1"/>
  <c r="F206" i="2"/>
  <c r="C206" i="2"/>
  <c r="D206" i="2" s="1"/>
  <c r="F205" i="2"/>
  <c r="C205" i="2"/>
  <c r="D205" i="2" s="1"/>
  <c r="F204" i="2"/>
  <c r="C204" i="2"/>
  <c r="D204" i="2" s="1"/>
  <c r="F203" i="2"/>
  <c r="C203" i="2"/>
  <c r="D203" i="2" s="1"/>
  <c r="F202" i="2"/>
  <c r="C202" i="2"/>
  <c r="D202" i="2" s="1"/>
  <c r="F201" i="2"/>
  <c r="C201" i="2"/>
  <c r="D201" i="2" s="1"/>
  <c r="F200" i="2"/>
  <c r="C200" i="2"/>
  <c r="D200" i="2" s="1"/>
  <c r="F199" i="2"/>
  <c r="C199" i="2"/>
  <c r="D199" i="2" s="1"/>
  <c r="F198" i="2"/>
  <c r="C198" i="2"/>
  <c r="D198" i="2" s="1"/>
  <c r="F197" i="2"/>
  <c r="C197" i="2"/>
  <c r="D197" i="2" s="1"/>
  <c r="F196" i="2"/>
  <c r="C196" i="2"/>
  <c r="D196" i="2" s="1"/>
  <c r="F195" i="2"/>
  <c r="C195" i="2"/>
  <c r="D195" i="2" s="1"/>
  <c r="F194" i="2"/>
  <c r="H194" i="2" s="1"/>
  <c r="I194" i="2" s="1"/>
  <c r="C194" i="2"/>
  <c r="D194" i="2" s="1"/>
  <c r="F193" i="2"/>
  <c r="C193" i="2"/>
  <c r="D193" i="2" s="1"/>
  <c r="F192" i="2"/>
  <c r="H192" i="2" s="1"/>
  <c r="I192" i="2" s="1"/>
  <c r="C192" i="2"/>
  <c r="D192" i="2" s="1"/>
  <c r="F191" i="2"/>
  <c r="C191" i="2"/>
  <c r="D191" i="2" s="1"/>
  <c r="F190" i="2"/>
  <c r="C190" i="2"/>
  <c r="D190" i="2" s="1"/>
  <c r="F189" i="2"/>
  <c r="C189" i="2"/>
  <c r="D189" i="2" s="1"/>
  <c r="F188" i="2"/>
  <c r="C188" i="2"/>
  <c r="D188" i="2" s="1"/>
  <c r="F187" i="2"/>
  <c r="C187" i="2"/>
  <c r="D187" i="2" s="1"/>
  <c r="F186" i="2"/>
  <c r="C186" i="2"/>
  <c r="D186" i="2" s="1"/>
  <c r="F185" i="2"/>
  <c r="C185" i="2"/>
  <c r="D185" i="2" s="1"/>
  <c r="F184" i="2"/>
  <c r="C184" i="2"/>
  <c r="D184" i="2" s="1"/>
  <c r="F183" i="2"/>
  <c r="C183" i="2"/>
  <c r="D183" i="2" s="1"/>
  <c r="F182" i="2"/>
  <c r="C182" i="2"/>
  <c r="D182" i="2" s="1"/>
  <c r="F181" i="2"/>
  <c r="C181" i="2"/>
  <c r="D181" i="2" s="1"/>
  <c r="F180" i="2"/>
  <c r="C180" i="2"/>
  <c r="D180" i="2" s="1"/>
  <c r="F179" i="2"/>
  <c r="C179" i="2"/>
  <c r="D179" i="2" s="1"/>
  <c r="F178" i="2"/>
  <c r="C178" i="2"/>
  <c r="D178" i="2" s="1"/>
  <c r="F177" i="2"/>
  <c r="C177" i="2"/>
  <c r="D177" i="2" s="1"/>
  <c r="F176" i="2"/>
  <c r="C176" i="2"/>
  <c r="D176" i="2" s="1"/>
  <c r="F175" i="2"/>
  <c r="C175" i="2"/>
  <c r="D175" i="2" s="1"/>
  <c r="F174" i="2"/>
  <c r="C174" i="2"/>
  <c r="D174" i="2" s="1"/>
  <c r="F173" i="2"/>
  <c r="C173" i="2"/>
  <c r="D173" i="2" s="1"/>
  <c r="F172" i="2"/>
  <c r="C172" i="2"/>
  <c r="D172" i="2" s="1"/>
  <c r="F171" i="2"/>
  <c r="C171" i="2"/>
  <c r="D171" i="2" s="1"/>
  <c r="F170" i="2"/>
  <c r="C170" i="2"/>
  <c r="D170" i="2" s="1"/>
  <c r="F169" i="2"/>
  <c r="C169" i="2"/>
  <c r="D169" i="2" s="1"/>
  <c r="F168" i="2"/>
  <c r="C168" i="2"/>
  <c r="D168" i="2" s="1"/>
  <c r="F167" i="2"/>
  <c r="C167" i="2"/>
  <c r="D167" i="2" s="1"/>
  <c r="F166" i="2"/>
  <c r="C166" i="2"/>
  <c r="D166" i="2" s="1"/>
  <c r="F165" i="2"/>
  <c r="C165" i="2"/>
  <c r="D165" i="2" s="1"/>
  <c r="F164" i="2"/>
  <c r="C164" i="2"/>
  <c r="D164" i="2" s="1"/>
  <c r="F163" i="2"/>
  <c r="C163" i="2"/>
  <c r="D163" i="2" s="1"/>
  <c r="F162" i="2"/>
  <c r="C162" i="2"/>
  <c r="D162" i="2" s="1"/>
  <c r="F161" i="2"/>
  <c r="C161" i="2"/>
  <c r="D161" i="2" s="1"/>
  <c r="F160" i="2"/>
  <c r="C160" i="2"/>
  <c r="D160" i="2" s="1"/>
  <c r="F159" i="2"/>
  <c r="C159" i="2"/>
  <c r="D159" i="2" s="1"/>
  <c r="F158" i="2"/>
  <c r="C158" i="2"/>
  <c r="D158" i="2" s="1"/>
  <c r="F157" i="2"/>
  <c r="C157" i="2"/>
  <c r="D157" i="2" s="1"/>
  <c r="F156" i="2"/>
  <c r="C156" i="2"/>
  <c r="D156" i="2" s="1"/>
  <c r="F155" i="2"/>
  <c r="C155" i="2"/>
  <c r="D155" i="2" s="1"/>
  <c r="F154" i="2"/>
  <c r="C154" i="2"/>
  <c r="D154" i="2" s="1"/>
  <c r="F153" i="2"/>
  <c r="C153" i="2"/>
  <c r="D153" i="2" s="1"/>
  <c r="F152" i="2"/>
  <c r="C152" i="2"/>
  <c r="D152" i="2" s="1"/>
  <c r="F151" i="2"/>
  <c r="C151" i="2"/>
  <c r="D151" i="2" s="1"/>
  <c r="F150" i="2"/>
  <c r="C150" i="2"/>
  <c r="D150" i="2" s="1"/>
  <c r="F149" i="2"/>
  <c r="C149" i="2"/>
  <c r="D149" i="2" s="1"/>
  <c r="F148" i="2"/>
  <c r="C148" i="2"/>
  <c r="D148" i="2" s="1"/>
  <c r="F147" i="2"/>
  <c r="C147" i="2"/>
  <c r="D147" i="2" s="1"/>
  <c r="F146" i="2"/>
  <c r="C146" i="2"/>
  <c r="D146" i="2" s="1"/>
  <c r="F145" i="2"/>
  <c r="C145" i="2"/>
  <c r="D145" i="2" s="1"/>
  <c r="F144" i="2"/>
  <c r="C144" i="2"/>
  <c r="D144" i="2" s="1"/>
  <c r="F143" i="2"/>
  <c r="C143" i="2"/>
  <c r="D143" i="2" s="1"/>
  <c r="F142" i="2"/>
  <c r="C142" i="2"/>
  <c r="D142" i="2" s="1"/>
  <c r="F141" i="2"/>
  <c r="C141" i="2"/>
  <c r="D141" i="2" s="1"/>
  <c r="F140" i="2"/>
  <c r="C140" i="2"/>
  <c r="D140" i="2" s="1"/>
  <c r="F139" i="2"/>
  <c r="C139" i="2"/>
  <c r="D139" i="2" s="1"/>
  <c r="F138" i="2"/>
  <c r="C138" i="2"/>
  <c r="D138" i="2" s="1"/>
  <c r="F137" i="2"/>
  <c r="C137" i="2"/>
  <c r="D137" i="2" s="1"/>
  <c r="F136" i="2"/>
  <c r="C136" i="2"/>
  <c r="D136" i="2" s="1"/>
  <c r="F135" i="2"/>
  <c r="C135" i="2"/>
  <c r="D135" i="2" s="1"/>
  <c r="F134" i="2"/>
  <c r="C134" i="2"/>
  <c r="D134" i="2" s="1"/>
  <c r="F133" i="2"/>
  <c r="C133" i="2"/>
  <c r="D133" i="2" s="1"/>
  <c r="F132" i="2"/>
  <c r="C132" i="2"/>
  <c r="D132" i="2" s="1"/>
  <c r="F131" i="2"/>
  <c r="C131" i="2"/>
  <c r="D131" i="2" s="1"/>
  <c r="F130" i="2"/>
  <c r="C130" i="2"/>
  <c r="D130" i="2" s="1"/>
  <c r="F129" i="2"/>
  <c r="C129" i="2"/>
  <c r="D129" i="2" s="1"/>
  <c r="F128" i="2"/>
  <c r="C128" i="2"/>
  <c r="D128" i="2" s="1"/>
  <c r="F127" i="2"/>
  <c r="C127" i="2"/>
  <c r="D127" i="2" s="1"/>
  <c r="F126" i="2"/>
  <c r="C126" i="2"/>
  <c r="D126" i="2" s="1"/>
  <c r="F125" i="2"/>
  <c r="C125" i="2"/>
  <c r="D125" i="2" s="1"/>
  <c r="F124" i="2"/>
  <c r="C124" i="2"/>
  <c r="D124" i="2" s="1"/>
  <c r="F123" i="2"/>
  <c r="C123" i="2"/>
  <c r="D123" i="2" s="1"/>
  <c r="F122" i="2"/>
  <c r="C122" i="2"/>
  <c r="D122" i="2" s="1"/>
  <c r="F121" i="2"/>
  <c r="C121" i="2"/>
  <c r="D121" i="2" s="1"/>
  <c r="F120" i="2"/>
  <c r="C120" i="2"/>
  <c r="D120" i="2" s="1"/>
  <c r="F119" i="2"/>
  <c r="C119" i="2"/>
  <c r="D119" i="2" s="1"/>
  <c r="F118" i="2"/>
  <c r="C118" i="2"/>
  <c r="D118" i="2" s="1"/>
  <c r="F117" i="2"/>
  <c r="H117" i="2" s="1"/>
  <c r="I117" i="2" s="1"/>
  <c r="C117" i="2"/>
  <c r="D117" i="2" s="1"/>
  <c r="F116" i="2"/>
  <c r="C116" i="2"/>
  <c r="D116" i="2" s="1"/>
  <c r="F115" i="2"/>
  <c r="C115" i="2"/>
  <c r="D115" i="2" s="1"/>
  <c r="F114" i="2"/>
  <c r="C114" i="2"/>
  <c r="D114" i="2" s="1"/>
  <c r="F113" i="2"/>
  <c r="C113" i="2"/>
  <c r="D113" i="2" s="1"/>
  <c r="F112" i="2"/>
  <c r="C112" i="2"/>
  <c r="D112" i="2" s="1"/>
  <c r="F111" i="2"/>
  <c r="C111" i="2"/>
  <c r="D111" i="2" s="1"/>
  <c r="F110" i="2"/>
  <c r="C110" i="2"/>
  <c r="D110" i="2" s="1"/>
  <c r="F109" i="2"/>
  <c r="C109" i="2"/>
  <c r="D109" i="2" s="1"/>
  <c r="F108" i="2"/>
  <c r="C108" i="2"/>
  <c r="D108" i="2" s="1"/>
  <c r="F107" i="2"/>
  <c r="C107" i="2"/>
  <c r="D107" i="2" s="1"/>
  <c r="F106" i="2"/>
  <c r="C106" i="2"/>
  <c r="D106" i="2" s="1"/>
  <c r="F105" i="2"/>
  <c r="C105" i="2"/>
  <c r="D105" i="2" s="1"/>
  <c r="F104" i="2"/>
  <c r="C104" i="2"/>
  <c r="D104" i="2" s="1"/>
  <c r="F103" i="2"/>
  <c r="C103" i="2"/>
  <c r="D103" i="2" s="1"/>
  <c r="F102" i="2"/>
  <c r="C102" i="2"/>
  <c r="D102" i="2" s="1"/>
  <c r="F101" i="2"/>
  <c r="C101" i="2"/>
  <c r="D101" i="2" s="1"/>
  <c r="F100" i="2"/>
  <c r="C100" i="2"/>
  <c r="D100" i="2" s="1"/>
  <c r="F99" i="2"/>
  <c r="C99" i="2"/>
  <c r="D99" i="2" s="1"/>
  <c r="F98" i="2"/>
  <c r="C98" i="2"/>
  <c r="D98" i="2" s="1"/>
  <c r="F97" i="2"/>
  <c r="C97" i="2"/>
  <c r="D97" i="2" s="1"/>
  <c r="F96" i="2"/>
  <c r="C96" i="2"/>
  <c r="D96" i="2" s="1"/>
  <c r="F95" i="2"/>
  <c r="C95" i="2"/>
  <c r="D95" i="2" s="1"/>
  <c r="F94" i="2"/>
  <c r="C94" i="2"/>
  <c r="D94" i="2" s="1"/>
  <c r="F93" i="2"/>
  <c r="C93" i="2"/>
  <c r="D93" i="2" s="1"/>
  <c r="F92" i="2"/>
  <c r="C92" i="2"/>
  <c r="D92" i="2" s="1"/>
  <c r="F91" i="2"/>
  <c r="C91" i="2"/>
  <c r="D91" i="2" s="1"/>
  <c r="F90" i="2"/>
  <c r="C90" i="2"/>
  <c r="D90" i="2" s="1"/>
  <c r="F89" i="2"/>
  <c r="C89" i="2"/>
  <c r="D89" i="2" s="1"/>
  <c r="F88" i="2"/>
  <c r="C88" i="2"/>
  <c r="D88" i="2" s="1"/>
  <c r="F87" i="2"/>
  <c r="C87" i="2"/>
  <c r="D87" i="2" s="1"/>
  <c r="F86" i="2"/>
  <c r="C86" i="2"/>
  <c r="D86" i="2" s="1"/>
  <c r="F85" i="2"/>
  <c r="C85" i="2"/>
  <c r="D85" i="2" s="1"/>
  <c r="F84" i="2"/>
  <c r="C84" i="2"/>
  <c r="D84" i="2" s="1"/>
  <c r="F83" i="2"/>
  <c r="C83" i="2"/>
  <c r="D83" i="2" s="1"/>
  <c r="F82" i="2"/>
  <c r="C82" i="2"/>
  <c r="D82" i="2" s="1"/>
  <c r="F81" i="2"/>
  <c r="C81" i="2"/>
  <c r="D81" i="2" s="1"/>
  <c r="F80" i="2"/>
  <c r="C80" i="2"/>
  <c r="D80" i="2" s="1"/>
  <c r="F79" i="2"/>
  <c r="C79" i="2"/>
  <c r="D79" i="2" s="1"/>
  <c r="F78" i="2"/>
  <c r="C78" i="2"/>
  <c r="D78" i="2" s="1"/>
  <c r="F77" i="2"/>
  <c r="C77" i="2"/>
  <c r="D77" i="2" s="1"/>
  <c r="F76" i="2"/>
  <c r="C76" i="2"/>
  <c r="D76" i="2" s="1"/>
  <c r="F75" i="2"/>
  <c r="C75" i="2"/>
  <c r="D75" i="2" s="1"/>
  <c r="F74" i="2"/>
  <c r="C74" i="2"/>
  <c r="D74" i="2" s="1"/>
  <c r="F73" i="2"/>
  <c r="C73" i="2"/>
  <c r="D73" i="2" s="1"/>
  <c r="F72" i="2"/>
  <c r="C72" i="2"/>
  <c r="D72" i="2" s="1"/>
  <c r="F71" i="2"/>
  <c r="H71" i="2" s="1"/>
  <c r="I71" i="2" s="1"/>
  <c r="C71" i="2"/>
  <c r="D71" i="2" s="1"/>
  <c r="F70" i="2"/>
  <c r="C70" i="2"/>
  <c r="D70" i="2" s="1"/>
  <c r="F69" i="2"/>
  <c r="C69" i="2"/>
  <c r="D69" i="2" s="1"/>
  <c r="F68" i="2"/>
  <c r="C68" i="2"/>
  <c r="D68" i="2" s="1"/>
  <c r="F67" i="2"/>
  <c r="C67" i="2"/>
  <c r="D67" i="2" s="1"/>
  <c r="F66" i="2"/>
  <c r="C66" i="2"/>
  <c r="D66" i="2" s="1"/>
  <c r="F65" i="2"/>
  <c r="C65" i="2"/>
  <c r="D65" i="2" s="1"/>
  <c r="F64" i="2"/>
  <c r="C64" i="2"/>
  <c r="D64" i="2" s="1"/>
  <c r="F63" i="2"/>
  <c r="C63" i="2"/>
  <c r="D63" i="2" s="1"/>
  <c r="F62" i="2"/>
  <c r="C62" i="2"/>
  <c r="D62" i="2" s="1"/>
  <c r="F61" i="2"/>
  <c r="C61" i="2"/>
  <c r="D61" i="2" s="1"/>
  <c r="F60" i="2"/>
  <c r="C60" i="2"/>
  <c r="D60" i="2" s="1"/>
  <c r="F59" i="2"/>
  <c r="C59" i="2"/>
  <c r="D59" i="2" s="1"/>
  <c r="F58" i="2"/>
  <c r="C58" i="2"/>
  <c r="D58" i="2" s="1"/>
  <c r="F57" i="2"/>
  <c r="C57" i="2"/>
  <c r="D57" i="2" s="1"/>
  <c r="F56" i="2"/>
  <c r="C56" i="2"/>
  <c r="D56" i="2" s="1"/>
  <c r="F55" i="2"/>
  <c r="C55" i="2"/>
  <c r="D55" i="2" s="1"/>
  <c r="F54" i="2"/>
  <c r="C54" i="2"/>
  <c r="D54" i="2" s="1"/>
  <c r="F53" i="2"/>
  <c r="C53" i="2"/>
  <c r="D53" i="2" s="1"/>
  <c r="F52" i="2"/>
  <c r="C52" i="2"/>
  <c r="D52" i="2" s="1"/>
  <c r="F51" i="2"/>
  <c r="C51" i="2"/>
  <c r="D51" i="2" s="1"/>
  <c r="F50" i="2"/>
  <c r="C50" i="2"/>
  <c r="D50" i="2" s="1"/>
  <c r="F49" i="2"/>
  <c r="C49" i="2"/>
  <c r="D49" i="2" s="1"/>
  <c r="F48" i="2"/>
  <c r="C48" i="2"/>
  <c r="D48" i="2" s="1"/>
  <c r="F47" i="2"/>
  <c r="C47" i="2"/>
  <c r="D47" i="2" s="1"/>
  <c r="F46" i="2"/>
  <c r="C46" i="2"/>
  <c r="D46" i="2" s="1"/>
  <c r="F45" i="2"/>
  <c r="C45" i="2"/>
  <c r="D45" i="2" s="1"/>
  <c r="F44" i="2"/>
  <c r="C44" i="2"/>
  <c r="D44" i="2" s="1"/>
  <c r="F43" i="2"/>
  <c r="C43" i="2"/>
  <c r="D43" i="2" s="1"/>
  <c r="F42" i="2"/>
  <c r="C42" i="2"/>
  <c r="D42" i="2" s="1"/>
  <c r="F41" i="2"/>
  <c r="C41" i="2"/>
  <c r="D41" i="2" s="1"/>
  <c r="F40" i="2"/>
  <c r="C40" i="2"/>
  <c r="D40" i="2" s="1"/>
  <c r="F39" i="2"/>
  <c r="C39" i="2"/>
  <c r="D39" i="2" s="1"/>
  <c r="F38" i="2"/>
  <c r="C38" i="2"/>
  <c r="D38" i="2" s="1"/>
  <c r="F37" i="2"/>
  <c r="C37" i="2"/>
  <c r="D37" i="2" s="1"/>
  <c r="F36" i="2"/>
  <c r="C36" i="2"/>
  <c r="D36" i="2" s="1"/>
  <c r="F35" i="2"/>
  <c r="C35" i="2"/>
  <c r="D35" i="2" s="1"/>
  <c r="F34" i="2"/>
  <c r="C34" i="2"/>
  <c r="D34" i="2" s="1"/>
  <c r="F33" i="2"/>
  <c r="C33" i="2"/>
  <c r="D33" i="2" s="1"/>
  <c r="F32" i="2"/>
  <c r="C32" i="2"/>
  <c r="D32" i="2" s="1"/>
  <c r="F31" i="2"/>
  <c r="C31" i="2"/>
  <c r="D31" i="2" s="1"/>
  <c r="F30" i="2"/>
  <c r="C30" i="2"/>
  <c r="D30" i="2" s="1"/>
  <c r="F29" i="2"/>
  <c r="C29" i="2"/>
  <c r="D29" i="2" s="1"/>
  <c r="F28" i="2"/>
  <c r="C28" i="2"/>
  <c r="D28" i="2" s="1"/>
  <c r="F27" i="2"/>
  <c r="C27" i="2"/>
  <c r="D27" i="2" s="1"/>
  <c r="F26" i="2"/>
  <c r="C26" i="2"/>
  <c r="D26" i="2" s="1"/>
  <c r="F25" i="2"/>
  <c r="C25" i="2"/>
  <c r="D25" i="2" s="1"/>
  <c r="F24" i="2"/>
  <c r="C24" i="2"/>
  <c r="D24" i="2" s="1"/>
  <c r="F23" i="2"/>
  <c r="C23" i="2"/>
  <c r="D23" i="2" s="1"/>
  <c r="F22" i="2"/>
  <c r="C22" i="2"/>
  <c r="D22" i="2" s="1"/>
  <c r="F21" i="2"/>
  <c r="C21" i="2"/>
  <c r="D21" i="2" s="1"/>
  <c r="F20" i="2"/>
  <c r="C20" i="2"/>
  <c r="D20" i="2" s="1"/>
  <c r="F19" i="2"/>
  <c r="C19" i="2"/>
  <c r="D19" i="2" s="1"/>
  <c r="F18" i="2"/>
  <c r="C18" i="2"/>
  <c r="D18" i="2" s="1"/>
  <c r="F17" i="2"/>
  <c r="C17" i="2"/>
  <c r="D17" i="2" s="1"/>
  <c r="F16" i="2"/>
  <c r="C16" i="2"/>
  <c r="D16" i="2" s="1"/>
  <c r="F15" i="2"/>
  <c r="C15" i="2"/>
  <c r="D15" i="2" s="1"/>
  <c r="F14" i="2"/>
  <c r="C14" i="2"/>
  <c r="D14" i="2" s="1"/>
  <c r="F13" i="2"/>
  <c r="C13" i="2"/>
  <c r="D13" i="2" s="1"/>
  <c r="F12" i="2"/>
  <c r="C12" i="2"/>
  <c r="D12" i="2" s="1"/>
  <c r="F11" i="2"/>
  <c r="C11" i="2"/>
  <c r="D11" i="2" s="1"/>
  <c r="F10" i="2"/>
  <c r="C10" i="2"/>
  <c r="D10" i="2" s="1"/>
  <c r="F9" i="2"/>
  <c r="C9" i="2"/>
  <c r="D9" i="2" s="1"/>
  <c r="F8" i="2"/>
  <c r="C8" i="2"/>
  <c r="D8" i="2" s="1"/>
  <c r="F7" i="2"/>
  <c r="C7" i="2"/>
  <c r="D7" i="2" s="1"/>
  <c r="F6" i="2"/>
  <c r="C6" i="2"/>
  <c r="D6" i="2" s="1"/>
  <c r="F5" i="2"/>
  <c r="C5" i="2"/>
  <c r="D5" i="2" s="1"/>
  <c r="F4" i="2"/>
  <c r="C4" i="2"/>
  <c r="D4" i="2" s="1"/>
  <c r="F3" i="2"/>
  <c r="C3" i="2"/>
  <c r="D3" i="2" s="1"/>
  <c r="F2" i="2"/>
  <c r="C2" i="2"/>
  <c r="M5" i="4" l="1"/>
  <c r="M6" i="4"/>
  <c r="E3" i="4"/>
  <c r="E4" i="4" s="1"/>
  <c r="E5" i="4" s="1"/>
  <c r="E6" i="4" s="1"/>
  <c r="E7" i="4" s="1"/>
  <c r="E8" i="4" s="1"/>
  <c r="E9" i="4" s="1"/>
  <c r="E10" i="4" s="1"/>
  <c r="E11" i="4" s="1"/>
  <c r="E12" i="4" s="1"/>
  <c r="E13" i="4" s="1"/>
  <c r="E14" i="4" s="1"/>
  <c r="E15" i="4" s="1"/>
  <c r="E16" i="4" s="1"/>
  <c r="E17" i="4" s="1"/>
  <c r="E18" i="4" s="1"/>
  <c r="E19" i="4" s="1"/>
  <c r="E20" i="4" s="1"/>
  <c r="E21" i="4" s="1"/>
  <c r="E22" i="4" s="1"/>
  <c r="E23" i="4" s="1"/>
  <c r="E24" i="4" s="1"/>
  <c r="E25" i="4" s="1"/>
  <c r="E26" i="4" s="1"/>
  <c r="E27" i="4" s="1"/>
  <c r="E28" i="4" s="1"/>
  <c r="E29" i="4" s="1"/>
  <c r="E30" i="4" s="1"/>
  <c r="E31" i="4" s="1"/>
  <c r="E32" i="4" s="1"/>
  <c r="E33" i="4" s="1"/>
  <c r="E34" i="4" s="1"/>
  <c r="E35" i="4" s="1"/>
  <c r="E36" i="4" s="1"/>
  <c r="E37" i="4" s="1"/>
  <c r="E38" i="4" s="1"/>
  <c r="E39" i="4" s="1"/>
  <c r="E40" i="4" s="1"/>
  <c r="E41" i="4" s="1"/>
  <c r="E42" i="4" s="1"/>
  <c r="E43" i="4" s="1"/>
  <c r="E44" i="4" s="1"/>
  <c r="E45" i="4" s="1"/>
  <c r="E46" i="4" s="1"/>
  <c r="E47" i="4" s="1"/>
  <c r="E48" i="4" s="1"/>
  <c r="E49" i="4" s="1"/>
  <c r="E50" i="4" s="1"/>
  <c r="E51" i="4" s="1"/>
  <c r="E52" i="4" s="1"/>
  <c r="E53" i="4" s="1"/>
  <c r="E54" i="4" s="1"/>
  <c r="E55" i="4" s="1"/>
  <c r="E56" i="4" s="1"/>
  <c r="E57" i="4" s="1"/>
  <c r="E58" i="4" s="1"/>
  <c r="E59" i="4" s="1"/>
  <c r="E60" i="4" s="1"/>
  <c r="E61" i="4" s="1"/>
  <c r="E62" i="4" s="1"/>
  <c r="E63" i="4" s="1"/>
  <c r="E64" i="4" s="1"/>
  <c r="E65" i="4" s="1"/>
  <c r="E66" i="4" s="1"/>
  <c r="E67" i="4" s="1"/>
  <c r="E68" i="4" s="1"/>
  <c r="E69" i="4" s="1"/>
  <c r="E70" i="4" s="1"/>
  <c r="E71" i="4" s="1"/>
  <c r="E72" i="4" s="1"/>
  <c r="E73" i="4" s="1"/>
  <c r="E74" i="4" s="1"/>
  <c r="E75" i="4" s="1"/>
  <c r="E76" i="4" s="1"/>
  <c r="E77" i="4" s="1"/>
  <c r="E78" i="4" s="1"/>
  <c r="E79" i="4" s="1"/>
  <c r="E80" i="4" s="1"/>
  <c r="E81" i="4" s="1"/>
  <c r="E82" i="4" s="1"/>
  <c r="E83" i="4" s="1"/>
  <c r="E84" i="4" s="1"/>
  <c r="E85" i="4" s="1"/>
  <c r="E86" i="4" s="1"/>
  <c r="E87" i="4" s="1"/>
  <c r="E88" i="4" s="1"/>
  <c r="E89" i="4" s="1"/>
  <c r="E90" i="4" s="1"/>
  <c r="E91" i="4" s="1"/>
  <c r="E92" i="4" s="1"/>
  <c r="E93" i="4" s="1"/>
  <c r="E94" i="4" s="1"/>
  <c r="E95" i="4" s="1"/>
  <c r="E96" i="4" s="1"/>
  <c r="E97" i="4" s="1"/>
  <c r="E98" i="4" s="1"/>
  <c r="E99" i="4" s="1"/>
  <c r="E100" i="4" s="1"/>
  <c r="E101" i="4" s="1"/>
  <c r="E102" i="4" s="1"/>
  <c r="E103" i="4" s="1"/>
  <c r="E104" i="4" s="1"/>
  <c r="E105" i="4" s="1"/>
  <c r="E106" i="4" s="1"/>
  <c r="E107" i="4" s="1"/>
  <c r="E108" i="4" s="1"/>
  <c r="E109" i="4" s="1"/>
  <c r="E110" i="4" s="1"/>
  <c r="E111" i="4" s="1"/>
  <c r="E112" i="4" s="1"/>
  <c r="E113" i="4" s="1"/>
  <c r="E114" i="4" s="1"/>
  <c r="E115" i="4" s="1"/>
  <c r="E116" i="4" s="1"/>
  <c r="E117" i="4" s="1"/>
  <c r="E118" i="4" s="1"/>
  <c r="E119" i="4" s="1"/>
  <c r="E120" i="4" s="1"/>
  <c r="E121" i="4" s="1"/>
  <c r="E122" i="4" s="1"/>
  <c r="E123" i="4" s="1"/>
  <c r="E124" i="4" s="1"/>
  <c r="E125" i="4" s="1"/>
  <c r="E126" i="4" s="1"/>
  <c r="E127" i="4" s="1"/>
  <c r="E128" i="4" s="1"/>
  <c r="E129" i="4" s="1"/>
  <c r="E130" i="4" s="1"/>
  <c r="E131" i="4" s="1"/>
  <c r="E132" i="4" s="1"/>
  <c r="E133" i="4" s="1"/>
  <c r="E134" i="4" s="1"/>
  <c r="E135" i="4" s="1"/>
  <c r="E136" i="4" s="1"/>
  <c r="E137" i="4" s="1"/>
  <c r="E138" i="4" s="1"/>
  <c r="E139" i="4" s="1"/>
  <c r="E140" i="4" s="1"/>
  <c r="E141" i="4" s="1"/>
  <c r="E142" i="4" s="1"/>
  <c r="E143" i="4" s="1"/>
  <c r="E144" i="4" s="1"/>
  <c r="E145" i="4" s="1"/>
  <c r="E146" i="4" s="1"/>
  <c r="E147" i="4" s="1"/>
  <c r="E148" i="4" s="1"/>
  <c r="E149" i="4" s="1"/>
  <c r="E150" i="4" s="1"/>
  <c r="E151" i="4" s="1"/>
  <c r="E152" i="4" s="1"/>
  <c r="E153" i="4" s="1"/>
  <c r="E154" i="4" s="1"/>
  <c r="E155" i="4" s="1"/>
  <c r="E156" i="4" s="1"/>
  <c r="E157" i="4" s="1"/>
  <c r="E158" i="4" s="1"/>
  <c r="E159" i="4" s="1"/>
  <c r="E160" i="4" s="1"/>
  <c r="E161" i="4" s="1"/>
  <c r="E162" i="4" s="1"/>
  <c r="E163" i="4" s="1"/>
  <c r="E164" i="4" s="1"/>
  <c r="E165" i="4" s="1"/>
  <c r="E166" i="4" s="1"/>
  <c r="E167" i="4" s="1"/>
  <c r="E168" i="4" s="1"/>
  <c r="E169" i="4" s="1"/>
  <c r="E170" i="4" s="1"/>
  <c r="E171" i="4" s="1"/>
  <c r="E172" i="4" s="1"/>
  <c r="E173" i="4" s="1"/>
  <c r="E174" i="4" s="1"/>
  <c r="E175" i="4" s="1"/>
  <c r="E176" i="4" s="1"/>
  <c r="E177" i="4" s="1"/>
  <c r="E178" i="4" s="1"/>
  <c r="E179" i="4" s="1"/>
  <c r="E180" i="4" s="1"/>
  <c r="E181" i="4" s="1"/>
  <c r="E182" i="4" s="1"/>
  <c r="E183" i="4" s="1"/>
  <c r="E184" i="4" s="1"/>
  <c r="E185" i="4" s="1"/>
  <c r="E186" i="4" s="1"/>
  <c r="E187" i="4" s="1"/>
  <c r="E188" i="4" s="1"/>
  <c r="E189" i="4" s="1"/>
  <c r="E190" i="4" s="1"/>
  <c r="E191" i="4" s="1"/>
  <c r="E192" i="4" s="1"/>
  <c r="E193" i="4" s="1"/>
  <c r="E194" i="4" s="1"/>
  <c r="E195" i="4" s="1"/>
  <c r="E196" i="4" s="1"/>
  <c r="E197" i="4" s="1"/>
  <c r="E198" i="4" s="1"/>
  <c r="E199" i="4" s="1"/>
  <c r="E200" i="4" s="1"/>
  <c r="E201" i="4" s="1"/>
  <c r="E202" i="4" s="1"/>
  <c r="E203" i="4" s="1"/>
  <c r="E204" i="4" s="1"/>
  <c r="E205" i="4" s="1"/>
  <c r="E206" i="4" s="1"/>
  <c r="E207" i="4" s="1"/>
  <c r="E208" i="4" s="1"/>
  <c r="E209" i="4" s="1"/>
  <c r="E210" i="4" s="1"/>
  <c r="E211" i="4" s="1"/>
  <c r="E212" i="4" s="1"/>
  <c r="E213" i="4" s="1"/>
  <c r="E214" i="4" s="1"/>
  <c r="E215" i="4" s="1"/>
  <c r="E216" i="4" s="1"/>
  <c r="E217" i="4" s="1"/>
  <c r="E218" i="4" s="1"/>
  <c r="E219" i="4" s="1"/>
  <c r="E220" i="4" s="1"/>
  <c r="E221" i="4" s="1"/>
  <c r="E222" i="4" s="1"/>
  <c r="E223" i="4" s="1"/>
  <c r="E224" i="4" s="1"/>
  <c r="E225" i="4" s="1"/>
  <c r="E226" i="4" s="1"/>
  <c r="E227" i="4" s="1"/>
  <c r="E228" i="4" s="1"/>
  <c r="E229" i="4" s="1"/>
  <c r="E230" i="4" s="1"/>
  <c r="E231" i="4" s="1"/>
  <c r="E232" i="4" s="1"/>
  <c r="E233" i="4" s="1"/>
  <c r="E234" i="4" s="1"/>
  <c r="E235" i="4" s="1"/>
  <c r="E236" i="4" s="1"/>
  <c r="E237" i="4" s="1"/>
  <c r="E238" i="4" s="1"/>
  <c r="E239" i="4" s="1"/>
  <c r="E240" i="4" s="1"/>
  <c r="E241" i="4" s="1"/>
  <c r="E242" i="4" s="1"/>
  <c r="E243" i="4" s="1"/>
  <c r="E244" i="4" s="1"/>
  <c r="E245" i="4" s="1"/>
  <c r="E246" i="4" s="1"/>
  <c r="E247" i="4" s="1"/>
  <c r="E248" i="4" s="1"/>
  <c r="E249" i="4" s="1"/>
  <c r="E250" i="4" s="1"/>
  <c r="E251" i="4" s="1"/>
  <c r="E252" i="4" s="1"/>
  <c r="E253" i="4" s="1"/>
  <c r="E254" i="4" s="1"/>
  <c r="E255" i="4" s="1"/>
  <c r="E256" i="4" s="1"/>
  <c r="E257" i="4" s="1"/>
  <c r="E258" i="4" s="1"/>
  <c r="E259" i="4" s="1"/>
  <c r="E260" i="4" s="1"/>
  <c r="E261" i="4" s="1"/>
  <c r="E262" i="4" s="1"/>
  <c r="E263" i="4" s="1"/>
  <c r="E264" i="4" s="1"/>
  <c r="E265" i="4" s="1"/>
  <c r="E266" i="4" s="1"/>
  <c r="E267" i="4" s="1"/>
  <c r="E268" i="4" s="1"/>
  <c r="E269" i="4" s="1"/>
  <c r="E270" i="4" s="1"/>
  <c r="E271" i="4" s="1"/>
  <c r="E272" i="4" s="1"/>
  <c r="E273" i="4" s="1"/>
  <c r="E274" i="4" s="1"/>
  <c r="E275" i="4" s="1"/>
  <c r="E276" i="4" s="1"/>
  <c r="E277" i="4" s="1"/>
  <c r="E278" i="4" s="1"/>
  <c r="E279" i="4" s="1"/>
  <c r="E280" i="4" s="1"/>
  <c r="E281" i="4" s="1"/>
  <c r="E282" i="4" s="1"/>
  <c r="E283" i="4" s="1"/>
  <c r="E284" i="4" s="1"/>
  <c r="E285" i="4" s="1"/>
  <c r="E286" i="4" s="1"/>
  <c r="E287" i="4" s="1"/>
  <c r="E288" i="4" s="1"/>
  <c r="E289" i="4" s="1"/>
  <c r="E290" i="4" s="1"/>
  <c r="E291" i="4" s="1"/>
  <c r="E292" i="4" s="1"/>
  <c r="E293" i="4" s="1"/>
  <c r="E294" i="4" s="1"/>
  <c r="E295" i="4" s="1"/>
  <c r="E296" i="4" s="1"/>
  <c r="E297" i="4" s="1"/>
  <c r="E298" i="4" s="1"/>
  <c r="E299" i="4" s="1"/>
  <c r="E300" i="4" s="1"/>
  <c r="E301" i="4" s="1"/>
  <c r="E302" i="4" s="1"/>
  <c r="E303" i="4" s="1"/>
  <c r="E304" i="4" s="1"/>
  <c r="E305" i="4" s="1"/>
  <c r="E306" i="4" s="1"/>
  <c r="E307" i="4" s="1"/>
  <c r="E308" i="4" s="1"/>
  <c r="E309" i="4" s="1"/>
  <c r="E310" i="4" s="1"/>
  <c r="E311" i="4" s="1"/>
  <c r="E312" i="4" s="1"/>
  <c r="E313" i="4" s="1"/>
  <c r="E314" i="4" s="1"/>
  <c r="E315" i="4" s="1"/>
  <c r="E316" i="4" s="1"/>
  <c r="E317" i="4" s="1"/>
  <c r="E318" i="4" s="1"/>
  <c r="E319" i="4" s="1"/>
  <c r="E320" i="4" s="1"/>
  <c r="E321" i="4" s="1"/>
  <c r="E322" i="4" s="1"/>
  <c r="E323" i="4" s="1"/>
  <c r="E324" i="4" s="1"/>
  <c r="E325" i="4" s="1"/>
  <c r="E326" i="4" s="1"/>
  <c r="E327" i="4" s="1"/>
  <c r="E328" i="4" s="1"/>
  <c r="E329" i="4" s="1"/>
  <c r="E330" i="4" s="1"/>
  <c r="E331" i="4" s="1"/>
  <c r="E332" i="4" s="1"/>
  <c r="E333" i="4" s="1"/>
  <c r="E334" i="4" s="1"/>
  <c r="E335" i="4" s="1"/>
  <c r="E336" i="4" s="1"/>
  <c r="E337" i="4" s="1"/>
  <c r="E338" i="4" s="1"/>
  <c r="E339" i="4" s="1"/>
  <c r="E340" i="4" s="1"/>
  <c r="E341" i="4" s="1"/>
  <c r="E342" i="4" s="1"/>
  <c r="E343" i="4" s="1"/>
  <c r="E344" i="4" s="1"/>
  <c r="E345" i="4" s="1"/>
  <c r="E346" i="4" s="1"/>
  <c r="E347" i="4" s="1"/>
  <c r="E348" i="4" s="1"/>
  <c r="E349" i="4" s="1"/>
  <c r="E350" i="4" s="1"/>
  <c r="E351" i="4" s="1"/>
  <c r="E352" i="4" s="1"/>
  <c r="E353" i="4" s="1"/>
  <c r="E354" i="4" s="1"/>
  <c r="E355" i="4" s="1"/>
  <c r="E356" i="4" s="1"/>
  <c r="E357" i="4" s="1"/>
  <c r="E358" i="4" s="1"/>
  <c r="E359" i="4" s="1"/>
  <c r="E360" i="4" s="1"/>
  <c r="E361" i="4" s="1"/>
  <c r="E362" i="4" s="1"/>
  <c r="E363" i="4" s="1"/>
  <c r="E364" i="4" s="1"/>
  <c r="E365" i="4" s="1"/>
  <c r="E366" i="4" s="1"/>
  <c r="E367" i="4" s="1"/>
  <c r="E368" i="4" s="1"/>
  <c r="E369" i="4" s="1"/>
  <c r="E370" i="4" s="1"/>
  <c r="E371" i="4" s="1"/>
  <c r="E372" i="4" s="1"/>
  <c r="E373" i="4" s="1"/>
  <c r="E374" i="4" s="1"/>
  <c r="E375" i="4" s="1"/>
  <c r="E376" i="4" s="1"/>
  <c r="E377" i="4" s="1"/>
  <c r="E378" i="4" s="1"/>
  <c r="E379" i="4" s="1"/>
  <c r="E380" i="4" s="1"/>
  <c r="E381" i="4" s="1"/>
  <c r="E382" i="4" s="1"/>
  <c r="E383" i="4" s="1"/>
  <c r="E384" i="4" s="1"/>
  <c r="E385" i="4" s="1"/>
  <c r="E386" i="4" s="1"/>
  <c r="E387" i="4" s="1"/>
  <c r="E388" i="4" s="1"/>
  <c r="E389" i="4" s="1"/>
  <c r="E390" i="4" s="1"/>
  <c r="E391" i="4" s="1"/>
  <c r="E392" i="4" s="1"/>
  <c r="E393" i="4" s="1"/>
  <c r="E394" i="4" s="1"/>
  <c r="E395" i="4" s="1"/>
  <c r="E396" i="4" s="1"/>
  <c r="E397" i="4" s="1"/>
  <c r="E398" i="4" s="1"/>
  <c r="E399" i="4" s="1"/>
  <c r="E400" i="4" s="1"/>
  <c r="E401" i="4" s="1"/>
  <c r="E402" i="4" s="1"/>
  <c r="E403" i="4" s="1"/>
  <c r="E404" i="4" s="1"/>
  <c r="E405" i="4" s="1"/>
  <c r="E406" i="4" s="1"/>
  <c r="E407" i="4" s="1"/>
  <c r="E408" i="4" s="1"/>
  <c r="E409" i="4" s="1"/>
  <c r="E410" i="4" s="1"/>
  <c r="E411" i="4" s="1"/>
  <c r="E412" i="4" s="1"/>
  <c r="E413" i="4" s="1"/>
  <c r="E414" i="4" s="1"/>
  <c r="E415" i="4" s="1"/>
  <c r="E416" i="4" s="1"/>
  <c r="E417" i="4" s="1"/>
  <c r="E418" i="4" s="1"/>
  <c r="E419" i="4" s="1"/>
  <c r="E420" i="4" s="1"/>
  <c r="E421" i="4" s="1"/>
  <c r="E422" i="4" s="1"/>
  <c r="E423" i="4" s="1"/>
  <c r="E424" i="4" s="1"/>
  <c r="E425" i="4" s="1"/>
  <c r="E426" i="4" s="1"/>
  <c r="E427" i="4" s="1"/>
  <c r="E428" i="4" s="1"/>
  <c r="E429" i="4" s="1"/>
  <c r="E430" i="4" s="1"/>
  <c r="E431" i="4" s="1"/>
  <c r="E432" i="4" s="1"/>
  <c r="E433" i="4" s="1"/>
  <c r="E434" i="4" s="1"/>
  <c r="E435" i="4" s="1"/>
  <c r="E436" i="4" s="1"/>
  <c r="E437" i="4" s="1"/>
  <c r="E438" i="4" s="1"/>
  <c r="E439" i="4" s="1"/>
  <c r="E440" i="4" s="1"/>
  <c r="E441" i="4" s="1"/>
  <c r="E442" i="4" s="1"/>
  <c r="E443" i="4" s="1"/>
  <c r="E444" i="4" s="1"/>
  <c r="E445" i="4" s="1"/>
  <c r="E446" i="4" s="1"/>
  <c r="E447" i="4" s="1"/>
  <c r="E448" i="4" s="1"/>
  <c r="E449" i="4" s="1"/>
  <c r="E450" i="4" s="1"/>
  <c r="E451" i="4" s="1"/>
  <c r="E452" i="4" s="1"/>
  <c r="E453" i="4" s="1"/>
  <c r="E454" i="4" s="1"/>
  <c r="E455" i="4" s="1"/>
  <c r="E456" i="4" s="1"/>
  <c r="E457" i="4" s="1"/>
  <c r="E458" i="4" s="1"/>
  <c r="E459" i="4" s="1"/>
  <c r="E460" i="4" s="1"/>
  <c r="E461" i="4" s="1"/>
  <c r="E462" i="4" s="1"/>
  <c r="E463" i="4" s="1"/>
  <c r="E464" i="4" s="1"/>
  <c r="E465" i="4" s="1"/>
  <c r="E466" i="4" s="1"/>
  <c r="E467" i="4" s="1"/>
  <c r="E468" i="4" s="1"/>
  <c r="E469" i="4" s="1"/>
  <c r="E470" i="4" s="1"/>
  <c r="E471" i="4" s="1"/>
  <c r="E472" i="4" s="1"/>
  <c r="E473" i="4" s="1"/>
  <c r="E474" i="4" s="1"/>
  <c r="E475" i="4" s="1"/>
  <c r="E476" i="4" s="1"/>
  <c r="E477" i="4" s="1"/>
  <c r="E478" i="4" s="1"/>
  <c r="E479" i="4" s="1"/>
  <c r="E480" i="4" s="1"/>
  <c r="E481" i="4" s="1"/>
  <c r="E482" i="4" s="1"/>
  <c r="E483" i="4" s="1"/>
  <c r="E484" i="4" s="1"/>
  <c r="E485" i="4" s="1"/>
  <c r="E486" i="4" s="1"/>
  <c r="E487" i="4" s="1"/>
  <c r="E488" i="4" s="1"/>
  <c r="E489" i="4" s="1"/>
  <c r="E490" i="4" s="1"/>
  <c r="E491" i="4" s="1"/>
  <c r="E492" i="4" s="1"/>
  <c r="E493" i="4" s="1"/>
  <c r="E494" i="4" s="1"/>
  <c r="E495" i="4" s="1"/>
  <c r="E496" i="4" s="1"/>
  <c r="E497" i="4" s="1"/>
  <c r="E498" i="4" s="1"/>
  <c r="E499" i="4" s="1"/>
  <c r="E500" i="4" s="1"/>
  <c r="E501" i="4" s="1"/>
  <c r="E502" i="4" s="1"/>
  <c r="E503" i="4" s="1"/>
  <c r="E504" i="4" s="1"/>
  <c r="E505" i="4" s="1"/>
  <c r="E506" i="4" s="1"/>
  <c r="E507" i="4" s="1"/>
  <c r="E508" i="4" s="1"/>
  <c r="E509" i="4" s="1"/>
  <c r="E510" i="4" s="1"/>
  <c r="E511" i="4" s="1"/>
  <c r="E512" i="4" s="1"/>
  <c r="E513" i="4" s="1"/>
  <c r="E514" i="4" s="1"/>
  <c r="E515" i="4" s="1"/>
  <c r="E516" i="4" s="1"/>
  <c r="E517" i="4" s="1"/>
  <c r="E518" i="4" s="1"/>
  <c r="E519" i="4" s="1"/>
  <c r="E520" i="4" s="1"/>
  <c r="E521" i="4" s="1"/>
  <c r="E522" i="4" s="1"/>
  <c r="E523" i="4" s="1"/>
  <c r="E524" i="4" s="1"/>
  <c r="E525" i="4" s="1"/>
  <c r="E526" i="4" s="1"/>
  <c r="E527" i="4" s="1"/>
  <c r="E528" i="4" s="1"/>
  <c r="E529" i="4" s="1"/>
  <c r="E530" i="4" s="1"/>
  <c r="E531" i="4" s="1"/>
  <c r="E532" i="4" s="1"/>
  <c r="E533" i="4" s="1"/>
  <c r="E534" i="4" s="1"/>
  <c r="E535" i="4" s="1"/>
  <c r="E536" i="4" s="1"/>
  <c r="E537" i="4" s="1"/>
  <c r="E538" i="4" s="1"/>
  <c r="E539" i="4" s="1"/>
  <c r="E540" i="4" s="1"/>
  <c r="E541" i="4" s="1"/>
  <c r="E542" i="4" s="1"/>
  <c r="E543" i="4" s="1"/>
  <c r="E544" i="4" s="1"/>
  <c r="E545" i="4" s="1"/>
  <c r="E546" i="4" s="1"/>
  <c r="E547" i="4" s="1"/>
  <c r="E548" i="4" s="1"/>
  <c r="E549" i="4" s="1"/>
  <c r="E550" i="4" s="1"/>
  <c r="E551" i="4" s="1"/>
  <c r="E552" i="4" s="1"/>
  <c r="E553" i="4" s="1"/>
  <c r="E554" i="4" s="1"/>
  <c r="E555" i="4" s="1"/>
  <c r="E556" i="4" s="1"/>
  <c r="E557" i="4" s="1"/>
  <c r="E558" i="4" s="1"/>
  <c r="E559" i="4" s="1"/>
  <c r="E560" i="4" s="1"/>
  <c r="E561" i="4" s="1"/>
  <c r="E562" i="4" s="1"/>
  <c r="E563" i="4" s="1"/>
  <c r="E564" i="4" s="1"/>
  <c r="E565" i="4" s="1"/>
  <c r="E566" i="4" s="1"/>
  <c r="E567" i="4" s="1"/>
  <c r="E568" i="4" s="1"/>
  <c r="E569" i="4" s="1"/>
  <c r="E570" i="4" s="1"/>
  <c r="E571" i="4" s="1"/>
  <c r="E572" i="4" s="1"/>
  <c r="E573" i="4" s="1"/>
  <c r="E574" i="4" s="1"/>
  <c r="E575" i="4" s="1"/>
  <c r="E576" i="4" s="1"/>
  <c r="E577" i="4" s="1"/>
  <c r="E578" i="4" s="1"/>
  <c r="E579" i="4" s="1"/>
  <c r="E580" i="4" s="1"/>
  <c r="E581" i="4" s="1"/>
  <c r="E582" i="4" s="1"/>
  <c r="E583" i="4" s="1"/>
  <c r="E584" i="4" s="1"/>
  <c r="E585" i="4" s="1"/>
  <c r="E586" i="4" s="1"/>
  <c r="E587" i="4" s="1"/>
  <c r="E588" i="4" s="1"/>
  <c r="E589" i="4" s="1"/>
  <c r="E590" i="4" s="1"/>
  <c r="E591" i="4" s="1"/>
  <c r="E592" i="4" s="1"/>
  <c r="E593" i="4" s="1"/>
  <c r="E594" i="4" s="1"/>
  <c r="E595" i="4" s="1"/>
  <c r="E596" i="4" s="1"/>
  <c r="E597" i="4" s="1"/>
  <c r="E598" i="4" s="1"/>
  <c r="E599" i="4" s="1"/>
  <c r="E600" i="4" s="1"/>
  <c r="E601" i="4" s="1"/>
  <c r="E602" i="4" s="1"/>
  <c r="E603" i="4" s="1"/>
  <c r="E604" i="4" s="1"/>
  <c r="E605" i="4" s="1"/>
  <c r="E606" i="4" s="1"/>
  <c r="E607" i="4" s="1"/>
  <c r="E608" i="4" s="1"/>
  <c r="E609" i="4" s="1"/>
  <c r="E610" i="4" s="1"/>
  <c r="E611" i="4" s="1"/>
  <c r="E612" i="4" s="1"/>
  <c r="E613" i="4" s="1"/>
  <c r="E614" i="4" s="1"/>
  <c r="E615" i="4" s="1"/>
  <c r="E616" i="4" s="1"/>
  <c r="E617" i="4" s="1"/>
  <c r="E618" i="4" s="1"/>
  <c r="E619" i="4" s="1"/>
  <c r="E620" i="4" s="1"/>
  <c r="E621" i="4" s="1"/>
  <c r="E622" i="4" s="1"/>
  <c r="E623" i="4" s="1"/>
  <c r="E624" i="4" s="1"/>
  <c r="E625" i="4" s="1"/>
  <c r="E626" i="4" s="1"/>
  <c r="E627" i="4" s="1"/>
  <c r="E628" i="4" s="1"/>
  <c r="E629" i="4" s="1"/>
  <c r="E630" i="4" s="1"/>
  <c r="E631" i="4" s="1"/>
  <c r="E632" i="4" s="1"/>
  <c r="E633" i="4" s="1"/>
  <c r="E634" i="4" s="1"/>
  <c r="E635" i="4" s="1"/>
  <c r="E636" i="4" s="1"/>
  <c r="E637" i="4" s="1"/>
  <c r="E638" i="4" s="1"/>
  <c r="E639" i="4" s="1"/>
  <c r="E640" i="4" s="1"/>
  <c r="E641" i="4" s="1"/>
  <c r="E642" i="4" s="1"/>
  <c r="E643" i="4" s="1"/>
  <c r="E644" i="4" s="1"/>
  <c r="E645" i="4" s="1"/>
  <c r="E646" i="4" s="1"/>
  <c r="E647" i="4" s="1"/>
  <c r="E648" i="4" s="1"/>
  <c r="E649" i="4" s="1"/>
  <c r="E650" i="4" s="1"/>
  <c r="E651" i="4" s="1"/>
  <c r="E652" i="4" s="1"/>
  <c r="E653" i="4" s="1"/>
  <c r="E654" i="4" s="1"/>
  <c r="E655" i="4" s="1"/>
  <c r="E656" i="4" s="1"/>
  <c r="E657" i="4" s="1"/>
  <c r="E658" i="4" s="1"/>
  <c r="E659" i="4" s="1"/>
  <c r="E660" i="4" s="1"/>
  <c r="E661" i="4" s="1"/>
  <c r="E662" i="4" s="1"/>
  <c r="E663" i="4" s="1"/>
  <c r="E664" i="4" s="1"/>
  <c r="E665" i="4" s="1"/>
  <c r="E666" i="4" s="1"/>
  <c r="E667" i="4" s="1"/>
  <c r="E668" i="4" s="1"/>
  <c r="E669" i="4" s="1"/>
  <c r="E670" i="4" s="1"/>
  <c r="E671" i="4" s="1"/>
  <c r="E672" i="4" s="1"/>
  <c r="E673" i="4" s="1"/>
  <c r="E674" i="4" s="1"/>
  <c r="E675" i="4" s="1"/>
  <c r="E676" i="4" s="1"/>
  <c r="E677" i="4" s="1"/>
  <c r="E678" i="4" s="1"/>
  <c r="E679" i="4" s="1"/>
  <c r="E680" i="4" s="1"/>
  <c r="E681" i="4" s="1"/>
  <c r="E682" i="4" s="1"/>
  <c r="E683" i="4" s="1"/>
  <c r="E684" i="4" s="1"/>
  <c r="E685" i="4" s="1"/>
  <c r="E686" i="4" s="1"/>
  <c r="E687" i="4" s="1"/>
  <c r="E688" i="4" s="1"/>
  <c r="E689" i="4" s="1"/>
  <c r="E690" i="4" s="1"/>
  <c r="E691" i="4" s="1"/>
  <c r="E692" i="4" s="1"/>
  <c r="E693" i="4" s="1"/>
  <c r="E694" i="4" s="1"/>
  <c r="E695" i="4" s="1"/>
  <c r="E696" i="4" s="1"/>
  <c r="E697" i="4" s="1"/>
  <c r="E698" i="4" s="1"/>
  <c r="E699" i="4" s="1"/>
  <c r="E700" i="4" s="1"/>
  <c r="E701" i="4" s="1"/>
  <c r="E702" i="4" s="1"/>
  <c r="E703" i="4" s="1"/>
  <c r="E704" i="4" s="1"/>
  <c r="E705" i="4" s="1"/>
  <c r="E706" i="4" s="1"/>
  <c r="E707" i="4" s="1"/>
  <c r="E708" i="4" s="1"/>
  <c r="E709" i="4" s="1"/>
  <c r="E710" i="4" s="1"/>
  <c r="E711" i="4" s="1"/>
  <c r="E712" i="4" s="1"/>
  <c r="E713" i="4" s="1"/>
  <c r="E714" i="4" s="1"/>
  <c r="E715" i="4" s="1"/>
  <c r="E716" i="4" s="1"/>
  <c r="E717" i="4" s="1"/>
  <c r="E718" i="4" s="1"/>
  <c r="E719" i="4" s="1"/>
  <c r="E720" i="4" s="1"/>
  <c r="E721" i="4" s="1"/>
  <c r="E722" i="4" s="1"/>
  <c r="E723" i="4" s="1"/>
  <c r="E724" i="4" s="1"/>
  <c r="E725" i="4" s="1"/>
  <c r="E726" i="4" s="1"/>
  <c r="E727" i="4" s="1"/>
  <c r="E728" i="4" s="1"/>
  <c r="E729" i="4" s="1"/>
  <c r="E730" i="4" s="1"/>
  <c r="E731" i="4" s="1"/>
  <c r="E732" i="4" s="1"/>
  <c r="E733" i="4" s="1"/>
  <c r="E734" i="4" s="1"/>
  <c r="E735" i="4" s="1"/>
  <c r="E736" i="4" s="1"/>
  <c r="E737" i="4" s="1"/>
  <c r="E738" i="4" s="1"/>
  <c r="E739" i="4" s="1"/>
  <c r="E740" i="4" s="1"/>
  <c r="E741" i="4" s="1"/>
  <c r="E742" i="4" s="1"/>
  <c r="E743" i="4" s="1"/>
  <c r="E744" i="4" s="1"/>
  <c r="E745" i="4" s="1"/>
  <c r="E746" i="4" s="1"/>
  <c r="E747" i="4" s="1"/>
  <c r="E748" i="4" s="1"/>
  <c r="E749" i="4" s="1"/>
  <c r="E750" i="4" s="1"/>
  <c r="E751" i="4" s="1"/>
  <c r="E752" i="4" s="1"/>
  <c r="E753" i="4" s="1"/>
  <c r="E754" i="4" s="1"/>
  <c r="E755" i="4" s="1"/>
  <c r="E756" i="4" s="1"/>
  <c r="E757" i="4" s="1"/>
  <c r="E758" i="4" s="1"/>
  <c r="E759" i="4" s="1"/>
  <c r="E760" i="4" s="1"/>
  <c r="E761" i="4" s="1"/>
  <c r="E762" i="4" s="1"/>
  <c r="E763" i="4" s="1"/>
  <c r="E764" i="4" s="1"/>
  <c r="E765" i="4" s="1"/>
  <c r="E766" i="4" s="1"/>
  <c r="E767" i="4" s="1"/>
  <c r="E768" i="4" s="1"/>
  <c r="E769" i="4" s="1"/>
  <c r="E770" i="4" s="1"/>
  <c r="E771" i="4" s="1"/>
  <c r="E772" i="4" s="1"/>
  <c r="E773" i="4" s="1"/>
  <c r="E774" i="4" s="1"/>
  <c r="E775" i="4" s="1"/>
  <c r="E776" i="4" s="1"/>
  <c r="E777" i="4" s="1"/>
  <c r="E778" i="4" s="1"/>
  <c r="E779" i="4" s="1"/>
  <c r="E780" i="4" s="1"/>
  <c r="E781" i="4" s="1"/>
  <c r="E782" i="4" s="1"/>
  <c r="E783" i="4" s="1"/>
  <c r="E784" i="4" s="1"/>
  <c r="E785" i="4" s="1"/>
  <c r="E786" i="4" s="1"/>
  <c r="E787" i="4" s="1"/>
  <c r="E788" i="4" s="1"/>
  <c r="E789" i="4" s="1"/>
  <c r="E790" i="4" s="1"/>
  <c r="E791" i="4" s="1"/>
  <c r="E792" i="4" s="1"/>
  <c r="E793" i="4" s="1"/>
  <c r="E794" i="4" s="1"/>
  <c r="E795" i="4" s="1"/>
  <c r="E796" i="4" s="1"/>
  <c r="E797" i="4" s="1"/>
  <c r="E798" i="4" s="1"/>
  <c r="E799" i="4" s="1"/>
  <c r="E800" i="4" s="1"/>
  <c r="E801" i="4" s="1"/>
  <c r="D2" i="4"/>
  <c r="M5" i="3"/>
  <c r="L5" i="3" s="1"/>
  <c r="E3" i="3"/>
  <c r="E4" i="3" s="1"/>
  <c r="E5" i="3" s="1"/>
  <c r="E6" i="3" s="1"/>
  <c r="E7" i="3" s="1"/>
  <c r="E8" i="3" s="1"/>
  <c r="E9" i="3" s="1"/>
  <c r="E10" i="3" s="1"/>
  <c r="E11" i="3" s="1"/>
  <c r="E12" i="3" s="1"/>
  <c r="E13" i="3" s="1"/>
  <c r="E14" i="3" s="1"/>
  <c r="E15" i="3" s="1"/>
  <c r="E16" i="3" s="1"/>
  <c r="E17" i="3" s="1"/>
  <c r="E18" i="3" s="1"/>
  <c r="E19" i="3" s="1"/>
  <c r="E20" i="3" s="1"/>
  <c r="E21" i="3" s="1"/>
  <c r="E22" i="3" s="1"/>
  <c r="E23" i="3" s="1"/>
  <c r="E24" i="3" s="1"/>
  <c r="E25" i="3" s="1"/>
  <c r="E26" i="3" s="1"/>
  <c r="E27" i="3" s="1"/>
  <c r="E28" i="3" s="1"/>
  <c r="E29" i="3" s="1"/>
  <c r="E30" i="3" s="1"/>
  <c r="E31" i="3" s="1"/>
  <c r="E32" i="3" s="1"/>
  <c r="E33" i="3" s="1"/>
  <c r="E34" i="3" s="1"/>
  <c r="E35" i="3" s="1"/>
  <c r="E36" i="3" s="1"/>
  <c r="E37" i="3" s="1"/>
  <c r="E38" i="3" s="1"/>
  <c r="E39" i="3" s="1"/>
  <c r="E40" i="3" s="1"/>
  <c r="E41" i="3" s="1"/>
  <c r="E42" i="3" s="1"/>
  <c r="E43" i="3" s="1"/>
  <c r="E44" i="3" s="1"/>
  <c r="E45" i="3" s="1"/>
  <c r="E46" i="3" s="1"/>
  <c r="E47" i="3" s="1"/>
  <c r="E48" i="3" s="1"/>
  <c r="E49" i="3" s="1"/>
  <c r="E50" i="3" s="1"/>
  <c r="E51" i="3" s="1"/>
  <c r="E52" i="3" s="1"/>
  <c r="E53" i="3" s="1"/>
  <c r="E54" i="3" s="1"/>
  <c r="E55" i="3" s="1"/>
  <c r="E56" i="3" s="1"/>
  <c r="E57" i="3" s="1"/>
  <c r="E58" i="3" s="1"/>
  <c r="E59" i="3" s="1"/>
  <c r="E60" i="3" s="1"/>
  <c r="E61" i="3" s="1"/>
  <c r="E62" i="3" s="1"/>
  <c r="E63" i="3" s="1"/>
  <c r="E64" i="3" s="1"/>
  <c r="E65" i="3" s="1"/>
  <c r="E66" i="3" s="1"/>
  <c r="E67" i="3" s="1"/>
  <c r="E68" i="3" s="1"/>
  <c r="E69" i="3" s="1"/>
  <c r="E70" i="3" s="1"/>
  <c r="E71" i="3" s="1"/>
  <c r="E72" i="3" s="1"/>
  <c r="E73" i="3" s="1"/>
  <c r="E74" i="3" s="1"/>
  <c r="E75" i="3" s="1"/>
  <c r="E76" i="3" s="1"/>
  <c r="E77" i="3" s="1"/>
  <c r="E78" i="3" s="1"/>
  <c r="E79" i="3" s="1"/>
  <c r="E80" i="3" s="1"/>
  <c r="E81" i="3" s="1"/>
  <c r="E82" i="3" s="1"/>
  <c r="E83" i="3" s="1"/>
  <c r="E84" i="3" s="1"/>
  <c r="E85" i="3" s="1"/>
  <c r="E86" i="3" s="1"/>
  <c r="E87" i="3" s="1"/>
  <c r="E88" i="3" s="1"/>
  <c r="E89" i="3" s="1"/>
  <c r="E90" i="3" s="1"/>
  <c r="E91" i="3" s="1"/>
  <c r="E92" i="3" s="1"/>
  <c r="E93" i="3" s="1"/>
  <c r="E94" i="3" s="1"/>
  <c r="E95" i="3" s="1"/>
  <c r="E96" i="3" s="1"/>
  <c r="E97" i="3" s="1"/>
  <c r="E98" i="3" s="1"/>
  <c r="E99" i="3" s="1"/>
  <c r="E100" i="3" s="1"/>
  <c r="E101" i="3" s="1"/>
  <c r="E102" i="3" s="1"/>
  <c r="E103" i="3" s="1"/>
  <c r="E104" i="3" s="1"/>
  <c r="E105" i="3" s="1"/>
  <c r="E106" i="3" s="1"/>
  <c r="E107" i="3" s="1"/>
  <c r="E108" i="3" s="1"/>
  <c r="E109" i="3" s="1"/>
  <c r="E110" i="3" s="1"/>
  <c r="E111" i="3" s="1"/>
  <c r="E112" i="3" s="1"/>
  <c r="E113" i="3" s="1"/>
  <c r="E114" i="3" s="1"/>
  <c r="E115" i="3" s="1"/>
  <c r="E116" i="3" s="1"/>
  <c r="E117" i="3" s="1"/>
  <c r="E118" i="3" s="1"/>
  <c r="E119" i="3" s="1"/>
  <c r="E120" i="3" s="1"/>
  <c r="E121" i="3" s="1"/>
  <c r="E122" i="3" s="1"/>
  <c r="E123" i="3" s="1"/>
  <c r="E124" i="3" s="1"/>
  <c r="E125" i="3" s="1"/>
  <c r="E126" i="3" s="1"/>
  <c r="E127" i="3" s="1"/>
  <c r="E128" i="3" s="1"/>
  <c r="E129" i="3" s="1"/>
  <c r="E130" i="3" s="1"/>
  <c r="E131" i="3" s="1"/>
  <c r="E132" i="3" s="1"/>
  <c r="E133" i="3" s="1"/>
  <c r="E134" i="3" s="1"/>
  <c r="E135" i="3" s="1"/>
  <c r="E136" i="3" s="1"/>
  <c r="E137" i="3" s="1"/>
  <c r="E138" i="3" s="1"/>
  <c r="E139" i="3" s="1"/>
  <c r="E140" i="3" s="1"/>
  <c r="E141" i="3" s="1"/>
  <c r="E142" i="3" s="1"/>
  <c r="E143" i="3" s="1"/>
  <c r="E144" i="3" s="1"/>
  <c r="E145" i="3" s="1"/>
  <c r="E146" i="3" s="1"/>
  <c r="E147" i="3" s="1"/>
  <c r="E148" i="3" s="1"/>
  <c r="E149" i="3" s="1"/>
  <c r="E150" i="3" s="1"/>
  <c r="E151" i="3" s="1"/>
  <c r="E152" i="3" s="1"/>
  <c r="E153" i="3" s="1"/>
  <c r="E154" i="3" s="1"/>
  <c r="E155" i="3" s="1"/>
  <c r="E156" i="3" s="1"/>
  <c r="E157" i="3" s="1"/>
  <c r="E158" i="3" s="1"/>
  <c r="E159" i="3" s="1"/>
  <c r="E160" i="3" s="1"/>
  <c r="E161" i="3" s="1"/>
  <c r="E162" i="3" s="1"/>
  <c r="E163" i="3" s="1"/>
  <c r="E164" i="3" s="1"/>
  <c r="E165" i="3" s="1"/>
  <c r="E166" i="3" s="1"/>
  <c r="E167" i="3" s="1"/>
  <c r="E168" i="3" s="1"/>
  <c r="E169" i="3" s="1"/>
  <c r="E170" i="3" s="1"/>
  <c r="E171" i="3" s="1"/>
  <c r="E172" i="3" s="1"/>
  <c r="E173" i="3" s="1"/>
  <c r="E174" i="3" s="1"/>
  <c r="E175" i="3" s="1"/>
  <c r="E176" i="3" s="1"/>
  <c r="E177" i="3" s="1"/>
  <c r="E178" i="3" s="1"/>
  <c r="E179" i="3" s="1"/>
  <c r="E180" i="3" s="1"/>
  <c r="E181" i="3" s="1"/>
  <c r="E182" i="3" s="1"/>
  <c r="E183" i="3" s="1"/>
  <c r="E184" i="3" s="1"/>
  <c r="E185" i="3" s="1"/>
  <c r="E186" i="3" s="1"/>
  <c r="E187" i="3" s="1"/>
  <c r="E188" i="3" s="1"/>
  <c r="E189" i="3" s="1"/>
  <c r="E190" i="3" s="1"/>
  <c r="E191" i="3" s="1"/>
  <c r="E192" i="3" s="1"/>
  <c r="E193" i="3" s="1"/>
  <c r="E194" i="3" s="1"/>
  <c r="E195" i="3" s="1"/>
  <c r="E196" i="3" s="1"/>
  <c r="E197" i="3" s="1"/>
  <c r="E198" i="3" s="1"/>
  <c r="E199" i="3" s="1"/>
  <c r="E200" i="3" s="1"/>
  <c r="E201" i="3" s="1"/>
  <c r="E202" i="3" s="1"/>
  <c r="E203" i="3" s="1"/>
  <c r="E204" i="3" s="1"/>
  <c r="E205" i="3" s="1"/>
  <c r="E206" i="3" s="1"/>
  <c r="E207" i="3" s="1"/>
  <c r="E208" i="3" s="1"/>
  <c r="E209" i="3" s="1"/>
  <c r="E210" i="3" s="1"/>
  <c r="E211" i="3" s="1"/>
  <c r="E212" i="3" s="1"/>
  <c r="E213" i="3" s="1"/>
  <c r="E214" i="3" s="1"/>
  <c r="E215" i="3" s="1"/>
  <c r="E216" i="3" s="1"/>
  <c r="E217" i="3" s="1"/>
  <c r="E218" i="3" s="1"/>
  <c r="E219" i="3" s="1"/>
  <c r="E220" i="3" s="1"/>
  <c r="E221" i="3" s="1"/>
  <c r="E222" i="3" s="1"/>
  <c r="E223" i="3" s="1"/>
  <c r="E224" i="3" s="1"/>
  <c r="E225" i="3" s="1"/>
  <c r="E226" i="3" s="1"/>
  <c r="E227" i="3" s="1"/>
  <c r="E228" i="3" s="1"/>
  <c r="E229" i="3" s="1"/>
  <c r="E230" i="3" s="1"/>
  <c r="E231" i="3" s="1"/>
  <c r="E232" i="3" s="1"/>
  <c r="E233" i="3" s="1"/>
  <c r="E234" i="3" s="1"/>
  <c r="E235" i="3" s="1"/>
  <c r="E236" i="3" s="1"/>
  <c r="E237" i="3" s="1"/>
  <c r="E238" i="3" s="1"/>
  <c r="E239" i="3" s="1"/>
  <c r="E240" i="3" s="1"/>
  <c r="E241" i="3" s="1"/>
  <c r="E242" i="3" s="1"/>
  <c r="E243" i="3" s="1"/>
  <c r="E244" i="3" s="1"/>
  <c r="E245" i="3" s="1"/>
  <c r="E246" i="3" s="1"/>
  <c r="E247" i="3" s="1"/>
  <c r="E248" i="3" s="1"/>
  <c r="E249" i="3" s="1"/>
  <c r="E250" i="3" s="1"/>
  <c r="E251" i="3" s="1"/>
  <c r="E252" i="3" s="1"/>
  <c r="E253" i="3" s="1"/>
  <c r="E254" i="3" s="1"/>
  <c r="E255" i="3" s="1"/>
  <c r="E256" i="3" s="1"/>
  <c r="E257" i="3" s="1"/>
  <c r="E258" i="3" s="1"/>
  <c r="E259" i="3" s="1"/>
  <c r="E260" i="3" s="1"/>
  <c r="E261" i="3" s="1"/>
  <c r="E262" i="3" s="1"/>
  <c r="E263" i="3" s="1"/>
  <c r="E264" i="3" s="1"/>
  <c r="E265" i="3" s="1"/>
  <c r="E266" i="3" s="1"/>
  <c r="E267" i="3" s="1"/>
  <c r="E268" i="3" s="1"/>
  <c r="E269" i="3" s="1"/>
  <c r="E270" i="3" s="1"/>
  <c r="E271" i="3" s="1"/>
  <c r="E272" i="3" s="1"/>
  <c r="E273" i="3" s="1"/>
  <c r="E274" i="3" s="1"/>
  <c r="E275" i="3" s="1"/>
  <c r="E276" i="3" s="1"/>
  <c r="E277" i="3" s="1"/>
  <c r="E278" i="3" s="1"/>
  <c r="E279" i="3" s="1"/>
  <c r="E280" i="3" s="1"/>
  <c r="E281" i="3" s="1"/>
  <c r="E282" i="3" s="1"/>
  <c r="E283" i="3" s="1"/>
  <c r="E284" i="3" s="1"/>
  <c r="E285" i="3" s="1"/>
  <c r="E286" i="3" s="1"/>
  <c r="E287" i="3" s="1"/>
  <c r="E288" i="3" s="1"/>
  <c r="E289" i="3" s="1"/>
  <c r="E290" i="3" s="1"/>
  <c r="E291" i="3" s="1"/>
  <c r="E292" i="3" s="1"/>
  <c r="E293" i="3" s="1"/>
  <c r="E294" i="3" s="1"/>
  <c r="E295" i="3" s="1"/>
  <c r="E296" i="3" s="1"/>
  <c r="E297" i="3" s="1"/>
  <c r="E298" i="3" s="1"/>
  <c r="E299" i="3" s="1"/>
  <c r="E300" i="3" s="1"/>
  <c r="E301" i="3" s="1"/>
  <c r="E302" i="3" s="1"/>
  <c r="E303" i="3" s="1"/>
  <c r="E304" i="3" s="1"/>
  <c r="E305" i="3" s="1"/>
  <c r="E306" i="3" s="1"/>
  <c r="E307" i="3" s="1"/>
  <c r="E308" i="3" s="1"/>
  <c r="E309" i="3" s="1"/>
  <c r="E310" i="3" s="1"/>
  <c r="E311" i="3" s="1"/>
  <c r="E312" i="3" s="1"/>
  <c r="E313" i="3" s="1"/>
  <c r="E314" i="3" s="1"/>
  <c r="E315" i="3" s="1"/>
  <c r="E316" i="3" s="1"/>
  <c r="E317" i="3" s="1"/>
  <c r="E318" i="3" s="1"/>
  <c r="E319" i="3" s="1"/>
  <c r="E320" i="3" s="1"/>
  <c r="E321" i="3" s="1"/>
  <c r="E322" i="3" s="1"/>
  <c r="E323" i="3" s="1"/>
  <c r="E324" i="3" s="1"/>
  <c r="E325" i="3" s="1"/>
  <c r="E326" i="3" s="1"/>
  <c r="E327" i="3" s="1"/>
  <c r="E328" i="3" s="1"/>
  <c r="E329" i="3" s="1"/>
  <c r="E330" i="3" s="1"/>
  <c r="E331" i="3" s="1"/>
  <c r="E332" i="3" s="1"/>
  <c r="E333" i="3" s="1"/>
  <c r="E334" i="3" s="1"/>
  <c r="E335" i="3" s="1"/>
  <c r="E336" i="3" s="1"/>
  <c r="E337" i="3" s="1"/>
  <c r="E338" i="3" s="1"/>
  <c r="E339" i="3" s="1"/>
  <c r="E340" i="3" s="1"/>
  <c r="E341" i="3" s="1"/>
  <c r="E342" i="3" s="1"/>
  <c r="E343" i="3" s="1"/>
  <c r="E344" i="3" s="1"/>
  <c r="E345" i="3" s="1"/>
  <c r="E346" i="3" s="1"/>
  <c r="E347" i="3" s="1"/>
  <c r="E348" i="3" s="1"/>
  <c r="E349" i="3" s="1"/>
  <c r="E350" i="3" s="1"/>
  <c r="E351" i="3" s="1"/>
  <c r="E352" i="3" s="1"/>
  <c r="E353" i="3" s="1"/>
  <c r="E354" i="3" s="1"/>
  <c r="E355" i="3" s="1"/>
  <c r="E356" i="3" s="1"/>
  <c r="E357" i="3" s="1"/>
  <c r="E358" i="3" s="1"/>
  <c r="E359" i="3" s="1"/>
  <c r="E360" i="3" s="1"/>
  <c r="E361" i="3" s="1"/>
  <c r="E362" i="3" s="1"/>
  <c r="E363" i="3" s="1"/>
  <c r="E364" i="3" s="1"/>
  <c r="E365" i="3" s="1"/>
  <c r="E366" i="3" s="1"/>
  <c r="E367" i="3" s="1"/>
  <c r="E368" i="3" s="1"/>
  <c r="E369" i="3" s="1"/>
  <c r="E370" i="3" s="1"/>
  <c r="E371" i="3" s="1"/>
  <c r="E372" i="3" s="1"/>
  <c r="E373" i="3" s="1"/>
  <c r="E374" i="3" s="1"/>
  <c r="E375" i="3" s="1"/>
  <c r="E376" i="3" s="1"/>
  <c r="E377" i="3" s="1"/>
  <c r="E378" i="3" s="1"/>
  <c r="E379" i="3" s="1"/>
  <c r="E380" i="3" s="1"/>
  <c r="E381" i="3" s="1"/>
  <c r="E382" i="3" s="1"/>
  <c r="E383" i="3" s="1"/>
  <c r="E384" i="3" s="1"/>
  <c r="E385" i="3" s="1"/>
  <c r="E386" i="3" s="1"/>
  <c r="E387" i="3" s="1"/>
  <c r="E388" i="3" s="1"/>
  <c r="E389" i="3" s="1"/>
  <c r="E390" i="3" s="1"/>
  <c r="E391" i="3" s="1"/>
  <c r="E392" i="3" s="1"/>
  <c r="E393" i="3" s="1"/>
  <c r="E394" i="3" s="1"/>
  <c r="E395" i="3" s="1"/>
  <c r="E396" i="3" s="1"/>
  <c r="E397" i="3" s="1"/>
  <c r="E398" i="3" s="1"/>
  <c r="E399" i="3" s="1"/>
  <c r="E400" i="3" s="1"/>
  <c r="E401" i="3" s="1"/>
  <c r="E402" i="3" s="1"/>
  <c r="E403" i="3" s="1"/>
  <c r="E404" i="3" s="1"/>
  <c r="E405" i="3" s="1"/>
  <c r="E406" i="3" s="1"/>
  <c r="E407" i="3" s="1"/>
  <c r="E408" i="3" s="1"/>
  <c r="E409" i="3" s="1"/>
  <c r="E410" i="3" s="1"/>
  <c r="E411" i="3" s="1"/>
  <c r="E412" i="3" s="1"/>
  <c r="E413" i="3" s="1"/>
  <c r="E414" i="3" s="1"/>
  <c r="E415" i="3" s="1"/>
  <c r="E416" i="3" s="1"/>
  <c r="E417" i="3" s="1"/>
  <c r="E418" i="3" s="1"/>
  <c r="E419" i="3" s="1"/>
  <c r="E420" i="3" s="1"/>
  <c r="E421" i="3" s="1"/>
  <c r="E422" i="3" s="1"/>
  <c r="E423" i="3" s="1"/>
  <c r="E424" i="3" s="1"/>
  <c r="E425" i="3" s="1"/>
  <c r="E426" i="3" s="1"/>
  <c r="E427" i="3" s="1"/>
  <c r="E428" i="3" s="1"/>
  <c r="E429" i="3" s="1"/>
  <c r="E430" i="3" s="1"/>
  <c r="E431" i="3" s="1"/>
  <c r="E432" i="3" s="1"/>
  <c r="E433" i="3" s="1"/>
  <c r="E434" i="3" s="1"/>
  <c r="E435" i="3" s="1"/>
  <c r="E436" i="3" s="1"/>
  <c r="E437" i="3" s="1"/>
  <c r="E438" i="3" s="1"/>
  <c r="E439" i="3" s="1"/>
  <c r="E440" i="3" s="1"/>
  <c r="E441" i="3" s="1"/>
  <c r="E442" i="3" s="1"/>
  <c r="E443" i="3" s="1"/>
  <c r="E444" i="3" s="1"/>
  <c r="E445" i="3" s="1"/>
  <c r="E446" i="3" s="1"/>
  <c r="E447" i="3" s="1"/>
  <c r="E448" i="3" s="1"/>
  <c r="E449" i="3" s="1"/>
  <c r="E450" i="3" s="1"/>
  <c r="E451" i="3" s="1"/>
  <c r="E452" i="3" s="1"/>
  <c r="E453" i="3" s="1"/>
  <c r="E454" i="3" s="1"/>
  <c r="E455" i="3" s="1"/>
  <c r="E456" i="3" s="1"/>
  <c r="E457" i="3" s="1"/>
  <c r="E458" i="3" s="1"/>
  <c r="E459" i="3" s="1"/>
  <c r="E460" i="3" s="1"/>
  <c r="E461" i="3" s="1"/>
  <c r="E462" i="3" s="1"/>
  <c r="E463" i="3" s="1"/>
  <c r="E464" i="3" s="1"/>
  <c r="E465" i="3" s="1"/>
  <c r="E466" i="3" s="1"/>
  <c r="E467" i="3" s="1"/>
  <c r="E468" i="3" s="1"/>
  <c r="E469" i="3" s="1"/>
  <c r="E470" i="3" s="1"/>
  <c r="E471" i="3" s="1"/>
  <c r="E472" i="3" s="1"/>
  <c r="E473" i="3" s="1"/>
  <c r="E474" i="3" s="1"/>
  <c r="E475" i="3" s="1"/>
  <c r="E476" i="3" s="1"/>
  <c r="E477" i="3" s="1"/>
  <c r="E478" i="3" s="1"/>
  <c r="E479" i="3" s="1"/>
  <c r="E480" i="3" s="1"/>
  <c r="E481" i="3" s="1"/>
  <c r="E482" i="3" s="1"/>
  <c r="E483" i="3" s="1"/>
  <c r="E484" i="3" s="1"/>
  <c r="E485" i="3" s="1"/>
  <c r="E486" i="3" s="1"/>
  <c r="E487" i="3" s="1"/>
  <c r="E488" i="3" s="1"/>
  <c r="E489" i="3" s="1"/>
  <c r="E490" i="3" s="1"/>
  <c r="E491" i="3" s="1"/>
  <c r="E492" i="3" s="1"/>
  <c r="E493" i="3" s="1"/>
  <c r="E494" i="3" s="1"/>
  <c r="E495" i="3" s="1"/>
  <c r="E496" i="3" s="1"/>
  <c r="E497" i="3" s="1"/>
  <c r="E498" i="3" s="1"/>
  <c r="E499" i="3" s="1"/>
  <c r="E500" i="3" s="1"/>
  <c r="E501" i="3" s="1"/>
  <c r="E502" i="3" s="1"/>
  <c r="E503" i="3" s="1"/>
  <c r="E504" i="3" s="1"/>
  <c r="E505" i="3" s="1"/>
  <c r="E506" i="3" s="1"/>
  <c r="E507" i="3" s="1"/>
  <c r="E508" i="3" s="1"/>
  <c r="E509" i="3" s="1"/>
  <c r="E510" i="3" s="1"/>
  <c r="E511" i="3" s="1"/>
  <c r="E512" i="3" s="1"/>
  <c r="E513" i="3" s="1"/>
  <c r="E514" i="3" s="1"/>
  <c r="E515" i="3" s="1"/>
  <c r="E516" i="3" s="1"/>
  <c r="E517" i="3" s="1"/>
  <c r="E518" i="3" s="1"/>
  <c r="E519" i="3" s="1"/>
  <c r="E520" i="3" s="1"/>
  <c r="E521" i="3" s="1"/>
  <c r="E522" i="3" s="1"/>
  <c r="E523" i="3" s="1"/>
  <c r="E524" i="3" s="1"/>
  <c r="E525" i="3" s="1"/>
  <c r="E526" i="3" s="1"/>
  <c r="E527" i="3" s="1"/>
  <c r="E528" i="3" s="1"/>
  <c r="E529" i="3" s="1"/>
  <c r="E530" i="3" s="1"/>
  <c r="E531" i="3" s="1"/>
  <c r="E532" i="3" s="1"/>
  <c r="E533" i="3" s="1"/>
  <c r="E534" i="3" s="1"/>
  <c r="E535" i="3" s="1"/>
  <c r="E536" i="3" s="1"/>
  <c r="E537" i="3" s="1"/>
  <c r="E538" i="3" s="1"/>
  <c r="E539" i="3" s="1"/>
  <c r="E540" i="3" s="1"/>
  <c r="E541" i="3" s="1"/>
  <c r="E542" i="3" s="1"/>
  <c r="E543" i="3" s="1"/>
  <c r="E544" i="3" s="1"/>
  <c r="E545" i="3" s="1"/>
  <c r="E546" i="3" s="1"/>
  <c r="E547" i="3" s="1"/>
  <c r="E548" i="3" s="1"/>
  <c r="E549" i="3" s="1"/>
  <c r="E550" i="3" s="1"/>
  <c r="E551" i="3" s="1"/>
  <c r="E552" i="3" s="1"/>
  <c r="E553" i="3" s="1"/>
  <c r="E554" i="3" s="1"/>
  <c r="E555" i="3" s="1"/>
  <c r="E556" i="3" s="1"/>
  <c r="E557" i="3" s="1"/>
  <c r="E558" i="3" s="1"/>
  <c r="E559" i="3" s="1"/>
  <c r="E560" i="3" s="1"/>
  <c r="E561" i="3" s="1"/>
  <c r="E562" i="3" s="1"/>
  <c r="E563" i="3" s="1"/>
  <c r="E564" i="3" s="1"/>
  <c r="E565" i="3" s="1"/>
  <c r="E566" i="3" s="1"/>
  <c r="E567" i="3" s="1"/>
  <c r="E568" i="3" s="1"/>
  <c r="E569" i="3" s="1"/>
  <c r="E570" i="3" s="1"/>
  <c r="E571" i="3" s="1"/>
  <c r="E572" i="3" s="1"/>
  <c r="E573" i="3" s="1"/>
  <c r="E574" i="3" s="1"/>
  <c r="E575" i="3" s="1"/>
  <c r="E576" i="3" s="1"/>
  <c r="E577" i="3" s="1"/>
  <c r="E578" i="3" s="1"/>
  <c r="E579" i="3" s="1"/>
  <c r="E580" i="3" s="1"/>
  <c r="E581" i="3" s="1"/>
  <c r="E582" i="3" s="1"/>
  <c r="E583" i="3" s="1"/>
  <c r="E584" i="3" s="1"/>
  <c r="E585" i="3" s="1"/>
  <c r="E586" i="3" s="1"/>
  <c r="E587" i="3" s="1"/>
  <c r="E588" i="3" s="1"/>
  <c r="E589" i="3" s="1"/>
  <c r="E590" i="3" s="1"/>
  <c r="E591" i="3" s="1"/>
  <c r="E592" i="3" s="1"/>
  <c r="E593" i="3" s="1"/>
  <c r="E594" i="3" s="1"/>
  <c r="E595" i="3" s="1"/>
  <c r="E596" i="3" s="1"/>
  <c r="E597" i="3" s="1"/>
  <c r="E598" i="3" s="1"/>
  <c r="E599" i="3" s="1"/>
  <c r="E600" i="3" s="1"/>
  <c r="E601" i="3" s="1"/>
  <c r="E602" i="3" s="1"/>
  <c r="E603" i="3" s="1"/>
  <c r="E604" i="3" s="1"/>
  <c r="E605" i="3" s="1"/>
  <c r="E606" i="3" s="1"/>
  <c r="E607" i="3" s="1"/>
  <c r="E608" i="3" s="1"/>
  <c r="E609" i="3" s="1"/>
  <c r="E610" i="3" s="1"/>
  <c r="E611" i="3" s="1"/>
  <c r="E612" i="3" s="1"/>
  <c r="E613" i="3" s="1"/>
  <c r="E614" i="3" s="1"/>
  <c r="E615" i="3" s="1"/>
  <c r="E616" i="3" s="1"/>
  <c r="E617" i="3" s="1"/>
  <c r="E618" i="3" s="1"/>
  <c r="E619" i="3" s="1"/>
  <c r="E620" i="3" s="1"/>
  <c r="E621" i="3" s="1"/>
  <c r="E622" i="3" s="1"/>
  <c r="E623" i="3" s="1"/>
  <c r="E624" i="3" s="1"/>
  <c r="E625" i="3" s="1"/>
  <c r="E626" i="3" s="1"/>
  <c r="E627" i="3" s="1"/>
  <c r="E628" i="3" s="1"/>
  <c r="E629" i="3" s="1"/>
  <c r="E630" i="3" s="1"/>
  <c r="E631" i="3" s="1"/>
  <c r="E632" i="3" s="1"/>
  <c r="E633" i="3" s="1"/>
  <c r="E634" i="3" s="1"/>
  <c r="E635" i="3" s="1"/>
  <c r="E636" i="3" s="1"/>
  <c r="E637" i="3" s="1"/>
  <c r="E638" i="3" s="1"/>
  <c r="E639" i="3" s="1"/>
  <c r="E640" i="3" s="1"/>
  <c r="E641" i="3" s="1"/>
  <c r="E642" i="3" s="1"/>
  <c r="E643" i="3" s="1"/>
  <c r="E644" i="3" s="1"/>
  <c r="E645" i="3" s="1"/>
  <c r="E646" i="3" s="1"/>
  <c r="E647" i="3" s="1"/>
  <c r="E648" i="3" s="1"/>
  <c r="E649" i="3" s="1"/>
  <c r="E650" i="3" s="1"/>
  <c r="E651" i="3" s="1"/>
  <c r="E652" i="3" s="1"/>
  <c r="E653" i="3" s="1"/>
  <c r="E654" i="3" s="1"/>
  <c r="E655" i="3" s="1"/>
  <c r="E656" i="3" s="1"/>
  <c r="E657" i="3" s="1"/>
  <c r="E658" i="3" s="1"/>
  <c r="E659" i="3" s="1"/>
  <c r="E660" i="3" s="1"/>
  <c r="E661" i="3" s="1"/>
  <c r="E662" i="3" s="1"/>
  <c r="E663" i="3" s="1"/>
  <c r="E664" i="3" s="1"/>
  <c r="E665" i="3" s="1"/>
  <c r="E666" i="3" s="1"/>
  <c r="E667" i="3" s="1"/>
  <c r="E668" i="3" s="1"/>
  <c r="E669" i="3" s="1"/>
  <c r="E670" i="3" s="1"/>
  <c r="E671" i="3" s="1"/>
  <c r="E672" i="3" s="1"/>
  <c r="E673" i="3" s="1"/>
  <c r="E674" i="3" s="1"/>
  <c r="E675" i="3" s="1"/>
  <c r="E676" i="3" s="1"/>
  <c r="E677" i="3" s="1"/>
  <c r="E678" i="3" s="1"/>
  <c r="E679" i="3" s="1"/>
  <c r="E680" i="3" s="1"/>
  <c r="E681" i="3" s="1"/>
  <c r="E682" i="3" s="1"/>
  <c r="E683" i="3" s="1"/>
  <c r="E684" i="3" s="1"/>
  <c r="E685" i="3" s="1"/>
  <c r="E686" i="3" s="1"/>
  <c r="E687" i="3" s="1"/>
  <c r="E688" i="3" s="1"/>
  <c r="E689" i="3" s="1"/>
  <c r="E690" i="3" s="1"/>
  <c r="E691" i="3" s="1"/>
  <c r="E692" i="3" s="1"/>
  <c r="E693" i="3" s="1"/>
  <c r="E694" i="3" s="1"/>
  <c r="E695" i="3" s="1"/>
  <c r="E696" i="3" s="1"/>
  <c r="E697" i="3" s="1"/>
  <c r="E698" i="3" s="1"/>
  <c r="E699" i="3" s="1"/>
  <c r="E700" i="3" s="1"/>
  <c r="E701" i="3" s="1"/>
  <c r="E702" i="3" s="1"/>
  <c r="E703" i="3" s="1"/>
  <c r="E704" i="3" s="1"/>
  <c r="E705" i="3" s="1"/>
  <c r="E706" i="3" s="1"/>
  <c r="E707" i="3" s="1"/>
  <c r="E708" i="3" s="1"/>
  <c r="E709" i="3" s="1"/>
  <c r="E710" i="3" s="1"/>
  <c r="E711" i="3" s="1"/>
  <c r="E712" i="3" s="1"/>
  <c r="E713" i="3" s="1"/>
  <c r="E714" i="3" s="1"/>
  <c r="E715" i="3" s="1"/>
  <c r="E716" i="3" s="1"/>
  <c r="E717" i="3" s="1"/>
  <c r="E718" i="3" s="1"/>
  <c r="E719" i="3" s="1"/>
  <c r="E720" i="3" s="1"/>
  <c r="E721" i="3" s="1"/>
  <c r="E722" i="3" s="1"/>
  <c r="E723" i="3" s="1"/>
  <c r="E724" i="3" s="1"/>
  <c r="E725" i="3" s="1"/>
  <c r="E726" i="3" s="1"/>
  <c r="E727" i="3" s="1"/>
  <c r="E728" i="3" s="1"/>
  <c r="E729" i="3" s="1"/>
  <c r="E730" i="3" s="1"/>
  <c r="E731" i="3" s="1"/>
  <c r="E732" i="3" s="1"/>
  <c r="E733" i="3" s="1"/>
  <c r="E734" i="3" s="1"/>
  <c r="E735" i="3" s="1"/>
  <c r="E736" i="3" s="1"/>
  <c r="E737" i="3" s="1"/>
  <c r="E738" i="3" s="1"/>
  <c r="E739" i="3" s="1"/>
  <c r="E740" i="3" s="1"/>
  <c r="E741" i="3" s="1"/>
  <c r="E742" i="3" s="1"/>
  <c r="E743" i="3" s="1"/>
  <c r="E744" i="3" s="1"/>
  <c r="E745" i="3" s="1"/>
  <c r="E746" i="3" s="1"/>
  <c r="E747" i="3" s="1"/>
  <c r="E748" i="3" s="1"/>
  <c r="E749" i="3" s="1"/>
  <c r="E750" i="3" s="1"/>
  <c r="E751" i="3" s="1"/>
  <c r="E752" i="3" s="1"/>
  <c r="E753" i="3" s="1"/>
  <c r="E754" i="3" s="1"/>
  <c r="E755" i="3" s="1"/>
  <c r="E756" i="3" s="1"/>
  <c r="E757" i="3" s="1"/>
  <c r="E758" i="3" s="1"/>
  <c r="E759" i="3" s="1"/>
  <c r="E760" i="3" s="1"/>
  <c r="E761" i="3" s="1"/>
  <c r="E762" i="3" s="1"/>
  <c r="E763" i="3" s="1"/>
  <c r="E764" i="3" s="1"/>
  <c r="E765" i="3" s="1"/>
  <c r="E766" i="3" s="1"/>
  <c r="E767" i="3" s="1"/>
  <c r="E768" i="3" s="1"/>
  <c r="E769" i="3" s="1"/>
  <c r="E770" i="3" s="1"/>
  <c r="E771" i="3" s="1"/>
  <c r="E772" i="3" s="1"/>
  <c r="E773" i="3" s="1"/>
  <c r="E774" i="3" s="1"/>
  <c r="E775" i="3" s="1"/>
  <c r="E776" i="3" s="1"/>
  <c r="E777" i="3" s="1"/>
  <c r="E778" i="3" s="1"/>
  <c r="E779" i="3" s="1"/>
  <c r="E780" i="3" s="1"/>
  <c r="E781" i="3" s="1"/>
  <c r="E782" i="3" s="1"/>
  <c r="E783" i="3" s="1"/>
  <c r="E784" i="3" s="1"/>
  <c r="E785" i="3" s="1"/>
  <c r="E786" i="3" s="1"/>
  <c r="E787" i="3" s="1"/>
  <c r="E788" i="3" s="1"/>
  <c r="E789" i="3" s="1"/>
  <c r="E790" i="3" s="1"/>
  <c r="E791" i="3" s="1"/>
  <c r="E792" i="3" s="1"/>
  <c r="E793" i="3" s="1"/>
  <c r="E794" i="3" s="1"/>
  <c r="E795" i="3" s="1"/>
  <c r="E796" i="3" s="1"/>
  <c r="E797" i="3" s="1"/>
  <c r="E798" i="3" s="1"/>
  <c r="E799" i="3" s="1"/>
  <c r="E800" i="3" s="1"/>
  <c r="E801" i="3" s="1"/>
  <c r="E802" i="3" s="1"/>
  <c r="E803" i="3" s="1"/>
  <c r="E804" i="3" s="1"/>
  <c r="E805" i="3" s="1"/>
  <c r="E806" i="3" s="1"/>
  <c r="E807" i="3" s="1"/>
  <c r="E808" i="3" s="1"/>
  <c r="E809" i="3" s="1"/>
  <c r="E810" i="3" s="1"/>
  <c r="E811" i="3" s="1"/>
  <c r="E812" i="3" s="1"/>
  <c r="E813" i="3" s="1"/>
  <c r="E814" i="3" s="1"/>
  <c r="E815" i="3" s="1"/>
  <c r="E816" i="3" s="1"/>
  <c r="E817" i="3" s="1"/>
  <c r="E818" i="3" s="1"/>
  <c r="E819" i="3" s="1"/>
  <c r="E820" i="3" s="1"/>
  <c r="E821" i="3" s="1"/>
  <c r="E822" i="3" s="1"/>
  <c r="E823" i="3" s="1"/>
  <c r="E824" i="3" s="1"/>
  <c r="E825" i="3" s="1"/>
  <c r="E826" i="3" s="1"/>
  <c r="E827" i="3" s="1"/>
  <c r="E828" i="3" s="1"/>
  <c r="E829" i="3" s="1"/>
  <c r="E830" i="3" s="1"/>
  <c r="E831" i="3" s="1"/>
  <c r="E832" i="3" s="1"/>
  <c r="E833" i="3" s="1"/>
  <c r="E834" i="3" s="1"/>
  <c r="E835" i="3" s="1"/>
  <c r="E836" i="3" s="1"/>
  <c r="E837" i="3" s="1"/>
  <c r="E838" i="3" s="1"/>
  <c r="E839" i="3" s="1"/>
  <c r="E840" i="3" s="1"/>
  <c r="E841" i="3" s="1"/>
  <c r="E842" i="3" s="1"/>
  <c r="E843" i="3" s="1"/>
  <c r="E844" i="3" s="1"/>
  <c r="E845" i="3" s="1"/>
  <c r="E846" i="3" s="1"/>
  <c r="E847" i="3" s="1"/>
  <c r="E848" i="3" s="1"/>
  <c r="E849" i="3" s="1"/>
  <c r="E850" i="3" s="1"/>
  <c r="E851" i="3" s="1"/>
  <c r="E852" i="3" s="1"/>
  <c r="E853" i="3" s="1"/>
  <c r="E854" i="3" s="1"/>
  <c r="E855" i="3" s="1"/>
  <c r="E856" i="3" s="1"/>
  <c r="E857" i="3" s="1"/>
  <c r="E858" i="3" s="1"/>
  <c r="E859" i="3" s="1"/>
  <c r="E860" i="3" s="1"/>
  <c r="E861" i="3" s="1"/>
  <c r="E862" i="3" s="1"/>
  <c r="E863" i="3" s="1"/>
  <c r="E864" i="3" s="1"/>
  <c r="E865" i="3" s="1"/>
  <c r="E866" i="3" s="1"/>
  <c r="E867" i="3" s="1"/>
  <c r="E868" i="3" s="1"/>
  <c r="E869" i="3" s="1"/>
  <c r="E870" i="3" s="1"/>
  <c r="E871" i="3" s="1"/>
  <c r="E872" i="3" s="1"/>
  <c r="E873" i="3" s="1"/>
  <c r="E874" i="3" s="1"/>
  <c r="E875" i="3" s="1"/>
  <c r="E876" i="3" s="1"/>
  <c r="E877" i="3" s="1"/>
  <c r="E878" i="3" s="1"/>
  <c r="E879" i="3" s="1"/>
  <c r="E880" i="3" s="1"/>
  <c r="E881" i="3" s="1"/>
  <c r="E882" i="3" s="1"/>
  <c r="E883" i="3" s="1"/>
  <c r="E884" i="3" s="1"/>
  <c r="E885" i="3" s="1"/>
  <c r="E886" i="3" s="1"/>
  <c r="E887" i="3" s="1"/>
  <c r="E888" i="3" s="1"/>
  <c r="E889" i="3" s="1"/>
  <c r="E890" i="3" s="1"/>
  <c r="E891" i="3" s="1"/>
  <c r="E892" i="3" s="1"/>
  <c r="E893" i="3" s="1"/>
  <c r="E894" i="3" s="1"/>
  <c r="E895" i="3" s="1"/>
  <c r="E896" i="3" s="1"/>
  <c r="E897" i="3" s="1"/>
  <c r="E898" i="3" s="1"/>
  <c r="E899" i="3" s="1"/>
  <c r="E900" i="3" s="1"/>
  <c r="E901" i="3" s="1"/>
  <c r="E902" i="3" s="1"/>
  <c r="E903" i="3" s="1"/>
  <c r="E904" i="3" s="1"/>
  <c r="E905" i="3" s="1"/>
  <c r="E906" i="3" s="1"/>
  <c r="E907" i="3" s="1"/>
  <c r="E908" i="3" s="1"/>
  <c r="E909" i="3" s="1"/>
  <c r="E910" i="3" s="1"/>
  <c r="E911" i="3" s="1"/>
  <c r="E912" i="3" s="1"/>
  <c r="E913" i="3" s="1"/>
  <c r="E914" i="3" s="1"/>
  <c r="E915" i="3" s="1"/>
  <c r="E916" i="3" s="1"/>
  <c r="E917" i="3" s="1"/>
  <c r="E918" i="3" s="1"/>
  <c r="E919" i="3" s="1"/>
  <c r="E920" i="3" s="1"/>
  <c r="E921" i="3" s="1"/>
  <c r="E922" i="3" s="1"/>
  <c r="E923" i="3" s="1"/>
  <c r="E924" i="3" s="1"/>
  <c r="E925" i="3" s="1"/>
  <c r="E926" i="3" s="1"/>
  <c r="E927" i="3" s="1"/>
  <c r="E928" i="3" s="1"/>
  <c r="E929" i="3" s="1"/>
  <c r="E930" i="3" s="1"/>
  <c r="E931" i="3" s="1"/>
  <c r="E932" i="3" s="1"/>
  <c r="E933" i="3" s="1"/>
  <c r="E934" i="3" s="1"/>
  <c r="E935" i="3" s="1"/>
  <c r="E936" i="3" s="1"/>
  <c r="E937" i="3" s="1"/>
  <c r="E938" i="3" s="1"/>
  <c r="E939" i="3" s="1"/>
  <c r="E940" i="3" s="1"/>
  <c r="E941" i="3" s="1"/>
  <c r="E942" i="3" s="1"/>
  <c r="E943" i="3" s="1"/>
  <c r="E944" i="3" s="1"/>
  <c r="E945" i="3" s="1"/>
  <c r="E946" i="3" s="1"/>
  <c r="E947" i="3" s="1"/>
  <c r="E948" i="3" s="1"/>
  <c r="E949" i="3" s="1"/>
  <c r="E950" i="3" s="1"/>
  <c r="E951" i="3" s="1"/>
  <c r="E952" i="3" s="1"/>
  <c r="E953" i="3" s="1"/>
  <c r="E954" i="3" s="1"/>
  <c r="E955" i="3" s="1"/>
  <c r="E956" i="3" s="1"/>
  <c r="E957" i="3" s="1"/>
  <c r="E958" i="3" s="1"/>
  <c r="E959" i="3" s="1"/>
  <c r="E960" i="3" s="1"/>
  <c r="E961" i="3" s="1"/>
  <c r="E962" i="3" s="1"/>
  <c r="E963" i="3" s="1"/>
  <c r="E964" i="3" s="1"/>
  <c r="E965" i="3" s="1"/>
  <c r="E966" i="3" s="1"/>
  <c r="E967" i="3" s="1"/>
  <c r="E968" i="3" s="1"/>
  <c r="E969" i="3" s="1"/>
  <c r="E970" i="3" s="1"/>
  <c r="E971" i="3" s="1"/>
  <c r="E972" i="3" s="1"/>
  <c r="E973" i="3" s="1"/>
  <c r="E974" i="3" s="1"/>
  <c r="E975" i="3" s="1"/>
  <c r="E976" i="3" s="1"/>
  <c r="E977" i="3" s="1"/>
  <c r="E978" i="3" s="1"/>
  <c r="E979" i="3" s="1"/>
  <c r="E980" i="3" s="1"/>
  <c r="E981" i="3" s="1"/>
  <c r="E982" i="3" s="1"/>
  <c r="E983" i="3" s="1"/>
  <c r="E984" i="3" s="1"/>
  <c r="E985" i="3" s="1"/>
  <c r="E986" i="3" s="1"/>
  <c r="E987" i="3" s="1"/>
  <c r="E988" i="3" s="1"/>
  <c r="E989" i="3" s="1"/>
  <c r="E990" i="3" s="1"/>
  <c r="E991" i="3" s="1"/>
  <c r="E992" i="3" s="1"/>
  <c r="E993" i="3" s="1"/>
  <c r="E994" i="3" s="1"/>
  <c r="E995" i="3" s="1"/>
  <c r="E996" i="3" s="1"/>
  <c r="E997" i="3" s="1"/>
  <c r="E998" i="3" s="1"/>
  <c r="E999" i="3" s="1"/>
  <c r="E1000" i="3" s="1"/>
  <c r="E1001" i="3" s="1"/>
  <c r="D2" i="3"/>
  <c r="M6" i="3"/>
  <c r="M6" i="2"/>
  <c r="M5" i="2"/>
  <c r="L5" i="2" s="1"/>
  <c r="E3" i="2"/>
  <c r="E4" i="2" s="1"/>
  <c r="E5" i="2" s="1"/>
  <c r="E6" i="2" s="1"/>
  <c r="E7" i="2" s="1"/>
  <c r="E8" i="2" s="1"/>
  <c r="E9" i="2" s="1"/>
  <c r="E10" i="2" s="1"/>
  <c r="E11" i="2" s="1"/>
  <c r="E12" i="2" s="1"/>
  <c r="E13" i="2" s="1"/>
  <c r="E14" i="2" s="1"/>
  <c r="E15" i="2" s="1"/>
  <c r="E16" i="2" s="1"/>
  <c r="E17" i="2" s="1"/>
  <c r="E18" i="2" s="1"/>
  <c r="E19" i="2" s="1"/>
  <c r="E20" i="2" s="1"/>
  <c r="E21" i="2" s="1"/>
  <c r="E22" i="2" s="1"/>
  <c r="E23" i="2" s="1"/>
  <c r="E24" i="2" s="1"/>
  <c r="E25" i="2" s="1"/>
  <c r="E26" i="2" s="1"/>
  <c r="E27" i="2" s="1"/>
  <c r="E28" i="2" s="1"/>
  <c r="E29" i="2" s="1"/>
  <c r="E30" i="2" s="1"/>
  <c r="E31" i="2" s="1"/>
  <c r="E32" i="2" s="1"/>
  <c r="E33" i="2" s="1"/>
  <c r="E34" i="2" s="1"/>
  <c r="E35" i="2" s="1"/>
  <c r="E36" i="2" s="1"/>
  <c r="E37" i="2" s="1"/>
  <c r="E38" i="2" s="1"/>
  <c r="E39" i="2" s="1"/>
  <c r="E40" i="2" s="1"/>
  <c r="E41" i="2" s="1"/>
  <c r="E42" i="2" s="1"/>
  <c r="E43" i="2" s="1"/>
  <c r="E44" i="2" s="1"/>
  <c r="E45" i="2" s="1"/>
  <c r="E46" i="2" s="1"/>
  <c r="E47" i="2" s="1"/>
  <c r="E48" i="2" s="1"/>
  <c r="E49" i="2" s="1"/>
  <c r="E50" i="2" s="1"/>
  <c r="E51" i="2" s="1"/>
  <c r="E52" i="2" s="1"/>
  <c r="E53" i="2" s="1"/>
  <c r="E54" i="2" s="1"/>
  <c r="E55" i="2" s="1"/>
  <c r="E56" i="2" s="1"/>
  <c r="E57" i="2" s="1"/>
  <c r="E58" i="2" s="1"/>
  <c r="E59" i="2" s="1"/>
  <c r="E60" i="2" s="1"/>
  <c r="E61" i="2" s="1"/>
  <c r="E62" i="2" s="1"/>
  <c r="E63" i="2" s="1"/>
  <c r="E64" i="2" s="1"/>
  <c r="E65" i="2" s="1"/>
  <c r="E66" i="2" s="1"/>
  <c r="E67" i="2" s="1"/>
  <c r="E68" i="2" s="1"/>
  <c r="E69" i="2" s="1"/>
  <c r="E70" i="2" s="1"/>
  <c r="E71" i="2" s="1"/>
  <c r="E72" i="2" s="1"/>
  <c r="E73" i="2" s="1"/>
  <c r="E74" i="2" s="1"/>
  <c r="E75" i="2" s="1"/>
  <c r="E76" i="2" s="1"/>
  <c r="E77" i="2" s="1"/>
  <c r="E78" i="2" s="1"/>
  <c r="E79" i="2" s="1"/>
  <c r="E80" i="2" s="1"/>
  <c r="E81" i="2" s="1"/>
  <c r="E82" i="2" s="1"/>
  <c r="E83" i="2" s="1"/>
  <c r="E84" i="2" s="1"/>
  <c r="E85" i="2" s="1"/>
  <c r="E86" i="2" s="1"/>
  <c r="E87" i="2" s="1"/>
  <c r="E88" i="2" s="1"/>
  <c r="E89" i="2" s="1"/>
  <c r="E90" i="2" s="1"/>
  <c r="E91" i="2" s="1"/>
  <c r="E92" i="2" s="1"/>
  <c r="E93" i="2" s="1"/>
  <c r="E94" i="2" s="1"/>
  <c r="E95" i="2" s="1"/>
  <c r="E96" i="2" s="1"/>
  <c r="E97" i="2" s="1"/>
  <c r="E98" i="2" s="1"/>
  <c r="E99" i="2" s="1"/>
  <c r="E100" i="2" s="1"/>
  <c r="E101" i="2" s="1"/>
  <c r="E102" i="2" s="1"/>
  <c r="E103" i="2" s="1"/>
  <c r="E104" i="2" s="1"/>
  <c r="E105" i="2" s="1"/>
  <c r="E106" i="2" s="1"/>
  <c r="E107" i="2" s="1"/>
  <c r="E108" i="2" s="1"/>
  <c r="E109" i="2" s="1"/>
  <c r="E110" i="2" s="1"/>
  <c r="E111" i="2" s="1"/>
  <c r="E112" i="2" s="1"/>
  <c r="E113" i="2" s="1"/>
  <c r="E114" i="2" s="1"/>
  <c r="E115" i="2" s="1"/>
  <c r="E116" i="2" s="1"/>
  <c r="E117" i="2" s="1"/>
  <c r="E118" i="2" s="1"/>
  <c r="E119" i="2" s="1"/>
  <c r="E120" i="2" s="1"/>
  <c r="E121" i="2" s="1"/>
  <c r="E122" i="2" s="1"/>
  <c r="E123" i="2" s="1"/>
  <c r="E124" i="2" s="1"/>
  <c r="E125" i="2" s="1"/>
  <c r="E126" i="2" s="1"/>
  <c r="E127" i="2" s="1"/>
  <c r="E128" i="2" s="1"/>
  <c r="E129" i="2" s="1"/>
  <c r="E130" i="2" s="1"/>
  <c r="E131" i="2" s="1"/>
  <c r="E132" i="2" s="1"/>
  <c r="E133" i="2" s="1"/>
  <c r="E134" i="2" s="1"/>
  <c r="E135" i="2" s="1"/>
  <c r="E136" i="2" s="1"/>
  <c r="E137" i="2" s="1"/>
  <c r="E138" i="2" s="1"/>
  <c r="E139" i="2" s="1"/>
  <c r="E140" i="2" s="1"/>
  <c r="E141" i="2" s="1"/>
  <c r="E142" i="2" s="1"/>
  <c r="E143" i="2" s="1"/>
  <c r="E144" i="2" s="1"/>
  <c r="E145" i="2" s="1"/>
  <c r="E146" i="2" s="1"/>
  <c r="E147" i="2" s="1"/>
  <c r="E148" i="2" s="1"/>
  <c r="E149" i="2" s="1"/>
  <c r="E150" i="2" s="1"/>
  <c r="E151" i="2" s="1"/>
  <c r="E152" i="2" s="1"/>
  <c r="E153" i="2" s="1"/>
  <c r="E154" i="2" s="1"/>
  <c r="E155" i="2" s="1"/>
  <c r="E156" i="2" s="1"/>
  <c r="E157" i="2" s="1"/>
  <c r="E158" i="2" s="1"/>
  <c r="E159" i="2" s="1"/>
  <c r="E160" i="2" s="1"/>
  <c r="E161" i="2" s="1"/>
  <c r="E162" i="2" s="1"/>
  <c r="E163" i="2" s="1"/>
  <c r="E164" i="2" s="1"/>
  <c r="E165" i="2" s="1"/>
  <c r="E166" i="2" s="1"/>
  <c r="E167" i="2" s="1"/>
  <c r="E168" i="2" s="1"/>
  <c r="E169" i="2" s="1"/>
  <c r="E170" i="2" s="1"/>
  <c r="E171" i="2" s="1"/>
  <c r="E172" i="2" s="1"/>
  <c r="E173" i="2" s="1"/>
  <c r="E174" i="2" s="1"/>
  <c r="E175" i="2" s="1"/>
  <c r="E176" i="2" s="1"/>
  <c r="E177" i="2" s="1"/>
  <c r="E178" i="2" s="1"/>
  <c r="E179" i="2" s="1"/>
  <c r="E180" i="2" s="1"/>
  <c r="E181" i="2" s="1"/>
  <c r="E182" i="2" s="1"/>
  <c r="E183" i="2" s="1"/>
  <c r="E184" i="2" s="1"/>
  <c r="E185" i="2" s="1"/>
  <c r="E186" i="2" s="1"/>
  <c r="E187" i="2" s="1"/>
  <c r="E188" i="2" s="1"/>
  <c r="E189" i="2" s="1"/>
  <c r="E190" i="2" s="1"/>
  <c r="E191" i="2" s="1"/>
  <c r="E192" i="2" s="1"/>
  <c r="E193" i="2" s="1"/>
  <c r="E194" i="2" s="1"/>
  <c r="E195" i="2" s="1"/>
  <c r="E196" i="2" s="1"/>
  <c r="E197" i="2" s="1"/>
  <c r="E198" i="2" s="1"/>
  <c r="E199" i="2" s="1"/>
  <c r="E200" i="2" s="1"/>
  <c r="E201" i="2" s="1"/>
  <c r="E202" i="2" s="1"/>
  <c r="E203" i="2" s="1"/>
  <c r="E204" i="2" s="1"/>
  <c r="E205" i="2" s="1"/>
  <c r="E206" i="2" s="1"/>
  <c r="E207" i="2" s="1"/>
  <c r="E208" i="2" s="1"/>
  <c r="E209" i="2" s="1"/>
  <c r="E210" i="2" s="1"/>
  <c r="E211" i="2" s="1"/>
  <c r="E212" i="2" s="1"/>
  <c r="E213" i="2" s="1"/>
  <c r="E214" i="2" s="1"/>
  <c r="E215" i="2" s="1"/>
  <c r="E216" i="2" s="1"/>
  <c r="E217" i="2" s="1"/>
  <c r="E218" i="2" s="1"/>
  <c r="E219" i="2" s="1"/>
  <c r="E220" i="2" s="1"/>
  <c r="E221" i="2" s="1"/>
  <c r="E222" i="2" s="1"/>
  <c r="E223" i="2" s="1"/>
  <c r="E224" i="2" s="1"/>
  <c r="E225" i="2" s="1"/>
  <c r="E226" i="2" s="1"/>
  <c r="E227" i="2" s="1"/>
  <c r="E228" i="2" s="1"/>
  <c r="E229" i="2" s="1"/>
  <c r="E230" i="2" s="1"/>
  <c r="E231" i="2" s="1"/>
  <c r="E232" i="2" s="1"/>
  <c r="E233" i="2" s="1"/>
  <c r="E234" i="2" s="1"/>
  <c r="E235" i="2" s="1"/>
  <c r="E236" i="2" s="1"/>
  <c r="E237" i="2" s="1"/>
  <c r="E238" i="2" s="1"/>
  <c r="E239" i="2" s="1"/>
  <c r="E240" i="2" s="1"/>
  <c r="E241" i="2" s="1"/>
  <c r="E242" i="2" s="1"/>
  <c r="E243" i="2" s="1"/>
  <c r="E244" i="2" s="1"/>
  <c r="E245" i="2" s="1"/>
  <c r="E246" i="2" s="1"/>
  <c r="E247" i="2" s="1"/>
  <c r="E248" i="2" s="1"/>
  <c r="E249" i="2" s="1"/>
  <c r="E250" i="2" s="1"/>
  <c r="E251" i="2" s="1"/>
  <c r="E252" i="2" s="1"/>
  <c r="E253" i="2" s="1"/>
  <c r="E254" i="2" s="1"/>
  <c r="E255" i="2" s="1"/>
  <c r="E256" i="2" s="1"/>
  <c r="E257" i="2" s="1"/>
  <c r="E258" i="2" s="1"/>
  <c r="E259" i="2" s="1"/>
  <c r="E260" i="2" s="1"/>
  <c r="E261" i="2" s="1"/>
  <c r="E262" i="2" s="1"/>
  <c r="E263" i="2" s="1"/>
  <c r="E264" i="2" s="1"/>
  <c r="E265" i="2" s="1"/>
  <c r="E266" i="2" s="1"/>
  <c r="E267" i="2" s="1"/>
  <c r="E268" i="2" s="1"/>
  <c r="E269" i="2" s="1"/>
  <c r="E270" i="2" s="1"/>
  <c r="E271" i="2" s="1"/>
  <c r="E272" i="2" s="1"/>
  <c r="E273" i="2" s="1"/>
  <c r="E274" i="2" s="1"/>
  <c r="E275" i="2" s="1"/>
  <c r="E276" i="2" s="1"/>
  <c r="E277" i="2" s="1"/>
  <c r="E278" i="2" s="1"/>
  <c r="E279" i="2" s="1"/>
  <c r="E280" i="2" s="1"/>
  <c r="E281" i="2" s="1"/>
  <c r="E282" i="2" s="1"/>
  <c r="E283" i="2" s="1"/>
  <c r="E284" i="2" s="1"/>
  <c r="E285" i="2" s="1"/>
  <c r="E286" i="2" s="1"/>
  <c r="E287" i="2" s="1"/>
  <c r="E288" i="2" s="1"/>
  <c r="E289" i="2" s="1"/>
  <c r="E290" i="2" s="1"/>
  <c r="E291" i="2" s="1"/>
  <c r="E292" i="2" s="1"/>
  <c r="E293" i="2" s="1"/>
  <c r="E294" i="2" s="1"/>
  <c r="E295" i="2" s="1"/>
  <c r="E296" i="2" s="1"/>
  <c r="E297" i="2" s="1"/>
  <c r="E298" i="2" s="1"/>
  <c r="E299" i="2" s="1"/>
  <c r="E300" i="2" s="1"/>
  <c r="E301" i="2" s="1"/>
  <c r="E302" i="2" s="1"/>
  <c r="E303" i="2" s="1"/>
  <c r="E304" i="2" s="1"/>
  <c r="E305" i="2" s="1"/>
  <c r="E306" i="2" s="1"/>
  <c r="E307" i="2" s="1"/>
  <c r="E308" i="2" s="1"/>
  <c r="E309" i="2" s="1"/>
  <c r="E310" i="2" s="1"/>
  <c r="E311" i="2" s="1"/>
  <c r="E312" i="2" s="1"/>
  <c r="E313" i="2" s="1"/>
  <c r="E314" i="2" s="1"/>
  <c r="E315" i="2" s="1"/>
  <c r="E316" i="2" s="1"/>
  <c r="E317" i="2" s="1"/>
  <c r="E318" i="2" s="1"/>
  <c r="E319" i="2" s="1"/>
  <c r="E320" i="2" s="1"/>
  <c r="E321" i="2" s="1"/>
  <c r="E322" i="2" s="1"/>
  <c r="E323" i="2" s="1"/>
  <c r="E324" i="2" s="1"/>
  <c r="E325" i="2" s="1"/>
  <c r="E326" i="2" s="1"/>
  <c r="E327" i="2" s="1"/>
  <c r="E328" i="2" s="1"/>
  <c r="E329" i="2" s="1"/>
  <c r="E330" i="2" s="1"/>
  <c r="E331" i="2" s="1"/>
  <c r="E332" i="2" s="1"/>
  <c r="E333" i="2" s="1"/>
  <c r="E334" i="2" s="1"/>
  <c r="E335" i="2" s="1"/>
  <c r="E336" i="2" s="1"/>
  <c r="E337" i="2" s="1"/>
  <c r="E338" i="2" s="1"/>
  <c r="E339" i="2" s="1"/>
  <c r="E340" i="2" s="1"/>
  <c r="E341" i="2" s="1"/>
  <c r="E342" i="2" s="1"/>
  <c r="E343" i="2" s="1"/>
  <c r="E344" i="2" s="1"/>
  <c r="E345" i="2" s="1"/>
  <c r="E346" i="2" s="1"/>
  <c r="E347" i="2" s="1"/>
  <c r="E348" i="2" s="1"/>
  <c r="E349" i="2" s="1"/>
  <c r="E350" i="2" s="1"/>
  <c r="E351" i="2" s="1"/>
  <c r="E352" i="2" s="1"/>
  <c r="E353" i="2" s="1"/>
  <c r="E354" i="2" s="1"/>
  <c r="E355" i="2" s="1"/>
  <c r="E356" i="2" s="1"/>
  <c r="E357" i="2" s="1"/>
  <c r="E358" i="2" s="1"/>
  <c r="E359" i="2" s="1"/>
  <c r="E360" i="2" s="1"/>
  <c r="E361" i="2" s="1"/>
  <c r="E362" i="2" s="1"/>
  <c r="E363" i="2" s="1"/>
  <c r="E364" i="2" s="1"/>
  <c r="E365" i="2" s="1"/>
  <c r="E366" i="2" s="1"/>
  <c r="E367" i="2" s="1"/>
  <c r="E368" i="2" s="1"/>
  <c r="E369" i="2" s="1"/>
  <c r="E370" i="2" s="1"/>
  <c r="E371" i="2" s="1"/>
  <c r="E372" i="2" s="1"/>
  <c r="E373" i="2" s="1"/>
  <c r="E374" i="2" s="1"/>
  <c r="E375" i="2" s="1"/>
  <c r="E376" i="2" s="1"/>
  <c r="E377" i="2" s="1"/>
  <c r="E378" i="2" s="1"/>
  <c r="E379" i="2" s="1"/>
  <c r="E380" i="2" s="1"/>
  <c r="E381" i="2" s="1"/>
  <c r="E382" i="2" s="1"/>
  <c r="E383" i="2" s="1"/>
  <c r="E384" i="2" s="1"/>
  <c r="E385" i="2" s="1"/>
  <c r="E386" i="2" s="1"/>
  <c r="E387" i="2" s="1"/>
  <c r="E388" i="2" s="1"/>
  <c r="E389" i="2" s="1"/>
  <c r="E390" i="2" s="1"/>
  <c r="E391" i="2" s="1"/>
  <c r="E392" i="2" s="1"/>
  <c r="E393" i="2" s="1"/>
  <c r="E394" i="2" s="1"/>
  <c r="E395" i="2" s="1"/>
  <c r="E396" i="2" s="1"/>
  <c r="E397" i="2" s="1"/>
  <c r="E398" i="2" s="1"/>
  <c r="E399" i="2" s="1"/>
  <c r="E400" i="2" s="1"/>
  <c r="E401" i="2" s="1"/>
  <c r="E402" i="2" s="1"/>
  <c r="E403" i="2" s="1"/>
  <c r="E404" i="2" s="1"/>
  <c r="E405" i="2" s="1"/>
  <c r="E406" i="2" s="1"/>
  <c r="E407" i="2" s="1"/>
  <c r="E408" i="2" s="1"/>
  <c r="E409" i="2" s="1"/>
  <c r="E410" i="2" s="1"/>
  <c r="E411" i="2" s="1"/>
  <c r="E412" i="2" s="1"/>
  <c r="E413" i="2" s="1"/>
  <c r="E414" i="2" s="1"/>
  <c r="E415" i="2" s="1"/>
  <c r="E416" i="2" s="1"/>
  <c r="E417" i="2" s="1"/>
  <c r="E418" i="2" s="1"/>
  <c r="E419" i="2" s="1"/>
  <c r="E420" i="2" s="1"/>
  <c r="E421" i="2" s="1"/>
  <c r="E422" i="2" s="1"/>
  <c r="E423" i="2" s="1"/>
  <c r="E424" i="2" s="1"/>
  <c r="E425" i="2" s="1"/>
  <c r="E426" i="2" s="1"/>
  <c r="E427" i="2" s="1"/>
  <c r="E428" i="2" s="1"/>
  <c r="E429" i="2" s="1"/>
  <c r="E430" i="2" s="1"/>
  <c r="E431" i="2" s="1"/>
  <c r="E432" i="2" s="1"/>
  <c r="E433" i="2" s="1"/>
  <c r="E434" i="2" s="1"/>
  <c r="E435" i="2" s="1"/>
  <c r="E436" i="2" s="1"/>
  <c r="E437" i="2" s="1"/>
  <c r="E438" i="2" s="1"/>
  <c r="E439" i="2" s="1"/>
  <c r="E440" i="2" s="1"/>
  <c r="E441" i="2" s="1"/>
  <c r="E442" i="2" s="1"/>
  <c r="E443" i="2" s="1"/>
  <c r="E444" i="2" s="1"/>
  <c r="E445" i="2" s="1"/>
  <c r="E446" i="2" s="1"/>
  <c r="E447" i="2" s="1"/>
  <c r="E448" i="2" s="1"/>
  <c r="E449" i="2" s="1"/>
  <c r="E450" i="2" s="1"/>
  <c r="E451" i="2" s="1"/>
  <c r="E452" i="2" s="1"/>
  <c r="E453" i="2" s="1"/>
  <c r="E454" i="2" s="1"/>
  <c r="E455" i="2" s="1"/>
  <c r="E456" i="2" s="1"/>
  <c r="E457" i="2" s="1"/>
  <c r="E458" i="2" s="1"/>
  <c r="E459" i="2" s="1"/>
  <c r="E460" i="2" s="1"/>
  <c r="E461" i="2" s="1"/>
  <c r="E462" i="2" s="1"/>
  <c r="E463" i="2" s="1"/>
  <c r="E464" i="2" s="1"/>
  <c r="E465" i="2" s="1"/>
  <c r="E466" i="2" s="1"/>
  <c r="E467" i="2" s="1"/>
  <c r="E468" i="2" s="1"/>
  <c r="E469" i="2" s="1"/>
  <c r="E470" i="2" s="1"/>
  <c r="E471" i="2" s="1"/>
  <c r="E472" i="2" s="1"/>
  <c r="E473" i="2" s="1"/>
  <c r="E474" i="2" s="1"/>
  <c r="E475" i="2" s="1"/>
  <c r="E476" i="2" s="1"/>
  <c r="E477" i="2" s="1"/>
  <c r="E478" i="2" s="1"/>
  <c r="E479" i="2" s="1"/>
  <c r="E480" i="2" s="1"/>
  <c r="E481" i="2" s="1"/>
  <c r="E482" i="2" s="1"/>
  <c r="E483" i="2" s="1"/>
  <c r="E484" i="2" s="1"/>
  <c r="E485" i="2" s="1"/>
  <c r="E486" i="2" s="1"/>
  <c r="E487" i="2" s="1"/>
  <c r="E488" i="2" s="1"/>
  <c r="E489" i="2" s="1"/>
  <c r="E490" i="2" s="1"/>
  <c r="E491" i="2" s="1"/>
  <c r="E492" i="2" s="1"/>
  <c r="E493" i="2" s="1"/>
  <c r="E494" i="2" s="1"/>
  <c r="E495" i="2" s="1"/>
  <c r="E496" i="2" s="1"/>
  <c r="E497" i="2" s="1"/>
  <c r="E498" i="2" s="1"/>
  <c r="E499" i="2" s="1"/>
  <c r="E500" i="2" s="1"/>
  <c r="E501" i="2" s="1"/>
  <c r="E502" i="2" s="1"/>
  <c r="E503" i="2" s="1"/>
  <c r="E504" i="2" s="1"/>
  <c r="E505" i="2" s="1"/>
  <c r="E506" i="2" s="1"/>
  <c r="E507" i="2" s="1"/>
  <c r="E508" i="2" s="1"/>
  <c r="E509" i="2" s="1"/>
  <c r="E510" i="2" s="1"/>
  <c r="E511" i="2" s="1"/>
  <c r="E512" i="2" s="1"/>
  <c r="E513" i="2" s="1"/>
  <c r="E514" i="2" s="1"/>
  <c r="E515" i="2" s="1"/>
  <c r="E516" i="2" s="1"/>
  <c r="E517" i="2" s="1"/>
  <c r="E518" i="2" s="1"/>
  <c r="E519" i="2" s="1"/>
  <c r="E520" i="2" s="1"/>
  <c r="E521" i="2" s="1"/>
  <c r="E522" i="2" s="1"/>
  <c r="E523" i="2" s="1"/>
  <c r="E524" i="2" s="1"/>
  <c r="E525" i="2" s="1"/>
  <c r="E526" i="2" s="1"/>
  <c r="E527" i="2" s="1"/>
  <c r="E528" i="2" s="1"/>
  <c r="E529" i="2" s="1"/>
  <c r="E530" i="2" s="1"/>
  <c r="E531" i="2" s="1"/>
  <c r="E532" i="2" s="1"/>
  <c r="E533" i="2" s="1"/>
  <c r="E534" i="2" s="1"/>
  <c r="E535" i="2" s="1"/>
  <c r="E536" i="2" s="1"/>
  <c r="E537" i="2" s="1"/>
  <c r="E538" i="2" s="1"/>
  <c r="E539" i="2" s="1"/>
  <c r="E540" i="2" s="1"/>
  <c r="E541" i="2" s="1"/>
  <c r="E542" i="2" s="1"/>
  <c r="E543" i="2" s="1"/>
  <c r="E544" i="2" s="1"/>
  <c r="E545" i="2" s="1"/>
  <c r="E546" i="2" s="1"/>
  <c r="E547" i="2" s="1"/>
  <c r="E548" i="2" s="1"/>
  <c r="E549" i="2" s="1"/>
  <c r="E550" i="2" s="1"/>
  <c r="E551" i="2" s="1"/>
  <c r="E552" i="2" s="1"/>
  <c r="E553" i="2" s="1"/>
  <c r="E554" i="2" s="1"/>
  <c r="E555" i="2" s="1"/>
  <c r="E556" i="2" s="1"/>
  <c r="E557" i="2" s="1"/>
  <c r="E558" i="2" s="1"/>
  <c r="E559" i="2" s="1"/>
  <c r="E560" i="2" s="1"/>
  <c r="E561" i="2" s="1"/>
  <c r="E562" i="2" s="1"/>
  <c r="E563" i="2" s="1"/>
  <c r="E564" i="2" s="1"/>
  <c r="E565" i="2" s="1"/>
  <c r="E566" i="2" s="1"/>
  <c r="E567" i="2" s="1"/>
  <c r="E568" i="2" s="1"/>
  <c r="E569" i="2" s="1"/>
  <c r="E570" i="2" s="1"/>
  <c r="E571" i="2" s="1"/>
  <c r="E572" i="2" s="1"/>
  <c r="E573" i="2" s="1"/>
  <c r="E574" i="2" s="1"/>
  <c r="E575" i="2" s="1"/>
  <c r="E576" i="2" s="1"/>
  <c r="E577" i="2" s="1"/>
  <c r="E578" i="2" s="1"/>
  <c r="E579" i="2" s="1"/>
  <c r="E580" i="2" s="1"/>
  <c r="E581" i="2" s="1"/>
  <c r="E582" i="2" s="1"/>
  <c r="E583" i="2" s="1"/>
  <c r="E584" i="2" s="1"/>
  <c r="E585" i="2" s="1"/>
  <c r="E586" i="2" s="1"/>
  <c r="E587" i="2" s="1"/>
  <c r="E588" i="2" s="1"/>
  <c r="E589" i="2" s="1"/>
  <c r="E590" i="2" s="1"/>
  <c r="E591" i="2" s="1"/>
  <c r="E592" i="2" s="1"/>
  <c r="E593" i="2" s="1"/>
  <c r="E594" i="2" s="1"/>
  <c r="E595" i="2" s="1"/>
  <c r="E596" i="2" s="1"/>
  <c r="E597" i="2" s="1"/>
  <c r="E598" i="2" s="1"/>
  <c r="E599" i="2" s="1"/>
  <c r="E600" i="2" s="1"/>
  <c r="E601" i="2" s="1"/>
  <c r="E602" i="2" s="1"/>
  <c r="E603" i="2" s="1"/>
  <c r="E604" i="2" s="1"/>
  <c r="E605" i="2" s="1"/>
  <c r="E606" i="2" s="1"/>
  <c r="E607" i="2" s="1"/>
  <c r="E608" i="2" s="1"/>
  <c r="E609" i="2" s="1"/>
  <c r="E610" i="2" s="1"/>
  <c r="E611" i="2" s="1"/>
  <c r="E612" i="2" s="1"/>
  <c r="E613" i="2" s="1"/>
  <c r="E614" i="2" s="1"/>
  <c r="E615" i="2" s="1"/>
  <c r="E616" i="2" s="1"/>
  <c r="E617" i="2" s="1"/>
  <c r="E618" i="2" s="1"/>
  <c r="E619" i="2" s="1"/>
  <c r="E620" i="2" s="1"/>
  <c r="E621" i="2" s="1"/>
  <c r="E622" i="2" s="1"/>
  <c r="E623" i="2" s="1"/>
  <c r="E624" i="2" s="1"/>
  <c r="E625" i="2" s="1"/>
  <c r="E626" i="2" s="1"/>
  <c r="E627" i="2" s="1"/>
  <c r="E628" i="2" s="1"/>
  <c r="E629" i="2" s="1"/>
  <c r="E630" i="2" s="1"/>
  <c r="E631" i="2" s="1"/>
  <c r="E632" i="2" s="1"/>
  <c r="E633" i="2" s="1"/>
  <c r="E634" i="2" s="1"/>
  <c r="E635" i="2" s="1"/>
  <c r="E636" i="2" s="1"/>
  <c r="E637" i="2" s="1"/>
  <c r="E638" i="2" s="1"/>
  <c r="E639" i="2" s="1"/>
  <c r="E640" i="2" s="1"/>
  <c r="E641" i="2" s="1"/>
  <c r="E642" i="2" s="1"/>
  <c r="E643" i="2" s="1"/>
  <c r="E644" i="2" s="1"/>
  <c r="E645" i="2" s="1"/>
  <c r="E646" i="2" s="1"/>
  <c r="E647" i="2" s="1"/>
  <c r="E648" i="2" s="1"/>
  <c r="E649" i="2" s="1"/>
  <c r="E650" i="2" s="1"/>
  <c r="E651" i="2" s="1"/>
  <c r="E652" i="2" s="1"/>
  <c r="E653" i="2" s="1"/>
  <c r="E654" i="2" s="1"/>
  <c r="E655" i="2" s="1"/>
  <c r="E656" i="2" s="1"/>
  <c r="E657" i="2" s="1"/>
  <c r="E658" i="2" s="1"/>
  <c r="E659" i="2" s="1"/>
  <c r="E660" i="2" s="1"/>
  <c r="E661" i="2" s="1"/>
  <c r="E662" i="2" s="1"/>
  <c r="E663" i="2" s="1"/>
  <c r="E664" i="2" s="1"/>
  <c r="E665" i="2" s="1"/>
  <c r="E666" i="2" s="1"/>
  <c r="E667" i="2" s="1"/>
  <c r="E668" i="2" s="1"/>
  <c r="E669" i="2" s="1"/>
  <c r="E670" i="2" s="1"/>
  <c r="E671" i="2" s="1"/>
  <c r="E672" i="2" s="1"/>
  <c r="E673" i="2" s="1"/>
  <c r="E674" i="2" s="1"/>
  <c r="E675" i="2" s="1"/>
  <c r="E676" i="2" s="1"/>
  <c r="E677" i="2" s="1"/>
  <c r="E678" i="2" s="1"/>
  <c r="E679" i="2" s="1"/>
  <c r="E680" i="2" s="1"/>
  <c r="E681" i="2" s="1"/>
  <c r="E682" i="2" s="1"/>
  <c r="E683" i="2" s="1"/>
  <c r="E684" i="2" s="1"/>
  <c r="E685" i="2" s="1"/>
  <c r="E686" i="2" s="1"/>
  <c r="E687" i="2" s="1"/>
  <c r="E688" i="2" s="1"/>
  <c r="E689" i="2" s="1"/>
  <c r="E690" i="2" s="1"/>
  <c r="E691" i="2" s="1"/>
  <c r="E692" i="2" s="1"/>
  <c r="E693" i="2" s="1"/>
  <c r="E694" i="2" s="1"/>
  <c r="E695" i="2" s="1"/>
  <c r="E696" i="2" s="1"/>
  <c r="E697" i="2" s="1"/>
  <c r="E698" i="2" s="1"/>
  <c r="E699" i="2" s="1"/>
  <c r="E700" i="2" s="1"/>
  <c r="E701" i="2" s="1"/>
  <c r="E702" i="2" s="1"/>
  <c r="E703" i="2" s="1"/>
  <c r="E704" i="2" s="1"/>
  <c r="E705" i="2" s="1"/>
  <c r="E706" i="2" s="1"/>
  <c r="E707" i="2" s="1"/>
  <c r="E708" i="2" s="1"/>
  <c r="E709" i="2" s="1"/>
  <c r="E710" i="2" s="1"/>
  <c r="E711" i="2" s="1"/>
  <c r="E712" i="2" s="1"/>
  <c r="E713" i="2" s="1"/>
  <c r="E714" i="2" s="1"/>
  <c r="E715" i="2" s="1"/>
  <c r="E716" i="2" s="1"/>
  <c r="E717" i="2" s="1"/>
  <c r="E718" i="2" s="1"/>
  <c r="E719" i="2" s="1"/>
  <c r="E720" i="2" s="1"/>
  <c r="E721" i="2" s="1"/>
  <c r="E722" i="2" s="1"/>
  <c r="E723" i="2" s="1"/>
  <c r="E724" i="2" s="1"/>
  <c r="E725" i="2" s="1"/>
  <c r="E726" i="2" s="1"/>
  <c r="E727" i="2" s="1"/>
  <c r="E728" i="2" s="1"/>
  <c r="E729" i="2" s="1"/>
  <c r="E730" i="2" s="1"/>
  <c r="E731" i="2" s="1"/>
  <c r="E732" i="2" s="1"/>
  <c r="E733" i="2" s="1"/>
  <c r="E734" i="2" s="1"/>
  <c r="E735" i="2" s="1"/>
  <c r="E736" i="2" s="1"/>
  <c r="E737" i="2" s="1"/>
  <c r="E738" i="2" s="1"/>
  <c r="E739" i="2" s="1"/>
  <c r="E740" i="2" s="1"/>
  <c r="E741" i="2" s="1"/>
  <c r="E742" i="2" s="1"/>
  <c r="E743" i="2" s="1"/>
  <c r="E744" i="2" s="1"/>
  <c r="E745" i="2" s="1"/>
  <c r="E746" i="2" s="1"/>
  <c r="E747" i="2" s="1"/>
  <c r="E748" i="2" s="1"/>
  <c r="E749" i="2" s="1"/>
  <c r="E750" i="2" s="1"/>
  <c r="E751" i="2" s="1"/>
  <c r="E752" i="2" s="1"/>
  <c r="E753" i="2" s="1"/>
  <c r="E754" i="2" s="1"/>
  <c r="E755" i="2" s="1"/>
  <c r="E756" i="2" s="1"/>
  <c r="E757" i="2" s="1"/>
  <c r="E758" i="2" s="1"/>
  <c r="E759" i="2" s="1"/>
  <c r="E760" i="2" s="1"/>
  <c r="E761" i="2" s="1"/>
  <c r="E762" i="2" s="1"/>
  <c r="E763" i="2" s="1"/>
  <c r="E764" i="2" s="1"/>
  <c r="E765" i="2" s="1"/>
  <c r="E766" i="2" s="1"/>
  <c r="E767" i="2" s="1"/>
  <c r="E768" i="2" s="1"/>
  <c r="E769" i="2" s="1"/>
  <c r="E770" i="2" s="1"/>
  <c r="E771" i="2" s="1"/>
  <c r="E772" i="2" s="1"/>
  <c r="E773" i="2" s="1"/>
  <c r="E774" i="2" s="1"/>
  <c r="E775" i="2" s="1"/>
  <c r="E776" i="2" s="1"/>
  <c r="E777" i="2" s="1"/>
  <c r="E778" i="2" s="1"/>
  <c r="E779" i="2" s="1"/>
  <c r="E780" i="2" s="1"/>
  <c r="E781" i="2" s="1"/>
  <c r="E782" i="2" s="1"/>
  <c r="E783" i="2" s="1"/>
  <c r="E784" i="2" s="1"/>
  <c r="E785" i="2" s="1"/>
  <c r="E786" i="2" s="1"/>
  <c r="E787" i="2" s="1"/>
  <c r="E788" i="2" s="1"/>
  <c r="E789" i="2" s="1"/>
  <c r="E790" i="2" s="1"/>
  <c r="E791" i="2" s="1"/>
  <c r="E792" i="2" s="1"/>
  <c r="E793" i="2" s="1"/>
  <c r="E794" i="2" s="1"/>
  <c r="E795" i="2" s="1"/>
  <c r="E796" i="2" s="1"/>
  <c r="E797" i="2" s="1"/>
  <c r="E798" i="2" s="1"/>
  <c r="E799" i="2" s="1"/>
  <c r="E800" i="2" s="1"/>
  <c r="E801" i="2" s="1"/>
  <c r="E802" i="2" s="1"/>
  <c r="E803" i="2" s="1"/>
  <c r="E804" i="2" s="1"/>
  <c r="E805" i="2" s="1"/>
  <c r="E806" i="2" s="1"/>
  <c r="E807" i="2" s="1"/>
  <c r="E808" i="2" s="1"/>
  <c r="E809" i="2" s="1"/>
  <c r="E810" i="2" s="1"/>
  <c r="E811" i="2" s="1"/>
  <c r="E812" i="2" s="1"/>
  <c r="E813" i="2" s="1"/>
  <c r="E814" i="2" s="1"/>
  <c r="E815" i="2" s="1"/>
  <c r="E816" i="2" s="1"/>
  <c r="E817" i="2" s="1"/>
  <c r="E818" i="2" s="1"/>
  <c r="E819" i="2" s="1"/>
  <c r="E820" i="2" s="1"/>
  <c r="E821" i="2" s="1"/>
  <c r="E822" i="2" s="1"/>
  <c r="E823" i="2" s="1"/>
  <c r="E824" i="2" s="1"/>
  <c r="E825" i="2" s="1"/>
  <c r="E826" i="2" s="1"/>
  <c r="E827" i="2" s="1"/>
  <c r="E828" i="2" s="1"/>
  <c r="E829" i="2" s="1"/>
  <c r="E830" i="2" s="1"/>
  <c r="E831" i="2" s="1"/>
  <c r="E832" i="2" s="1"/>
  <c r="E833" i="2" s="1"/>
  <c r="E834" i="2" s="1"/>
  <c r="E835" i="2" s="1"/>
  <c r="E836" i="2" s="1"/>
  <c r="E837" i="2" s="1"/>
  <c r="E838" i="2" s="1"/>
  <c r="E839" i="2" s="1"/>
  <c r="E840" i="2" s="1"/>
  <c r="E841" i="2" s="1"/>
  <c r="E842" i="2" s="1"/>
  <c r="E843" i="2" s="1"/>
  <c r="E844" i="2" s="1"/>
  <c r="E845" i="2" s="1"/>
  <c r="E846" i="2" s="1"/>
  <c r="E847" i="2" s="1"/>
  <c r="E848" i="2" s="1"/>
  <c r="E849" i="2" s="1"/>
  <c r="E850" i="2" s="1"/>
  <c r="E851" i="2" s="1"/>
  <c r="E852" i="2" s="1"/>
  <c r="E853" i="2" s="1"/>
  <c r="E854" i="2" s="1"/>
  <c r="E855" i="2" s="1"/>
  <c r="E856" i="2" s="1"/>
  <c r="E857" i="2" s="1"/>
  <c r="E858" i="2" s="1"/>
  <c r="E859" i="2" s="1"/>
  <c r="E860" i="2" s="1"/>
  <c r="E861" i="2" s="1"/>
  <c r="E862" i="2" s="1"/>
  <c r="E863" i="2" s="1"/>
  <c r="E864" i="2" s="1"/>
  <c r="E865" i="2" s="1"/>
  <c r="E866" i="2" s="1"/>
  <c r="E867" i="2" s="1"/>
  <c r="E868" i="2" s="1"/>
  <c r="E869" i="2" s="1"/>
  <c r="E870" i="2" s="1"/>
  <c r="E871" i="2" s="1"/>
  <c r="E872" i="2" s="1"/>
  <c r="E873" i="2" s="1"/>
  <c r="E874" i="2" s="1"/>
  <c r="E875" i="2" s="1"/>
  <c r="E876" i="2" s="1"/>
  <c r="E877" i="2" s="1"/>
  <c r="E878" i="2" s="1"/>
  <c r="E879" i="2" s="1"/>
  <c r="E880" i="2" s="1"/>
  <c r="E881" i="2" s="1"/>
  <c r="E882" i="2" s="1"/>
  <c r="E883" i="2" s="1"/>
  <c r="E884" i="2" s="1"/>
  <c r="E885" i="2" s="1"/>
  <c r="E886" i="2" s="1"/>
  <c r="E887" i="2" s="1"/>
  <c r="E888" i="2" s="1"/>
  <c r="E889" i="2" s="1"/>
  <c r="E890" i="2" s="1"/>
  <c r="E891" i="2" s="1"/>
  <c r="E892" i="2" s="1"/>
  <c r="E893" i="2" s="1"/>
  <c r="E894" i="2" s="1"/>
  <c r="E895" i="2" s="1"/>
  <c r="E896" i="2" s="1"/>
  <c r="E897" i="2" s="1"/>
  <c r="E898" i="2" s="1"/>
  <c r="E899" i="2" s="1"/>
  <c r="E900" i="2" s="1"/>
  <c r="E901" i="2" s="1"/>
  <c r="E902" i="2" s="1"/>
  <c r="E903" i="2" s="1"/>
  <c r="E904" i="2" s="1"/>
  <c r="E905" i="2" s="1"/>
  <c r="E906" i="2" s="1"/>
  <c r="E907" i="2" s="1"/>
  <c r="E908" i="2" s="1"/>
  <c r="E909" i="2" s="1"/>
  <c r="E910" i="2" s="1"/>
  <c r="E911" i="2" s="1"/>
  <c r="E912" i="2" s="1"/>
  <c r="E913" i="2" s="1"/>
  <c r="E914" i="2" s="1"/>
  <c r="E915" i="2" s="1"/>
  <c r="E916" i="2" s="1"/>
  <c r="E917" i="2" s="1"/>
  <c r="E918" i="2" s="1"/>
  <c r="E919" i="2" s="1"/>
  <c r="E920" i="2" s="1"/>
  <c r="E921" i="2" s="1"/>
  <c r="E922" i="2" s="1"/>
  <c r="E923" i="2" s="1"/>
  <c r="E924" i="2" s="1"/>
  <c r="E925" i="2" s="1"/>
  <c r="E926" i="2" s="1"/>
  <c r="E927" i="2" s="1"/>
  <c r="E928" i="2" s="1"/>
  <c r="E929" i="2" s="1"/>
  <c r="E930" i="2" s="1"/>
  <c r="E931" i="2" s="1"/>
  <c r="E932" i="2" s="1"/>
  <c r="E933" i="2" s="1"/>
  <c r="E934" i="2" s="1"/>
  <c r="E935" i="2" s="1"/>
  <c r="E936" i="2" s="1"/>
  <c r="E937" i="2" s="1"/>
  <c r="E938" i="2" s="1"/>
  <c r="E939" i="2" s="1"/>
  <c r="E940" i="2" s="1"/>
  <c r="E941" i="2" s="1"/>
  <c r="E942" i="2" s="1"/>
  <c r="E943" i="2" s="1"/>
  <c r="E944" i="2" s="1"/>
  <c r="E945" i="2" s="1"/>
  <c r="E946" i="2" s="1"/>
  <c r="E947" i="2" s="1"/>
  <c r="E948" i="2" s="1"/>
  <c r="E949" i="2" s="1"/>
  <c r="E950" i="2" s="1"/>
  <c r="E951" i="2" s="1"/>
  <c r="E952" i="2" s="1"/>
  <c r="E953" i="2" s="1"/>
  <c r="E954" i="2" s="1"/>
  <c r="E955" i="2" s="1"/>
  <c r="E956" i="2" s="1"/>
  <c r="E957" i="2" s="1"/>
  <c r="E958" i="2" s="1"/>
  <c r="E959" i="2" s="1"/>
  <c r="E960" i="2" s="1"/>
  <c r="E961" i="2" s="1"/>
  <c r="E962" i="2" s="1"/>
  <c r="E963" i="2" s="1"/>
  <c r="E964" i="2" s="1"/>
  <c r="E965" i="2" s="1"/>
  <c r="E966" i="2" s="1"/>
  <c r="E967" i="2" s="1"/>
  <c r="E968" i="2" s="1"/>
  <c r="E969" i="2" s="1"/>
  <c r="E970" i="2" s="1"/>
  <c r="E971" i="2" s="1"/>
  <c r="E972" i="2" s="1"/>
  <c r="E973" i="2" s="1"/>
  <c r="E974" i="2" s="1"/>
  <c r="E975" i="2" s="1"/>
  <c r="E976" i="2" s="1"/>
  <c r="E977" i="2" s="1"/>
  <c r="E978" i="2" s="1"/>
  <c r="E979" i="2" s="1"/>
  <c r="E980" i="2" s="1"/>
  <c r="E981" i="2" s="1"/>
  <c r="E982" i="2" s="1"/>
  <c r="E983" i="2" s="1"/>
  <c r="E984" i="2" s="1"/>
  <c r="E985" i="2" s="1"/>
  <c r="E986" i="2" s="1"/>
  <c r="E987" i="2" s="1"/>
  <c r="E988" i="2" s="1"/>
  <c r="E989" i="2" s="1"/>
  <c r="E990" i="2" s="1"/>
  <c r="E991" i="2" s="1"/>
  <c r="E992" i="2" s="1"/>
  <c r="E993" i="2" s="1"/>
  <c r="E994" i="2" s="1"/>
  <c r="E995" i="2" s="1"/>
  <c r="E996" i="2" s="1"/>
  <c r="E997" i="2" s="1"/>
  <c r="E998" i="2" s="1"/>
  <c r="E999" i="2" s="1"/>
  <c r="E1000" i="2" s="1"/>
  <c r="E1001" i="2" s="1"/>
  <c r="D2" i="2"/>
  <c r="G7" i="3" l="1"/>
  <c r="H7" i="3" s="1"/>
  <c r="I7" i="3" s="1"/>
  <c r="G8" i="3"/>
  <c r="H8" i="3" s="1"/>
  <c r="I8" i="3" s="1"/>
  <c r="G123" i="3"/>
  <c r="H123" i="3" s="1"/>
  <c r="I123" i="3" s="1"/>
  <c r="G124" i="3"/>
  <c r="H124" i="3" s="1"/>
  <c r="I124" i="3" s="1"/>
  <c r="G125" i="3"/>
  <c r="H125" i="3" s="1"/>
  <c r="I125" i="3" s="1"/>
  <c r="G126" i="3"/>
  <c r="H126" i="3" s="1"/>
  <c r="I126" i="3" s="1"/>
  <c r="G127" i="3"/>
  <c r="H127" i="3" s="1"/>
  <c r="I127" i="3" s="1"/>
  <c r="G128" i="3"/>
  <c r="H128" i="3" s="1"/>
  <c r="I128" i="3" s="1"/>
  <c r="G129" i="3"/>
  <c r="H129" i="3" s="1"/>
  <c r="I129" i="3" s="1"/>
  <c r="G130" i="3"/>
  <c r="H130" i="3" s="1"/>
  <c r="I130" i="3" s="1"/>
  <c r="G131" i="3"/>
  <c r="H131" i="3" s="1"/>
  <c r="I131" i="3" s="1"/>
  <c r="G132" i="3"/>
  <c r="H132" i="3" s="1"/>
  <c r="I132" i="3" s="1"/>
  <c r="G133" i="3"/>
  <c r="H133" i="3" s="1"/>
  <c r="I133" i="3" s="1"/>
  <c r="G134" i="3"/>
  <c r="H134" i="3" s="1"/>
  <c r="I134" i="3" s="1"/>
  <c r="G135" i="3"/>
  <c r="H135" i="3" s="1"/>
  <c r="I135" i="3" s="1"/>
  <c r="G136" i="3"/>
  <c r="H136" i="3" s="1"/>
  <c r="I136" i="3" s="1"/>
  <c r="G137" i="3"/>
  <c r="H137" i="3" s="1"/>
  <c r="I137" i="3" s="1"/>
  <c r="G138" i="3"/>
  <c r="H138" i="3" s="1"/>
  <c r="I138" i="3" s="1"/>
  <c r="G139" i="3"/>
  <c r="H139" i="3" s="1"/>
  <c r="I139" i="3" s="1"/>
  <c r="G140" i="3"/>
  <c r="H140" i="3" s="1"/>
  <c r="I140" i="3" s="1"/>
  <c r="G141" i="3"/>
  <c r="H141" i="3" s="1"/>
  <c r="I141" i="3" s="1"/>
  <c r="G142" i="3"/>
  <c r="H142" i="3" s="1"/>
  <c r="I142" i="3" s="1"/>
  <c r="G143" i="3"/>
  <c r="H143" i="3" s="1"/>
  <c r="I143" i="3" s="1"/>
  <c r="G144" i="3"/>
  <c r="H144" i="3" s="1"/>
  <c r="I144" i="3" s="1"/>
  <c r="G145" i="3"/>
  <c r="H145" i="3" s="1"/>
  <c r="I145" i="3" s="1"/>
  <c r="G146" i="3"/>
  <c r="H146" i="3" s="1"/>
  <c r="I146" i="3" s="1"/>
  <c r="G147" i="3"/>
  <c r="H147" i="3" s="1"/>
  <c r="I147" i="3" s="1"/>
  <c r="G148" i="3"/>
  <c r="H148" i="3" s="1"/>
  <c r="I148" i="3" s="1"/>
  <c r="G149" i="3"/>
  <c r="H149" i="3" s="1"/>
  <c r="I149" i="3" s="1"/>
  <c r="G150" i="3"/>
  <c r="H150" i="3" s="1"/>
  <c r="I150" i="3" s="1"/>
  <c r="G151" i="3"/>
  <c r="H151" i="3" s="1"/>
  <c r="I151" i="3" s="1"/>
  <c r="G152" i="3"/>
  <c r="H152" i="3" s="1"/>
  <c r="I152" i="3" s="1"/>
  <c r="G153" i="3"/>
  <c r="H153" i="3" s="1"/>
  <c r="I153" i="3" s="1"/>
  <c r="G154" i="3"/>
  <c r="H154" i="3" s="1"/>
  <c r="I154" i="3" s="1"/>
  <c r="G155" i="3"/>
  <c r="H155" i="3" s="1"/>
  <c r="I155" i="3" s="1"/>
  <c r="G156" i="3"/>
  <c r="H156" i="3" s="1"/>
  <c r="I156" i="3" s="1"/>
  <c r="G157" i="3"/>
  <c r="H157" i="3" s="1"/>
  <c r="I157" i="3" s="1"/>
  <c r="G158" i="3"/>
  <c r="H158" i="3" s="1"/>
  <c r="I158" i="3" s="1"/>
  <c r="G159" i="3"/>
  <c r="H159" i="3" s="1"/>
  <c r="I159" i="3" s="1"/>
  <c r="G160" i="3"/>
  <c r="H160" i="3" s="1"/>
  <c r="I160" i="3" s="1"/>
  <c r="G161" i="3"/>
  <c r="H161" i="3" s="1"/>
  <c r="I161" i="3" s="1"/>
  <c r="G162" i="3"/>
  <c r="H162" i="3" s="1"/>
  <c r="I162" i="3" s="1"/>
  <c r="G163" i="3"/>
  <c r="H163" i="3" s="1"/>
  <c r="I163" i="3" s="1"/>
  <c r="G164" i="3"/>
  <c r="H164" i="3" s="1"/>
  <c r="I164" i="3" s="1"/>
  <c r="G165" i="3"/>
  <c r="H165" i="3" s="1"/>
  <c r="I165" i="3" s="1"/>
  <c r="G166" i="3"/>
  <c r="H166" i="3" s="1"/>
  <c r="I166" i="3" s="1"/>
  <c r="G167" i="3"/>
  <c r="H167" i="3" s="1"/>
  <c r="I167" i="3" s="1"/>
  <c r="G168" i="3"/>
  <c r="H168" i="3" s="1"/>
  <c r="I168" i="3" s="1"/>
  <c r="G169" i="3"/>
  <c r="H169" i="3" s="1"/>
  <c r="I169" i="3" s="1"/>
  <c r="G170" i="3"/>
  <c r="H170" i="3" s="1"/>
  <c r="I170" i="3" s="1"/>
  <c r="G171" i="3"/>
  <c r="H171" i="3" s="1"/>
  <c r="I171" i="3" s="1"/>
  <c r="G172" i="3"/>
  <c r="H172" i="3" s="1"/>
  <c r="I172" i="3" s="1"/>
  <c r="G173" i="3"/>
  <c r="H173" i="3" s="1"/>
  <c r="I173" i="3" s="1"/>
  <c r="G174" i="3"/>
  <c r="H174" i="3" s="1"/>
  <c r="I174" i="3" s="1"/>
  <c r="G175" i="3"/>
  <c r="H175" i="3" s="1"/>
  <c r="I175" i="3" s="1"/>
  <c r="G176" i="3"/>
  <c r="H176" i="3" s="1"/>
  <c r="I176" i="3" s="1"/>
  <c r="G177" i="3"/>
  <c r="H177" i="3" s="1"/>
  <c r="I177" i="3" s="1"/>
  <c r="G178" i="3"/>
  <c r="H178" i="3" s="1"/>
  <c r="I178" i="3" s="1"/>
  <c r="G179" i="3"/>
  <c r="H179" i="3" s="1"/>
  <c r="I179" i="3" s="1"/>
  <c r="G180" i="3"/>
  <c r="H180" i="3" s="1"/>
  <c r="I180" i="3" s="1"/>
  <c r="G181" i="3"/>
  <c r="H181" i="3" s="1"/>
  <c r="I181" i="3" s="1"/>
  <c r="G182" i="3"/>
  <c r="H182" i="3" s="1"/>
  <c r="I182" i="3" s="1"/>
  <c r="G183" i="3"/>
  <c r="H183" i="3" s="1"/>
  <c r="I183" i="3" s="1"/>
  <c r="G184" i="3"/>
  <c r="H184" i="3" s="1"/>
  <c r="I184" i="3" s="1"/>
  <c r="G185" i="3"/>
  <c r="H185" i="3" s="1"/>
  <c r="I185" i="3" s="1"/>
  <c r="G186" i="3"/>
  <c r="H186" i="3" s="1"/>
  <c r="I186" i="3" s="1"/>
  <c r="G187" i="3"/>
  <c r="H187" i="3" s="1"/>
  <c r="I187" i="3" s="1"/>
  <c r="G188" i="3"/>
  <c r="H188" i="3" s="1"/>
  <c r="I188" i="3" s="1"/>
  <c r="G189" i="3"/>
  <c r="H189" i="3" s="1"/>
  <c r="I189" i="3" s="1"/>
  <c r="G190" i="3"/>
  <c r="H190" i="3" s="1"/>
  <c r="I190" i="3" s="1"/>
  <c r="G191" i="3"/>
  <c r="H191" i="3" s="1"/>
  <c r="I191" i="3" s="1"/>
  <c r="G192" i="3"/>
  <c r="H192" i="3" s="1"/>
  <c r="I192" i="3" s="1"/>
  <c r="G193" i="3"/>
  <c r="H193" i="3" s="1"/>
  <c r="I193" i="3" s="1"/>
  <c r="G194" i="3"/>
  <c r="H194" i="3" s="1"/>
  <c r="I194" i="3" s="1"/>
  <c r="G195" i="3"/>
  <c r="H195" i="3" s="1"/>
  <c r="I195" i="3" s="1"/>
  <c r="G196" i="3"/>
  <c r="H196" i="3" s="1"/>
  <c r="I196" i="3" s="1"/>
  <c r="G197" i="3"/>
  <c r="H197" i="3" s="1"/>
  <c r="I197" i="3" s="1"/>
  <c r="G198" i="3"/>
  <c r="H198" i="3" s="1"/>
  <c r="I198" i="3" s="1"/>
  <c r="G199" i="3"/>
  <c r="H199" i="3" s="1"/>
  <c r="I199" i="3" s="1"/>
  <c r="G200" i="3"/>
  <c r="H200" i="3" s="1"/>
  <c r="I200" i="3" s="1"/>
  <c r="G201" i="3"/>
  <c r="H201" i="3" s="1"/>
  <c r="I201" i="3" s="1"/>
  <c r="G202" i="3"/>
  <c r="H202" i="3" s="1"/>
  <c r="I202" i="3" s="1"/>
  <c r="G203" i="3"/>
  <c r="H203" i="3" s="1"/>
  <c r="I203" i="3" s="1"/>
  <c r="G204" i="3"/>
  <c r="H204" i="3" s="1"/>
  <c r="I204" i="3" s="1"/>
  <c r="G205" i="3"/>
  <c r="H205" i="3" s="1"/>
  <c r="I205" i="3" s="1"/>
  <c r="G206" i="3"/>
  <c r="H206" i="3" s="1"/>
  <c r="I206" i="3" s="1"/>
  <c r="G207" i="3"/>
  <c r="H207" i="3" s="1"/>
  <c r="I207" i="3" s="1"/>
  <c r="G208" i="3"/>
  <c r="H208" i="3" s="1"/>
  <c r="I208" i="3" s="1"/>
  <c r="G209" i="3"/>
  <c r="H209" i="3" s="1"/>
  <c r="I209" i="3" s="1"/>
  <c r="G210" i="3"/>
  <c r="H210" i="3" s="1"/>
  <c r="I210" i="3" s="1"/>
  <c r="G211" i="3"/>
  <c r="H211" i="3" s="1"/>
  <c r="I211" i="3" s="1"/>
  <c r="G212" i="3"/>
  <c r="H212" i="3" s="1"/>
  <c r="I212" i="3" s="1"/>
  <c r="G213" i="3"/>
  <c r="H213" i="3" s="1"/>
  <c r="I213" i="3" s="1"/>
  <c r="G214" i="3"/>
  <c r="H214" i="3" s="1"/>
  <c r="I214" i="3" s="1"/>
  <c r="G215" i="3"/>
  <c r="H215" i="3" s="1"/>
  <c r="I215" i="3" s="1"/>
  <c r="G216" i="3"/>
  <c r="H216" i="3" s="1"/>
  <c r="I216" i="3" s="1"/>
  <c r="G217" i="3"/>
  <c r="H217" i="3" s="1"/>
  <c r="I217" i="3" s="1"/>
  <c r="G218" i="3"/>
  <c r="H218" i="3" s="1"/>
  <c r="I218" i="3" s="1"/>
  <c r="G219" i="3"/>
  <c r="H219" i="3" s="1"/>
  <c r="I219" i="3" s="1"/>
  <c r="G220" i="3"/>
  <c r="H220" i="3" s="1"/>
  <c r="I220" i="3" s="1"/>
  <c r="G221" i="3"/>
  <c r="H221" i="3" s="1"/>
  <c r="I221" i="3" s="1"/>
  <c r="G222" i="3"/>
  <c r="H222" i="3" s="1"/>
  <c r="I222" i="3" s="1"/>
  <c r="G223" i="3"/>
  <c r="H223" i="3" s="1"/>
  <c r="I223" i="3" s="1"/>
  <c r="G224" i="3"/>
  <c r="H224" i="3" s="1"/>
  <c r="I224" i="3" s="1"/>
  <c r="G225" i="3"/>
  <c r="H225" i="3" s="1"/>
  <c r="I225" i="3" s="1"/>
  <c r="G226" i="3"/>
  <c r="H226" i="3" s="1"/>
  <c r="I226" i="3" s="1"/>
  <c r="G227" i="3"/>
  <c r="H227" i="3" s="1"/>
  <c r="I227" i="3" s="1"/>
  <c r="G228" i="3"/>
  <c r="H228" i="3" s="1"/>
  <c r="I228" i="3" s="1"/>
  <c r="G229" i="3"/>
  <c r="H229" i="3" s="1"/>
  <c r="I229" i="3" s="1"/>
  <c r="G230" i="3"/>
  <c r="H230" i="3" s="1"/>
  <c r="I230" i="3" s="1"/>
  <c r="G231" i="3"/>
  <c r="H231" i="3" s="1"/>
  <c r="I231" i="3" s="1"/>
  <c r="G232" i="3"/>
  <c r="H232" i="3" s="1"/>
  <c r="I232" i="3" s="1"/>
  <c r="G233" i="3"/>
  <c r="H233" i="3" s="1"/>
  <c r="I233" i="3" s="1"/>
  <c r="G234" i="3"/>
  <c r="H234" i="3" s="1"/>
  <c r="I234" i="3" s="1"/>
  <c r="G235" i="3"/>
  <c r="H235" i="3" s="1"/>
  <c r="I235" i="3" s="1"/>
  <c r="G236" i="3"/>
  <c r="H236" i="3" s="1"/>
  <c r="I236" i="3" s="1"/>
  <c r="G237" i="3"/>
  <c r="H237" i="3" s="1"/>
  <c r="I237" i="3" s="1"/>
  <c r="G238" i="3"/>
  <c r="H238" i="3" s="1"/>
  <c r="I238" i="3" s="1"/>
  <c r="G239" i="3"/>
  <c r="H239" i="3" s="1"/>
  <c r="I239" i="3" s="1"/>
  <c r="G240" i="3"/>
  <c r="H240" i="3" s="1"/>
  <c r="I240" i="3" s="1"/>
  <c r="G241" i="3"/>
  <c r="H241" i="3" s="1"/>
  <c r="I241" i="3" s="1"/>
  <c r="G242" i="3"/>
  <c r="H242" i="3" s="1"/>
  <c r="I242" i="3" s="1"/>
  <c r="G243" i="3"/>
  <c r="H243" i="3" s="1"/>
  <c r="I243" i="3" s="1"/>
  <c r="G244" i="3"/>
  <c r="H244" i="3" s="1"/>
  <c r="I244" i="3" s="1"/>
  <c r="G245" i="3"/>
  <c r="H245" i="3" s="1"/>
  <c r="I245" i="3" s="1"/>
  <c r="G246" i="3"/>
  <c r="H246" i="3" s="1"/>
  <c r="I246" i="3" s="1"/>
  <c r="G247" i="3"/>
  <c r="H247" i="3" s="1"/>
  <c r="I247" i="3" s="1"/>
  <c r="G248" i="3"/>
  <c r="H248" i="3" s="1"/>
  <c r="I248" i="3" s="1"/>
  <c r="G249" i="3"/>
  <c r="H249" i="3" s="1"/>
  <c r="I249" i="3" s="1"/>
  <c r="G250" i="3"/>
  <c r="H250" i="3" s="1"/>
  <c r="I250" i="3" s="1"/>
  <c r="G251" i="3"/>
  <c r="H251" i="3" s="1"/>
  <c r="I251" i="3" s="1"/>
  <c r="G252" i="3"/>
  <c r="H252" i="3" s="1"/>
  <c r="I252" i="3" s="1"/>
  <c r="G253" i="3"/>
  <c r="H253" i="3" s="1"/>
  <c r="I253" i="3" s="1"/>
  <c r="G254" i="3"/>
  <c r="H254" i="3" s="1"/>
  <c r="I254" i="3" s="1"/>
  <c r="G255" i="3"/>
  <c r="H255" i="3" s="1"/>
  <c r="I255" i="3" s="1"/>
  <c r="G256" i="3"/>
  <c r="H256" i="3" s="1"/>
  <c r="I256" i="3" s="1"/>
  <c r="G257" i="3"/>
  <c r="H257" i="3" s="1"/>
  <c r="I257" i="3" s="1"/>
  <c r="G258" i="3"/>
  <c r="H258" i="3" s="1"/>
  <c r="I258" i="3" s="1"/>
  <c r="G259" i="3"/>
  <c r="H259" i="3" s="1"/>
  <c r="I259" i="3" s="1"/>
  <c r="G260" i="3"/>
  <c r="H260" i="3" s="1"/>
  <c r="I260" i="3" s="1"/>
  <c r="G261" i="3"/>
  <c r="H261" i="3" s="1"/>
  <c r="I261" i="3" s="1"/>
  <c r="G262" i="3"/>
  <c r="H262" i="3" s="1"/>
  <c r="I262" i="3" s="1"/>
  <c r="G263" i="3"/>
  <c r="H263" i="3" s="1"/>
  <c r="I263" i="3" s="1"/>
  <c r="G264" i="3"/>
  <c r="H264" i="3" s="1"/>
  <c r="I264" i="3" s="1"/>
  <c r="G265" i="3"/>
  <c r="H265" i="3" s="1"/>
  <c r="I265" i="3" s="1"/>
  <c r="G266" i="3"/>
  <c r="H266" i="3" s="1"/>
  <c r="I266" i="3" s="1"/>
  <c r="G267" i="3"/>
  <c r="H267" i="3" s="1"/>
  <c r="I267" i="3" s="1"/>
  <c r="G268" i="3"/>
  <c r="H268" i="3" s="1"/>
  <c r="I268" i="3" s="1"/>
  <c r="G269" i="3"/>
  <c r="H269" i="3" s="1"/>
  <c r="I269" i="3" s="1"/>
  <c r="G270" i="3"/>
  <c r="H270" i="3" s="1"/>
  <c r="I270" i="3" s="1"/>
  <c r="G271" i="3"/>
  <c r="H271" i="3" s="1"/>
  <c r="I271" i="3" s="1"/>
  <c r="G272" i="3"/>
  <c r="H272" i="3" s="1"/>
  <c r="I272" i="3" s="1"/>
  <c r="G273" i="3"/>
  <c r="H273" i="3" s="1"/>
  <c r="I273" i="3" s="1"/>
  <c r="G274" i="3"/>
  <c r="H274" i="3" s="1"/>
  <c r="I274" i="3" s="1"/>
  <c r="G275" i="3"/>
  <c r="H275" i="3" s="1"/>
  <c r="I275" i="3" s="1"/>
  <c r="G276" i="3"/>
  <c r="H276" i="3" s="1"/>
  <c r="I276" i="3" s="1"/>
  <c r="G277" i="3"/>
  <c r="H277" i="3" s="1"/>
  <c r="I277" i="3" s="1"/>
  <c r="G278" i="3"/>
  <c r="H278" i="3" s="1"/>
  <c r="I278" i="3" s="1"/>
  <c r="G279" i="3"/>
  <c r="H279" i="3" s="1"/>
  <c r="I279" i="3" s="1"/>
  <c r="G280" i="3"/>
  <c r="H280" i="3" s="1"/>
  <c r="I280" i="3" s="1"/>
  <c r="G281" i="3"/>
  <c r="H281" i="3" s="1"/>
  <c r="I281" i="3" s="1"/>
  <c r="G282" i="3"/>
  <c r="H282" i="3" s="1"/>
  <c r="I282" i="3" s="1"/>
  <c r="G283" i="3"/>
  <c r="H283" i="3" s="1"/>
  <c r="I283" i="3" s="1"/>
  <c r="G284" i="3"/>
  <c r="H284" i="3" s="1"/>
  <c r="I284" i="3" s="1"/>
  <c r="G285" i="3"/>
  <c r="H285" i="3" s="1"/>
  <c r="I285" i="3" s="1"/>
  <c r="G286" i="3"/>
  <c r="H286" i="3" s="1"/>
  <c r="I286" i="3" s="1"/>
  <c r="G287" i="3"/>
  <c r="H287" i="3" s="1"/>
  <c r="I287" i="3" s="1"/>
  <c r="G288" i="3"/>
  <c r="H288" i="3" s="1"/>
  <c r="I288" i="3" s="1"/>
  <c r="G289" i="3"/>
  <c r="H289" i="3" s="1"/>
  <c r="I289" i="3" s="1"/>
  <c r="G290" i="3"/>
  <c r="H290" i="3" s="1"/>
  <c r="I290" i="3" s="1"/>
  <c r="G291" i="3"/>
  <c r="H291" i="3" s="1"/>
  <c r="I291" i="3" s="1"/>
  <c r="G292" i="3"/>
  <c r="H292" i="3" s="1"/>
  <c r="I292" i="3" s="1"/>
  <c r="G293" i="3"/>
  <c r="H293" i="3" s="1"/>
  <c r="I293" i="3" s="1"/>
  <c r="G294" i="3"/>
  <c r="H294" i="3" s="1"/>
  <c r="I294" i="3" s="1"/>
  <c r="G295" i="3"/>
  <c r="H295" i="3" s="1"/>
  <c r="I295" i="3" s="1"/>
  <c r="G296" i="3"/>
  <c r="H296" i="3" s="1"/>
  <c r="I296" i="3" s="1"/>
  <c r="G297" i="3"/>
  <c r="H297" i="3" s="1"/>
  <c r="I297" i="3" s="1"/>
  <c r="G298" i="3"/>
  <c r="H298" i="3" s="1"/>
  <c r="I298" i="3" s="1"/>
  <c r="G299" i="3"/>
  <c r="H299" i="3" s="1"/>
  <c r="I299" i="3" s="1"/>
  <c r="G300" i="3"/>
  <c r="H300" i="3" s="1"/>
  <c r="I300" i="3" s="1"/>
  <c r="G301" i="3"/>
  <c r="H301" i="3" s="1"/>
  <c r="I301" i="3" s="1"/>
  <c r="G302" i="3"/>
  <c r="H302" i="3" s="1"/>
  <c r="I302" i="3" s="1"/>
  <c r="G303" i="3"/>
  <c r="H303" i="3" s="1"/>
  <c r="I303" i="3" s="1"/>
  <c r="G304" i="3"/>
  <c r="H304" i="3" s="1"/>
  <c r="I304" i="3" s="1"/>
  <c r="G305" i="3"/>
  <c r="H305" i="3" s="1"/>
  <c r="I305" i="3" s="1"/>
  <c r="G306" i="3"/>
  <c r="H306" i="3" s="1"/>
  <c r="I306" i="3" s="1"/>
  <c r="G307" i="3"/>
  <c r="H307" i="3" s="1"/>
  <c r="I307" i="3" s="1"/>
  <c r="G308" i="3"/>
  <c r="H308" i="3" s="1"/>
  <c r="I308" i="3" s="1"/>
  <c r="G309" i="3"/>
  <c r="H309" i="3" s="1"/>
  <c r="I309" i="3" s="1"/>
  <c r="G310" i="3"/>
  <c r="H310" i="3" s="1"/>
  <c r="I310" i="3" s="1"/>
  <c r="G311" i="3"/>
  <c r="H311" i="3" s="1"/>
  <c r="I311" i="3" s="1"/>
  <c r="G312" i="3"/>
  <c r="H312" i="3" s="1"/>
  <c r="I312" i="3" s="1"/>
  <c r="G313" i="3"/>
  <c r="H313" i="3" s="1"/>
  <c r="I313" i="3" s="1"/>
  <c r="G314" i="3"/>
  <c r="H314" i="3" s="1"/>
  <c r="I314" i="3" s="1"/>
  <c r="G315" i="3"/>
  <c r="H315" i="3" s="1"/>
  <c r="I315" i="3" s="1"/>
  <c r="G316" i="3"/>
  <c r="H316" i="3" s="1"/>
  <c r="I316" i="3" s="1"/>
  <c r="G317" i="3"/>
  <c r="H317" i="3" s="1"/>
  <c r="I317" i="3" s="1"/>
  <c r="G318" i="3"/>
  <c r="H318" i="3" s="1"/>
  <c r="I318" i="3" s="1"/>
  <c r="G319" i="3"/>
  <c r="H319" i="3" s="1"/>
  <c r="I319" i="3" s="1"/>
  <c r="G320" i="3"/>
  <c r="H320" i="3" s="1"/>
  <c r="I320" i="3" s="1"/>
  <c r="G321" i="3"/>
  <c r="H321" i="3" s="1"/>
  <c r="I321" i="3" s="1"/>
  <c r="G322" i="3"/>
  <c r="H322" i="3" s="1"/>
  <c r="I322" i="3" s="1"/>
  <c r="G323" i="3"/>
  <c r="H323" i="3" s="1"/>
  <c r="I323" i="3" s="1"/>
  <c r="G324" i="3"/>
  <c r="H324" i="3" s="1"/>
  <c r="I324" i="3" s="1"/>
  <c r="G325" i="3"/>
  <c r="H325" i="3" s="1"/>
  <c r="I325" i="3" s="1"/>
  <c r="G326" i="3"/>
  <c r="H326" i="3" s="1"/>
  <c r="I326" i="3" s="1"/>
  <c r="G327" i="3"/>
  <c r="H327" i="3" s="1"/>
  <c r="I327" i="3" s="1"/>
  <c r="G328" i="3"/>
  <c r="H328" i="3" s="1"/>
  <c r="I328" i="3" s="1"/>
  <c r="G329" i="3"/>
  <c r="H329" i="3" s="1"/>
  <c r="I329" i="3" s="1"/>
  <c r="G330" i="3"/>
  <c r="H330" i="3" s="1"/>
  <c r="I330" i="3" s="1"/>
  <c r="G331" i="3"/>
  <c r="H331" i="3" s="1"/>
  <c r="I331" i="3" s="1"/>
  <c r="G332" i="3"/>
  <c r="H332" i="3" s="1"/>
  <c r="I332" i="3" s="1"/>
  <c r="G333" i="3"/>
  <c r="H333" i="3" s="1"/>
  <c r="I333" i="3" s="1"/>
  <c r="G334" i="3"/>
  <c r="H334" i="3" s="1"/>
  <c r="I334" i="3" s="1"/>
  <c r="G335" i="3"/>
  <c r="H335" i="3" s="1"/>
  <c r="I335" i="3" s="1"/>
  <c r="G336" i="3"/>
  <c r="H336" i="3" s="1"/>
  <c r="I336" i="3" s="1"/>
  <c r="G337" i="3"/>
  <c r="H337" i="3" s="1"/>
  <c r="I337" i="3" s="1"/>
  <c r="G338" i="3"/>
  <c r="H338" i="3" s="1"/>
  <c r="I338" i="3" s="1"/>
  <c r="G339" i="3"/>
  <c r="H339" i="3" s="1"/>
  <c r="I339" i="3" s="1"/>
  <c r="G340" i="3"/>
  <c r="H340" i="3" s="1"/>
  <c r="I340" i="3" s="1"/>
  <c r="G341" i="3"/>
  <c r="H341" i="3" s="1"/>
  <c r="I341" i="3" s="1"/>
  <c r="G342" i="3"/>
  <c r="H342" i="3" s="1"/>
  <c r="I342" i="3" s="1"/>
  <c r="G343" i="3"/>
  <c r="H343" i="3" s="1"/>
  <c r="I343" i="3" s="1"/>
  <c r="G344" i="3"/>
  <c r="H344" i="3" s="1"/>
  <c r="I344" i="3" s="1"/>
  <c r="G345" i="3"/>
  <c r="H345" i="3" s="1"/>
  <c r="I345" i="3" s="1"/>
  <c r="G346" i="3"/>
  <c r="H346" i="3" s="1"/>
  <c r="I346" i="3" s="1"/>
  <c r="G347" i="3"/>
  <c r="H347" i="3" s="1"/>
  <c r="I347" i="3" s="1"/>
  <c r="G348" i="3"/>
  <c r="H348" i="3" s="1"/>
  <c r="I348" i="3" s="1"/>
  <c r="G349" i="3"/>
  <c r="H349" i="3" s="1"/>
  <c r="I349" i="3" s="1"/>
  <c r="G350" i="3"/>
  <c r="H350" i="3" s="1"/>
  <c r="I350" i="3" s="1"/>
  <c r="G351" i="3"/>
  <c r="H351" i="3" s="1"/>
  <c r="I351" i="3" s="1"/>
  <c r="G352" i="3"/>
  <c r="H352" i="3" s="1"/>
  <c r="I352" i="3" s="1"/>
  <c r="G353" i="3"/>
  <c r="H353" i="3" s="1"/>
  <c r="I353" i="3" s="1"/>
  <c r="G354" i="3"/>
  <c r="H354" i="3" s="1"/>
  <c r="I354" i="3" s="1"/>
  <c r="G355" i="3"/>
  <c r="H355" i="3" s="1"/>
  <c r="I355" i="3" s="1"/>
  <c r="G356" i="3"/>
  <c r="H356" i="3" s="1"/>
  <c r="I356" i="3" s="1"/>
  <c r="G357" i="3"/>
  <c r="H357" i="3" s="1"/>
  <c r="I357" i="3" s="1"/>
  <c r="G358" i="3"/>
  <c r="H358" i="3" s="1"/>
  <c r="I358" i="3" s="1"/>
  <c r="G359" i="3"/>
  <c r="H359" i="3" s="1"/>
  <c r="I359" i="3" s="1"/>
  <c r="G360" i="3"/>
  <c r="H360" i="3" s="1"/>
  <c r="I360" i="3" s="1"/>
  <c r="G361" i="3"/>
  <c r="H361" i="3" s="1"/>
  <c r="I361" i="3" s="1"/>
  <c r="G362" i="3"/>
  <c r="H362" i="3" s="1"/>
  <c r="I362" i="3" s="1"/>
  <c r="G363" i="3"/>
  <c r="H363" i="3" s="1"/>
  <c r="I363" i="3" s="1"/>
  <c r="G364" i="3"/>
  <c r="H364" i="3" s="1"/>
  <c r="I364" i="3" s="1"/>
  <c r="G365" i="3"/>
  <c r="H365" i="3" s="1"/>
  <c r="I365" i="3" s="1"/>
  <c r="G366" i="3"/>
  <c r="H366" i="3" s="1"/>
  <c r="I366" i="3" s="1"/>
  <c r="G367" i="3"/>
  <c r="H367" i="3" s="1"/>
  <c r="I367" i="3" s="1"/>
  <c r="G368" i="3"/>
  <c r="H368" i="3" s="1"/>
  <c r="I368" i="3" s="1"/>
  <c r="G369" i="3"/>
  <c r="H369" i="3" s="1"/>
  <c r="I369" i="3" s="1"/>
  <c r="G370" i="3"/>
  <c r="H370" i="3" s="1"/>
  <c r="I370" i="3" s="1"/>
  <c r="G371" i="3"/>
  <c r="H371" i="3" s="1"/>
  <c r="I371" i="3" s="1"/>
  <c r="G372" i="3"/>
  <c r="H372" i="3" s="1"/>
  <c r="I372" i="3" s="1"/>
  <c r="G373" i="3"/>
  <c r="H373" i="3" s="1"/>
  <c r="I373" i="3" s="1"/>
  <c r="G374" i="3"/>
  <c r="H374" i="3" s="1"/>
  <c r="I374" i="3" s="1"/>
  <c r="G375" i="3"/>
  <c r="H375" i="3" s="1"/>
  <c r="I375" i="3" s="1"/>
  <c r="G376" i="3"/>
  <c r="H376" i="3" s="1"/>
  <c r="I376" i="3" s="1"/>
  <c r="G377" i="3"/>
  <c r="H377" i="3" s="1"/>
  <c r="I377" i="3" s="1"/>
  <c r="G378" i="3"/>
  <c r="H378" i="3" s="1"/>
  <c r="I378" i="3" s="1"/>
  <c r="G379" i="3"/>
  <c r="H379" i="3" s="1"/>
  <c r="I379" i="3" s="1"/>
  <c r="G380" i="3"/>
  <c r="H380" i="3" s="1"/>
  <c r="I380" i="3" s="1"/>
  <c r="G381" i="3"/>
  <c r="H381" i="3" s="1"/>
  <c r="I381" i="3" s="1"/>
  <c r="G382" i="3"/>
  <c r="H382" i="3" s="1"/>
  <c r="I382" i="3" s="1"/>
  <c r="G383" i="3"/>
  <c r="H383" i="3" s="1"/>
  <c r="I383" i="3" s="1"/>
  <c r="G384" i="3"/>
  <c r="H384" i="3" s="1"/>
  <c r="I384" i="3" s="1"/>
  <c r="G385" i="3"/>
  <c r="H385" i="3" s="1"/>
  <c r="I385" i="3" s="1"/>
  <c r="G386" i="3"/>
  <c r="H386" i="3" s="1"/>
  <c r="I386" i="3" s="1"/>
  <c r="G387" i="3"/>
  <c r="H387" i="3" s="1"/>
  <c r="I387" i="3" s="1"/>
  <c r="G388" i="3"/>
  <c r="H388" i="3" s="1"/>
  <c r="I388" i="3" s="1"/>
  <c r="G389" i="3"/>
  <c r="H389" i="3" s="1"/>
  <c r="I389" i="3" s="1"/>
  <c r="G390" i="3"/>
  <c r="H390" i="3" s="1"/>
  <c r="I390" i="3" s="1"/>
  <c r="G391" i="3"/>
  <c r="H391" i="3" s="1"/>
  <c r="I391" i="3" s="1"/>
  <c r="G392" i="3"/>
  <c r="H392" i="3" s="1"/>
  <c r="I392" i="3" s="1"/>
  <c r="G393" i="3"/>
  <c r="H393" i="3" s="1"/>
  <c r="I393" i="3" s="1"/>
  <c r="G394" i="3"/>
  <c r="H394" i="3" s="1"/>
  <c r="I394" i="3" s="1"/>
  <c r="G395" i="3"/>
  <c r="H395" i="3" s="1"/>
  <c r="I395" i="3" s="1"/>
  <c r="G396" i="3"/>
  <c r="H396" i="3" s="1"/>
  <c r="I396" i="3" s="1"/>
  <c r="G397" i="3"/>
  <c r="H397" i="3" s="1"/>
  <c r="I397" i="3" s="1"/>
  <c r="G398" i="3"/>
  <c r="H398" i="3" s="1"/>
  <c r="I398" i="3" s="1"/>
  <c r="G399" i="3"/>
  <c r="H399" i="3" s="1"/>
  <c r="I399" i="3" s="1"/>
  <c r="G400" i="3"/>
  <c r="H400" i="3" s="1"/>
  <c r="I400" i="3" s="1"/>
  <c r="G401" i="3"/>
  <c r="H401" i="3" s="1"/>
  <c r="I401" i="3" s="1"/>
  <c r="G402" i="3"/>
  <c r="H402" i="3" s="1"/>
  <c r="I402" i="3" s="1"/>
  <c r="G6" i="3"/>
  <c r="H6" i="3" s="1"/>
  <c r="I6" i="3" s="1"/>
  <c r="G403" i="3"/>
  <c r="H403" i="3" s="1"/>
  <c r="I403" i="3" s="1"/>
  <c r="G404" i="3"/>
  <c r="H404" i="3" s="1"/>
  <c r="I404" i="3" s="1"/>
  <c r="G405" i="3"/>
  <c r="H405" i="3" s="1"/>
  <c r="I405" i="3" s="1"/>
  <c r="G406" i="3"/>
  <c r="H406" i="3" s="1"/>
  <c r="I406" i="3" s="1"/>
  <c r="G407" i="3"/>
  <c r="H407" i="3" s="1"/>
  <c r="I407" i="3" s="1"/>
  <c r="G408" i="3"/>
  <c r="H408" i="3" s="1"/>
  <c r="I408" i="3" s="1"/>
  <c r="G409" i="3"/>
  <c r="H409" i="3" s="1"/>
  <c r="I409" i="3" s="1"/>
  <c r="L8" i="3" s="1"/>
  <c r="D5" i="5" s="1"/>
  <c r="E5" i="5" s="1"/>
  <c r="G410" i="3"/>
  <c r="H410" i="3" s="1"/>
  <c r="I410" i="3" s="1"/>
  <c r="G411" i="3"/>
  <c r="H411" i="3" s="1"/>
  <c r="I411" i="3" s="1"/>
  <c r="G412" i="3"/>
  <c r="H412" i="3" s="1"/>
  <c r="I412" i="3" s="1"/>
  <c r="G413" i="3"/>
  <c r="H413" i="3" s="1"/>
  <c r="I413" i="3" s="1"/>
  <c r="G414" i="3"/>
  <c r="H414" i="3" s="1"/>
  <c r="I414" i="3" s="1"/>
  <c r="G415" i="3"/>
  <c r="H415" i="3" s="1"/>
  <c r="I415" i="3" s="1"/>
  <c r="G416" i="3"/>
  <c r="H416" i="3" s="1"/>
  <c r="I416" i="3" s="1"/>
  <c r="G417" i="3"/>
  <c r="H417" i="3" s="1"/>
  <c r="I417" i="3" s="1"/>
  <c r="G418" i="3"/>
  <c r="H418" i="3" s="1"/>
  <c r="I418" i="3" s="1"/>
  <c r="G419" i="3"/>
  <c r="H419" i="3" s="1"/>
  <c r="I419" i="3" s="1"/>
  <c r="G420" i="3"/>
  <c r="H420" i="3" s="1"/>
  <c r="I420" i="3" s="1"/>
  <c r="G421" i="3"/>
  <c r="H421" i="3" s="1"/>
  <c r="I421" i="3" s="1"/>
  <c r="G422" i="3"/>
  <c r="H422" i="3" s="1"/>
  <c r="I422" i="3" s="1"/>
  <c r="G423" i="3"/>
  <c r="H423" i="3" s="1"/>
  <c r="I423" i="3" s="1"/>
  <c r="G424" i="3"/>
  <c r="H424" i="3" s="1"/>
  <c r="I424" i="3" s="1"/>
  <c r="G425" i="3"/>
  <c r="H425" i="3" s="1"/>
  <c r="I425" i="3" s="1"/>
  <c r="G426" i="3"/>
  <c r="H426" i="3" s="1"/>
  <c r="I426" i="3" s="1"/>
  <c r="G427" i="3"/>
  <c r="H427" i="3" s="1"/>
  <c r="I427" i="3" s="1"/>
  <c r="G428" i="3"/>
  <c r="H428" i="3" s="1"/>
  <c r="I428" i="3" s="1"/>
  <c r="G429" i="3"/>
  <c r="H429" i="3" s="1"/>
  <c r="I429" i="3" s="1"/>
  <c r="G430" i="3"/>
  <c r="H430" i="3" s="1"/>
  <c r="I430" i="3" s="1"/>
  <c r="G431" i="3"/>
  <c r="H431" i="3" s="1"/>
  <c r="I431" i="3" s="1"/>
  <c r="G432" i="3"/>
  <c r="H432" i="3" s="1"/>
  <c r="I432" i="3" s="1"/>
  <c r="G433" i="3"/>
  <c r="H433" i="3" s="1"/>
  <c r="I433" i="3" s="1"/>
  <c r="G434" i="3"/>
  <c r="H434" i="3" s="1"/>
  <c r="I434" i="3" s="1"/>
  <c r="G435" i="3"/>
  <c r="H435" i="3" s="1"/>
  <c r="I435" i="3" s="1"/>
  <c r="G436" i="3"/>
  <c r="H436" i="3" s="1"/>
  <c r="I436" i="3" s="1"/>
  <c r="G437" i="3"/>
  <c r="H437" i="3" s="1"/>
  <c r="I437" i="3" s="1"/>
  <c r="G438" i="3"/>
  <c r="H438" i="3" s="1"/>
  <c r="I438" i="3" s="1"/>
  <c r="G439" i="3"/>
  <c r="H439" i="3" s="1"/>
  <c r="I439" i="3" s="1"/>
  <c r="G440" i="3"/>
  <c r="H440" i="3" s="1"/>
  <c r="I440" i="3" s="1"/>
  <c r="G441" i="3"/>
  <c r="H441" i="3" s="1"/>
  <c r="I441" i="3" s="1"/>
  <c r="G442" i="3"/>
  <c r="H442" i="3" s="1"/>
  <c r="I442" i="3" s="1"/>
  <c r="G443" i="3"/>
  <c r="H443" i="3" s="1"/>
  <c r="I443" i="3" s="1"/>
  <c r="G444" i="3"/>
  <c r="H444" i="3" s="1"/>
  <c r="I444" i="3" s="1"/>
  <c r="G445" i="3"/>
  <c r="H445" i="3" s="1"/>
  <c r="I445" i="3" s="1"/>
  <c r="G446" i="3"/>
  <c r="H446" i="3" s="1"/>
  <c r="I446" i="3" s="1"/>
  <c r="G447" i="3"/>
  <c r="H447" i="3" s="1"/>
  <c r="I447" i="3" s="1"/>
  <c r="G448" i="3"/>
  <c r="H448" i="3" s="1"/>
  <c r="I448" i="3" s="1"/>
  <c r="G449" i="3"/>
  <c r="H449" i="3" s="1"/>
  <c r="I449" i="3" s="1"/>
  <c r="G450" i="3"/>
  <c r="H450" i="3" s="1"/>
  <c r="I450" i="3" s="1"/>
  <c r="G451" i="3"/>
  <c r="H451" i="3" s="1"/>
  <c r="I451" i="3" s="1"/>
  <c r="G452" i="3"/>
  <c r="H452" i="3" s="1"/>
  <c r="I452" i="3" s="1"/>
  <c r="G453" i="3"/>
  <c r="H453" i="3" s="1"/>
  <c r="I453" i="3" s="1"/>
  <c r="G454" i="3"/>
  <c r="H454" i="3" s="1"/>
  <c r="I454" i="3" s="1"/>
  <c r="G455" i="3"/>
  <c r="H455" i="3" s="1"/>
  <c r="I455" i="3" s="1"/>
  <c r="G456" i="3"/>
  <c r="H456" i="3" s="1"/>
  <c r="I456" i="3" s="1"/>
  <c r="G457" i="3"/>
  <c r="H457" i="3" s="1"/>
  <c r="I457" i="3" s="1"/>
  <c r="G458" i="3"/>
  <c r="H458" i="3" s="1"/>
  <c r="I458" i="3" s="1"/>
  <c r="G459" i="3"/>
  <c r="H459" i="3" s="1"/>
  <c r="I459" i="3" s="1"/>
  <c r="G460" i="3"/>
  <c r="H460" i="3" s="1"/>
  <c r="I460" i="3" s="1"/>
  <c r="G461" i="3"/>
  <c r="H461" i="3" s="1"/>
  <c r="I461" i="3" s="1"/>
  <c r="G462" i="3"/>
  <c r="H462" i="3" s="1"/>
  <c r="I462" i="3" s="1"/>
  <c r="G463" i="3"/>
  <c r="H463" i="3" s="1"/>
  <c r="I463" i="3" s="1"/>
  <c r="G464" i="3"/>
  <c r="H464" i="3" s="1"/>
  <c r="I464" i="3" s="1"/>
  <c r="G465" i="3"/>
  <c r="H465" i="3" s="1"/>
  <c r="I465" i="3" s="1"/>
  <c r="G466" i="3"/>
  <c r="H466" i="3" s="1"/>
  <c r="I466" i="3" s="1"/>
  <c r="G467" i="3"/>
  <c r="H467" i="3" s="1"/>
  <c r="I467" i="3" s="1"/>
  <c r="G468" i="3"/>
  <c r="H468" i="3" s="1"/>
  <c r="I468" i="3" s="1"/>
  <c r="G469" i="3"/>
  <c r="H469" i="3" s="1"/>
  <c r="I469" i="3" s="1"/>
  <c r="G470" i="3"/>
  <c r="H470" i="3" s="1"/>
  <c r="I470" i="3" s="1"/>
  <c r="G471" i="3"/>
  <c r="H471" i="3" s="1"/>
  <c r="I471" i="3" s="1"/>
  <c r="G472" i="3"/>
  <c r="H472" i="3" s="1"/>
  <c r="I472" i="3" s="1"/>
  <c r="G473" i="3"/>
  <c r="H473" i="3" s="1"/>
  <c r="I473" i="3" s="1"/>
  <c r="G474" i="3"/>
  <c r="H474" i="3" s="1"/>
  <c r="I474" i="3" s="1"/>
  <c r="G475" i="3"/>
  <c r="H475" i="3" s="1"/>
  <c r="I475" i="3" s="1"/>
  <c r="G476" i="3"/>
  <c r="H476" i="3" s="1"/>
  <c r="I476" i="3" s="1"/>
  <c r="G477" i="3"/>
  <c r="H477" i="3" s="1"/>
  <c r="I477" i="3" s="1"/>
  <c r="G478" i="3"/>
  <c r="H478" i="3" s="1"/>
  <c r="I478" i="3" s="1"/>
  <c r="G479" i="3"/>
  <c r="H479" i="3" s="1"/>
  <c r="I479" i="3" s="1"/>
  <c r="G480" i="3"/>
  <c r="H480" i="3" s="1"/>
  <c r="I480" i="3" s="1"/>
  <c r="G481" i="3"/>
  <c r="H481" i="3" s="1"/>
  <c r="I481" i="3" s="1"/>
  <c r="G482" i="3"/>
  <c r="H482" i="3" s="1"/>
  <c r="I482" i="3" s="1"/>
  <c r="G483" i="3"/>
  <c r="H483" i="3" s="1"/>
  <c r="I483" i="3" s="1"/>
  <c r="G484" i="3"/>
  <c r="H484" i="3" s="1"/>
  <c r="I484" i="3" s="1"/>
  <c r="G485" i="3"/>
  <c r="H485" i="3" s="1"/>
  <c r="I485" i="3" s="1"/>
  <c r="G486" i="3"/>
  <c r="H486" i="3" s="1"/>
  <c r="I486" i="3" s="1"/>
  <c r="G487" i="3"/>
  <c r="H487" i="3" s="1"/>
  <c r="I487" i="3" s="1"/>
  <c r="G488" i="3"/>
  <c r="H488" i="3" s="1"/>
  <c r="I488" i="3" s="1"/>
  <c r="G489" i="3"/>
  <c r="H489" i="3" s="1"/>
  <c r="I489" i="3" s="1"/>
  <c r="G490" i="3"/>
  <c r="H490" i="3" s="1"/>
  <c r="I490" i="3" s="1"/>
  <c r="G491" i="3"/>
  <c r="H491" i="3" s="1"/>
  <c r="I491" i="3" s="1"/>
  <c r="G492" i="3"/>
  <c r="H492" i="3" s="1"/>
  <c r="I492" i="3" s="1"/>
  <c r="G493" i="3"/>
  <c r="H493" i="3" s="1"/>
  <c r="I493" i="3" s="1"/>
  <c r="G494" i="3"/>
  <c r="H494" i="3" s="1"/>
  <c r="I494" i="3" s="1"/>
  <c r="G495" i="3"/>
  <c r="H495" i="3" s="1"/>
  <c r="I495" i="3" s="1"/>
  <c r="G496" i="3"/>
  <c r="H496" i="3" s="1"/>
  <c r="I496" i="3" s="1"/>
  <c r="G497" i="3"/>
  <c r="H497" i="3" s="1"/>
  <c r="I497" i="3" s="1"/>
  <c r="G498" i="3"/>
  <c r="H498" i="3" s="1"/>
  <c r="I498" i="3" s="1"/>
  <c r="G499" i="3"/>
  <c r="H499" i="3" s="1"/>
  <c r="I499" i="3" s="1"/>
  <c r="G500" i="3"/>
  <c r="H500" i="3" s="1"/>
  <c r="I500" i="3" s="1"/>
  <c r="G501" i="3"/>
  <c r="H501" i="3" s="1"/>
  <c r="I501" i="3" s="1"/>
  <c r="G502" i="3"/>
  <c r="H502" i="3" s="1"/>
  <c r="I502" i="3" s="1"/>
  <c r="G503" i="3"/>
  <c r="H503" i="3" s="1"/>
  <c r="I503" i="3" s="1"/>
  <c r="G504" i="3"/>
  <c r="H504" i="3" s="1"/>
  <c r="I504" i="3" s="1"/>
  <c r="G505" i="3"/>
  <c r="H505" i="3" s="1"/>
  <c r="I505" i="3" s="1"/>
  <c r="G506" i="3"/>
  <c r="H506" i="3" s="1"/>
  <c r="I506" i="3" s="1"/>
  <c r="G507" i="3"/>
  <c r="H507" i="3" s="1"/>
  <c r="I507" i="3" s="1"/>
  <c r="G508" i="3"/>
  <c r="H508" i="3" s="1"/>
  <c r="I508" i="3" s="1"/>
  <c r="G509" i="3"/>
  <c r="H509" i="3" s="1"/>
  <c r="I509" i="3" s="1"/>
  <c r="G510" i="3"/>
  <c r="H510" i="3" s="1"/>
  <c r="I510" i="3" s="1"/>
  <c r="G511" i="3"/>
  <c r="H511" i="3" s="1"/>
  <c r="I511" i="3" s="1"/>
  <c r="G512" i="3"/>
  <c r="H512" i="3" s="1"/>
  <c r="I512" i="3" s="1"/>
  <c r="G513" i="3"/>
  <c r="H513" i="3" s="1"/>
  <c r="I513" i="3" s="1"/>
  <c r="G514" i="3"/>
  <c r="H514" i="3" s="1"/>
  <c r="I514" i="3" s="1"/>
  <c r="G515" i="3"/>
  <c r="H515" i="3" s="1"/>
  <c r="I515" i="3" s="1"/>
  <c r="G516" i="3"/>
  <c r="H516" i="3" s="1"/>
  <c r="I516" i="3" s="1"/>
  <c r="G517" i="3"/>
  <c r="H517" i="3" s="1"/>
  <c r="I517" i="3" s="1"/>
  <c r="G518" i="3"/>
  <c r="H518" i="3" s="1"/>
  <c r="I518" i="3" s="1"/>
  <c r="G519" i="3"/>
  <c r="H519" i="3" s="1"/>
  <c r="I519" i="3" s="1"/>
  <c r="G520" i="3"/>
  <c r="H520" i="3" s="1"/>
  <c r="I520" i="3" s="1"/>
  <c r="G521" i="3"/>
  <c r="H521" i="3" s="1"/>
  <c r="I521" i="3" s="1"/>
  <c r="G522" i="3"/>
  <c r="H522" i="3" s="1"/>
  <c r="I522" i="3" s="1"/>
  <c r="G523" i="3"/>
  <c r="H523" i="3" s="1"/>
  <c r="I523" i="3" s="1"/>
  <c r="G524" i="3"/>
  <c r="H524" i="3" s="1"/>
  <c r="I524" i="3" s="1"/>
  <c r="G525" i="3"/>
  <c r="H525" i="3" s="1"/>
  <c r="I525" i="3" s="1"/>
  <c r="G526" i="3"/>
  <c r="H526" i="3" s="1"/>
  <c r="I526" i="3" s="1"/>
  <c r="G527" i="3"/>
  <c r="H527" i="3" s="1"/>
  <c r="I527" i="3" s="1"/>
  <c r="G528" i="3"/>
  <c r="H528" i="3" s="1"/>
  <c r="I528" i="3" s="1"/>
  <c r="G529" i="3"/>
  <c r="H529" i="3" s="1"/>
  <c r="I529" i="3" s="1"/>
  <c r="G530" i="3"/>
  <c r="H530" i="3" s="1"/>
  <c r="I530" i="3" s="1"/>
  <c r="G531" i="3"/>
  <c r="H531" i="3" s="1"/>
  <c r="I531" i="3" s="1"/>
  <c r="G532" i="3"/>
  <c r="H532" i="3" s="1"/>
  <c r="I532" i="3" s="1"/>
  <c r="G533" i="3"/>
  <c r="H533" i="3" s="1"/>
  <c r="I533" i="3" s="1"/>
  <c r="G534" i="3"/>
  <c r="H534" i="3" s="1"/>
  <c r="I534" i="3" s="1"/>
  <c r="G535" i="3"/>
  <c r="H535" i="3" s="1"/>
  <c r="I535" i="3" s="1"/>
  <c r="G536" i="3"/>
  <c r="H536" i="3" s="1"/>
  <c r="I536" i="3" s="1"/>
  <c r="G537" i="3"/>
  <c r="H537" i="3" s="1"/>
  <c r="I537" i="3" s="1"/>
  <c r="G538" i="3"/>
  <c r="H538" i="3" s="1"/>
  <c r="I538" i="3" s="1"/>
  <c r="G539" i="3"/>
  <c r="H539" i="3" s="1"/>
  <c r="I539" i="3" s="1"/>
  <c r="G540" i="3"/>
  <c r="H540" i="3" s="1"/>
  <c r="I540" i="3" s="1"/>
  <c r="G541" i="3"/>
  <c r="H541" i="3" s="1"/>
  <c r="I541" i="3" s="1"/>
  <c r="G542" i="3"/>
  <c r="H542" i="3" s="1"/>
  <c r="I542" i="3" s="1"/>
  <c r="G543" i="3"/>
  <c r="H543" i="3" s="1"/>
  <c r="I543" i="3" s="1"/>
  <c r="G544" i="3"/>
  <c r="H544" i="3" s="1"/>
  <c r="I544" i="3" s="1"/>
  <c r="G545" i="3"/>
  <c r="H545" i="3" s="1"/>
  <c r="I545" i="3" s="1"/>
  <c r="G546" i="3"/>
  <c r="H546" i="3" s="1"/>
  <c r="I546" i="3" s="1"/>
  <c r="G547" i="3"/>
  <c r="H547" i="3" s="1"/>
  <c r="I547" i="3" s="1"/>
  <c r="G548" i="3"/>
  <c r="H548" i="3" s="1"/>
  <c r="I548" i="3" s="1"/>
  <c r="G549" i="3"/>
  <c r="H549" i="3" s="1"/>
  <c r="I549" i="3" s="1"/>
  <c r="G550" i="3"/>
  <c r="H550" i="3" s="1"/>
  <c r="I550" i="3" s="1"/>
  <c r="G551" i="3"/>
  <c r="H551" i="3" s="1"/>
  <c r="I551" i="3" s="1"/>
  <c r="G552" i="3"/>
  <c r="H552" i="3" s="1"/>
  <c r="I552" i="3" s="1"/>
  <c r="G553" i="3"/>
  <c r="H553" i="3" s="1"/>
  <c r="I553" i="3" s="1"/>
  <c r="G554" i="3"/>
  <c r="H554" i="3" s="1"/>
  <c r="I554" i="3" s="1"/>
  <c r="G555" i="3"/>
  <c r="H555" i="3" s="1"/>
  <c r="I555" i="3" s="1"/>
  <c r="G556" i="3"/>
  <c r="H556" i="3" s="1"/>
  <c r="I556" i="3" s="1"/>
  <c r="G557" i="3"/>
  <c r="H557" i="3" s="1"/>
  <c r="I557" i="3" s="1"/>
  <c r="G558" i="3"/>
  <c r="H558" i="3" s="1"/>
  <c r="I558" i="3" s="1"/>
  <c r="G559" i="3"/>
  <c r="H559" i="3" s="1"/>
  <c r="I559" i="3" s="1"/>
  <c r="G560" i="3"/>
  <c r="H560" i="3" s="1"/>
  <c r="I560" i="3" s="1"/>
  <c r="G561" i="3"/>
  <c r="H561" i="3" s="1"/>
  <c r="I561" i="3" s="1"/>
  <c r="G562" i="3"/>
  <c r="H562" i="3" s="1"/>
  <c r="I562" i="3" s="1"/>
  <c r="G563" i="3"/>
  <c r="H563" i="3" s="1"/>
  <c r="I563" i="3" s="1"/>
  <c r="G564" i="3"/>
  <c r="H564" i="3" s="1"/>
  <c r="I564" i="3" s="1"/>
  <c r="G565" i="3"/>
  <c r="H565" i="3" s="1"/>
  <c r="I565" i="3" s="1"/>
  <c r="G566" i="3"/>
  <c r="H566" i="3" s="1"/>
  <c r="I566" i="3" s="1"/>
  <c r="G567" i="3"/>
  <c r="H567" i="3" s="1"/>
  <c r="I567" i="3" s="1"/>
  <c r="G568" i="3"/>
  <c r="H568" i="3" s="1"/>
  <c r="I568" i="3" s="1"/>
  <c r="G569" i="3"/>
  <c r="H569" i="3" s="1"/>
  <c r="I569" i="3" s="1"/>
  <c r="G570" i="3"/>
  <c r="H570" i="3" s="1"/>
  <c r="I570" i="3" s="1"/>
  <c r="G571" i="3"/>
  <c r="H571" i="3" s="1"/>
  <c r="I571" i="3" s="1"/>
  <c r="G572" i="3"/>
  <c r="H572" i="3" s="1"/>
  <c r="I572" i="3" s="1"/>
  <c r="G573" i="3"/>
  <c r="H573" i="3" s="1"/>
  <c r="I573" i="3" s="1"/>
  <c r="G574" i="3"/>
  <c r="H574" i="3" s="1"/>
  <c r="I574" i="3" s="1"/>
  <c r="G575" i="3"/>
  <c r="H575" i="3" s="1"/>
  <c r="I575" i="3" s="1"/>
  <c r="G576" i="3"/>
  <c r="H576" i="3" s="1"/>
  <c r="I576" i="3" s="1"/>
  <c r="G577" i="3"/>
  <c r="H577" i="3" s="1"/>
  <c r="I577" i="3" s="1"/>
  <c r="G578" i="3"/>
  <c r="H578" i="3" s="1"/>
  <c r="I578" i="3" s="1"/>
  <c r="G579" i="3"/>
  <c r="H579" i="3" s="1"/>
  <c r="I579" i="3" s="1"/>
  <c r="G580" i="3"/>
  <c r="H580" i="3" s="1"/>
  <c r="I580" i="3" s="1"/>
  <c r="G581" i="3"/>
  <c r="H581" i="3" s="1"/>
  <c r="I581" i="3" s="1"/>
  <c r="G582" i="3"/>
  <c r="H582" i="3" s="1"/>
  <c r="I582" i="3" s="1"/>
  <c r="G583" i="3"/>
  <c r="H583" i="3" s="1"/>
  <c r="I583" i="3" s="1"/>
  <c r="G584" i="3"/>
  <c r="H584" i="3" s="1"/>
  <c r="I584" i="3" s="1"/>
  <c r="G585" i="3"/>
  <c r="H585" i="3" s="1"/>
  <c r="I585" i="3" s="1"/>
  <c r="G586" i="3"/>
  <c r="H586" i="3" s="1"/>
  <c r="I586" i="3" s="1"/>
  <c r="G587" i="3"/>
  <c r="H587" i="3" s="1"/>
  <c r="I587" i="3" s="1"/>
  <c r="G588" i="3"/>
  <c r="H588" i="3" s="1"/>
  <c r="I588" i="3" s="1"/>
  <c r="G589" i="3"/>
  <c r="H589" i="3" s="1"/>
  <c r="I589" i="3" s="1"/>
  <c r="G590" i="3"/>
  <c r="H590" i="3" s="1"/>
  <c r="I590" i="3" s="1"/>
  <c r="G591" i="3"/>
  <c r="H591" i="3" s="1"/>
  <c r="I591" i="3" s="1"/>
  <c r="G592" i="3"/>
  <c r="H592" i="3" s="1"/>
  <c r="I592" i="3" s="1"/>
  <c r="G593" i="3"/>
  <c r="H593" i="3" s="1"/>
  <c r="I593" i="3" s="1"/>
  <c r="G594" i="3"/>
  <c r="H594" i="3" s="1"/>
  <c r="I594" i="3" s="1"/>
  <c r="G595" i="3"/>
  <c r="H595" i="3" s="1"/>
  <c r="I595" i="3" s="1"/>
  <c r="G596" i="3"/>
  <c r="H596" i="3" s="1"/>
  <c r="I596" i="3" s="1"/>
  <c r="G597" i="3"/>
  <c r="H597" i="3" s="1"/>
  <c r="I597" i="3" s="1"/>
  <c r="G598" i="3"/>
  <c r="H598" i="3" s="1"/>
  <c r="I598" i="3" s="1"/>
  <c r="G599" i="3"/>
  <c r="H599" i="3" s="1"/>
  <c r="I599" i="3" s="1"/>
  <c r="G600" i="3"/>
  <c r="H600" i="3" s="1"/>
  <c r="I600" i="3" s="1"/>
  <c r="G601" i="3"/>
  <c r="H601" i="3" s="1"/>
  <c r="I601" i="3" s="1"/>
  <c r="G602" i="3"/>
  <c r="H602" i="3" s="1"/>
  <c r="I602" i="3" s="1"/>
  <c r="G603" i="3"/>
  <c r="H603" i="3" s="1"/>
  <c r="I603" i="3" s="1"/>
  <c r="G604" i="3"/>
  <c r="H604" i="3" s="1"/>
  <c r="I604" i="3" s="1"/>
  <c r="G605" i="3"/>
  <c r="H605" i="3" s="1"/>
  <c r="I605" i="3" s="1"/>
  <c r="G606" i="3"/>
  <c r="H606" i="3" s="1"/>
  <c r="I606" i="3" s="1"/>
  <c r="G607" i="3"/>
  <c r="H607" i="3" s="1"/>
  <c r="I607" i="3" s="1"/>
  <c r="G608" i="3"/>
  <c r="H608" i="3" s="1"/>
  <c r="I608" i="3" s="1"/>
  <c r="G609" i="3"/>
  <c r="H609" i="3" s="1"/>
  <c r="I609" i="3" s="1"/>
  <c r="G610" i="3"/>
  <c r="H610" i="3" s="1"/>
  <c r="I610" i="3" s="1"/>
  <c r="G611" i="3"/>
  <c r="H611" i="3" s="1"/>
  <c r="I611" i="3" s="1"/>
  <c r="G612" i="3"/>
  <c r="H612" i="3" s="1"/>
  <c r="I612" i="3" s="1"/>
  <c r="G613" i="3"/>
  <c r="H613" i="3" s="1"/>
  <c r="I613" i="3" s="1"/>
  <c r="G614" i="3"/>
  <c r="H614" i="3" s="1"/>
  <c r="I614" i="3" s="1"/>
  <c r="G615" i="3"/>
  <c r="H615" i="3" s="1"/>
  <c r="I615" i="3" s="1"/>
  <c r="G616" i="3"/>
  <c r="H616" i="3" s="1"/>
  <c r="I616" i="3" s="1"/>
  <c r="G617" i="3"/>
  <c r="H617" i="3" s="1"/>
  <c r="I617" i="3" s="1"/>
  <c r="G618" i="3"/>
  <c r="H618" i="3" s="1"/>
  <c r="I618" i="3" s="1"/>
  <c r="G619" i="3"/>
  <c r="H619" i="3" s="1"/>
  <c r="I619" i="3" s="1"/>
  <c r="G620" i="3"/>
  <c r="H620" i="3" s="1"/>
  <c r="I620" i="3" s="1"/>
  <c r="G621" i="3"/>
  <c r="H621" i="3" s="1"/>
  <c r="I621" i="3" s="1"/>
  <c r="G622" i="3"/>
  <c r="H622" i="3" s="1"/>
  <c r="I622" i="3" s="1"/>
  <c r="G623" i="3"/>
  <c r="H623" i="3" s="1"/>
  <c r="I623" i="3" s="1"/>
  <c r="G624" i="3"/>
  <c r="H624" i="3" s="1"/>
  <c r="I624" i="3" s="1"/>
  <c r="G625" i="3"/>
  <c r="H625" i="3" s="1"/>
  <c r="I625" i="3" s="1"/>
  <c r="G626" i="3"/>
  <c r="H626" i="3" s="1"/>
  <c r="I626" i="3" s="1"/>
  <c r="G627" i="3"/>
  <c r="H627" i="3" s="1"/>
  <c r="I627" i="3" s="1"/>
  <c r="G628" i="3"/>
  <c r="H628" i="3" s="1"/>
  <c r="I628" i="3" s="1"/>
  <c r="G629" i="3"/>
  <c r="H629" i="3" s="1"/>
  <c r="I629" i="3" s="1"/>
  <c r="G630" i="3"/>
  <c r="H630" i="3" s="1"/>
  <c r="I630" i="3" s="1"/>
  <c r="G631" i="3"/>
  <c r="H631" i="3" s="1"/>
  <c r="I631" i="3" s="1"/>
  <c r="G632" i="3"/>
  <c r="H632" i="3" s="1"/>
  <c r="I632" i="3" s="1"/>
  <c r="G633" i="3"/>
  <c r="H633" i="3" s="1"/>
  <c r="I633" i="3" s="1"/>
  <c r="G634" i="3"/>
  <c r="H634" i="3" s="1"/>
  <c r="I634" i="3" s="1"/>
  <c r="G635" i="3"/>
  <c r="H635" i="3" s="1"/>
  <c r="I635" i="3" s="1"/>
  <c r="G636" i="3"/>
  <c r="H636" i="3" s="1"/>
  <c r="I636" i="3" s="1"/>
  <c r="G637" i="3"/>
  <c r="H637" i="3" s="1"/>
  <c r="I637" i="3" s="1"/>
  <c r="G638" i="3"/>
  <c r="H638" i="3" s="1"/>
  <c r="I638" i="3" s="1"/>
  <c r="G639" i="3"/>
  <c r="H639" i="3" s="1"/>
  <c r="I639" i="3" s="1"/>
  <c r="G640" i="3"/>
  <c r="H640" i="3" s="1"/>
  <c r="I640" i="3" s="1"/>
  <c r="G641" i="3"/>
  <c r="H641" i="3" s="1"/>
  <c r="I641" i="3" s="1"/>
  <c r="G642" i="3"/>
  <c r="H642" i="3" s="1"/>
  <c r="I642" i="3" s="1"/>
  <c r="G643" i="3"/>
  <c r="H643" i="3" s="1"/>
  <c r="I643" i="3" s="1"/>
  <c r="G644" i="3"/>
  <c r="H644" i="3" s="1"/>
  <c r="I644" i="3" s="1"/>
  <c r="G645" i="3"/>
  <c r="H645" i="3" s="1"/>
  <c r="I645" i="3" s="1"/>
  <c r="G646" i="3"/>
  <c r="H646" i="3" s="1"/>
  <c r="I646" i="3" s="1"/>
  <c r="G647" i="3"/>
  <c r="H647" i="3" s="1"/>
  <c r="I647" i="3" s="1"/>
  <c r="G648" i="3"/>
  <c r="H648" i="3" s="1"/>
  <c r="I648" i="3" s="1"/>
  <c r="G649" i="3"/>
  <c r="H649" i="3" s="1"/>
  <c r="I649" i="3" s="1"/>
  <c r="G650" i="3"/>
  <c r="H650" i="3" s="1"/>
  <c r="I650" i="3" s="1"/>
  <c r="G651" i="3"/>
  <c r="H651" i="3" s="1"/>
  <c r="I651" i="3" s="1"/>
  <c r="G652" i="3"/>
  <c r="H652" i="3" s="1"/>
  <c r="I652" i="3" s="1"/>
  <c r="G653" i="3"/>
  <c r="H653" i="3" s="1"/>
  <c r="I653" i="3" s="1"/>
  <c r="G654" i="3"/>
  <c r="H654" i="3" s="1"/>
  <c r="I654" i="3" s="1"/>
  <c r="G655" i="3"/>
  <c r="H655" i="3" s="1"/>
  <c r="I655" i="3" s="1"/>
  <c r="G656" i="3"/>
  <c r="H656" i="3" s="1"/>
  <c r="I656" i="3" s="1"/>
  <c r="G657" i="3"/>
  <c r="H657" i="3" s="1"/>
  <c r="I657" i="3" s="1"/>
  <c r="G658" i="3"/>
  <c r="H658" i="3" s="1"/>
  <c r="I658" i="3" s="1"/>
  <c r="G659" i="3"/>
  <c r="H659" i="3" s="1"/>
  <c r="I659" i="3" s="1"/>
  <c r="G660" i="3"/>
  <c r="H660" i="3" s="1"/>
  <c r="I660" i="3" s="1"/>
  <c r="G661" i="3"/>
  <c r="H661" i="3" s="1"/>
  <c r="I661" i="3" s="1"/>
  <c r="G662" i="3"/>
  <c r="H662" i="3" s="1"/>
  <c r="I662" i="3" s="1"/>
  <c r="G663" i="3"/>
  <c r="H663" i="3" s="1"/>
  <c r="I663" i="3" s="1"/>
  <c r="G664" i="3"/>
  <c r="H664" i="3" s="1"/>
  <c r="I664" i="3" s="1"/>
  <c r="G665" i="3"/>
  <c r="H665" i="3" s="1"/>
  <c r="I665" i="3" s="1"/>
  <c r="G666" i="3"/>
  <c r="H666" i="3" s="1"/>
  <c r="I666" i="3" s="1"/>
  <c r="G667" i="3"/>
  <c r="H667" i="3" s="1"/>
  <c r="I667" i="3" s="1"/>
  <c r="G668" i="3"/>
  <c r="H668" i="3" s="1"/>
  <c r="I668" i="3" s="1"/>
  <c r="G669" i="3"/>
  <c r="H669" i="3" s="1"/>
  <c r="I669" i="3" s="1"/>
  <c r="G670" i="3"/>
  <c r="H670" i="3" s="1"/>
  <c r="I670" i="3" s="1"/>
  <c r="G671" i="3"/>
  <c r="H671" i="3" s="1"/>
  <c r="I671" i="3" s="1"/>
  <c r="G672" i="3"/>
  <c r="H672" i="3" s="1"/>
  <c r="I672" i="3" s="1"/>
  <c r="G673" i="3"/>
  <c r="H673" i="3" s="1"/>
  <c r="I673" i="3" s="1"/>
  <c r="G674" i="3"/>
  <c r="H674" i="3" s="1"/>
  <c r="I674" i="3" s="1"/>
  <c r="G675" i="3"/>
  <c r="H675" i="3" s="1"/>
  <c r="I675" i="3" s="1"/>
  <c r="G676" i="3"/>
  <c r="H676" i="3" s="1"/>
  <c r="I676" i="3" s="1"/>
  <c r="G677" i="3"/>
  <c r="H677" i="3" s="1"/>
  <c r="I677" i="3" s="1"/>
  <c r="G678" i="3"/>
  <c r="H678" i="3" s="1"/>
  <c r="I678" i="3" s="1"/>
  <c r="G679" i="3"/>
  <c r="H679" i="3" s="1"/>
  <c r="I679" i="3" s="1"/>
  <c r="G680" i="3"/>
  <c r="H680" i="3" s="1"/>
  <c r="I680" i="3" s="1"/>
  <c r="G681" i="3"/>
  <c r="H681" i="3" s="1"/>
  <c r="I681" i="3" s="1"/>
  <c r="G682" i="3"/>
  <c r="H682" i="3" s="1"/>
  <c r="I682" i="3" s="1"/>
  <c r="G684" i="3"/>
  <c r="H684" i="3" s="1"/>
  <c r="I684" i="3" s="1"/>
  <c r="G685" i="3"/>
  <c r="H685" i="3" s="1"/>
  <c r="I685" i="3" s="1"/>
  <c r="G686" i="3"/>
  <c r="H686" i="3" s="1"/>
  <c r="I686" i="3" s="1"/>
  <c r="G687" i="3"/>
  <c r="H687" i="3" s="1"/>
  <c r="I687" i="3" s="1"/>
  <c r="G688" i="3"/>
  <c r="H688" i="3" s="1"/>
  <c r="I688" i="3" s="1"/>
  <c r="G689" i="3"/>
  <c r="H689" i="3" s="1"/>
  <c r="I689" i="3" s="1"/>
  <c r="G690" i="3"/>
  <c r="H690" i="3" s="1"/>
  <c r="I690" i="3" s="1"/>
  <c r="G691" i="3"/>
  <c r="H691" i="3" s="1"/>
  <c r="I691" i="3" s="1"/>
  <c r="G692" i="3"/>
  <c r="H692" i="3" s="1"/>
  <c r="I692" i="3" s="1"/>
  <c r="G693" i="3"/>
  <c r="H693" i="3" s="1"/>
  <c r="I693" i="3" s="1"/>
  <c r="G694" i="3"/>
  <c r="H694" i="3" s="1"/>
  <c r="I694" i="3" s="1"/>
  <c r="G695" i="3"/>
  <c r="H695" i="3" s="1"/>
  <c r="I695" i="3" s="1"/>
  <c r="G696" i="3"/>
  <c r="H696" i="3" s="1"/>
  <c r="I696" i="3" s="1"/>
  <c r="G697" i="3"/>
  <c r="H697" i="3" s="1"/>
  <c r="I697" i="3" s="1"/>
  <c r="G698" i="3"/>
  <c r="H698" i="3" s="1"/>
  <c r="I698" i="3" s="1"/>
  <c r="G699" i="3"/>
  <c r="H699" i="3" s="1"/>
  <c r="I699" i="3" s="1"/>
  <c r="G700" i="3"/>
  <c r="H700" i="3" s="1"/>
  <c r="I700" i="3" s="1"/>
  <c r="G701" i="3"/>
  <c r="H701" i="3" s="1"/>
  <c r="I701" i="3" s="1"/>
  <c r="G702" i="3"/>
  <c r="H702" i="3" s="1"/>
  <c r="I702" i="3" s="1"/>
  <c r="G703" i="3"/>
  <c r="H703" i="3" s="1"/>
  <c r="I703" i="3" s="1"/>
  <c r="G704" i="3"/>
  <c r="H704" i="3" s="1"/>
  <c r="I704" i="3" s="1"/>
  <c r="G705" i="3"/>
  <c r="H705" i="3" s="1"/>
  <c r="I705" i="3" s="1"/>
  <c r="G706" i="3"/>
  <c r="H706" i="3" s="1"/>
  <c r="I706" i="3" s="1"/>
  <c r="G707" i="3"/>
  <c r="H707" i="3" s="1"/>
  <c r="I707" i="3" s="1"/>
  <c r="G708" i="3"/>
  <c r="H708" i="3" s="1"/>
  <c r="I708" i="3" s="1"/>
  <c r="G709" i="3"/>
  <c r="H709" i="3" s="1"/>
  <c r="I709" i="3" s="1"/>
  <c r="G710" i="3"/>
  <c r="H710" i="3" s="1"/>
  <c r="I710" i="3" s="1"/>
  <c r="G711" i="3"/>
  <c r="H711" i="3" s="1"/>
  <c r="I711" i="3" s="1"/>
  <c r="G712" i="3"/>
  <c r="H712" i="3" s="1"/>
  <c r="I712" i="3" s="1"/>
  <c r="G713" i="3"/>
  <c r="H713" i="3" s="1"/>
  <c r="I713" i="3" s="1"/>
  <c r="G714" i="3"/>
  <c r="H714" i="3" s="1"/>
  <c r="I714" i="3" s="1"/>
  <c r="G715" i="3"/>
  <c r="H715" i="3" s="1"/>
  <c r="I715" i="3" s="1"/>
  <c r="G716" i="3"/>
  <c r="H716" i="3" s="1"/>
  <c r="I716" i="3" s="1"/>
  <c r="G717" i="3"/>
  <c r="H717" i="3" s="1"/>
  <c r="I717" i="3" s="1"/>
  <c r="G718" i="3"/>
  <c r="H718" i="3" s="1"/>
  <c r="I718" i="3" s="1"/>
  <c r="G719" i="3"/>
  <c r="H719" i="3" s="1"/>
  <c r="I719" i="3" s="1"/>
  <c r="G720" i="3"/>
  <c r="H720" i="3" s="1"/>
  <c r="I720" i="3" s="1"/>
  <c r="G721" i="3"/>
  <c r="H721" i="3" s="1"/>
  <c r="I721" i="3" s="1"/>
  <c r="G722" i="3"/>
  <c r="H722" i="3" s="1"/>
  <c r="I722" i="3" s="1"/>
  <c r="G723" i="3"/>
  <c r="H723" i="3" s="1"/>
  <c r="I723" i="3" s="1"/>
  <c r="G724" i="3"/>
  <c r="H724" i="3" s="1"/>
  <c r="I724" i="3" s="1"/>
  <c r="G725" i="3"/>
  <c r="H725" i="3" s="1"/>
  <c r="I725" i="3" s="1"/>
  <c r="G726" i="3"/>
  <c r="H726" i="3" s="1"/>
  <c r="I726" i="3" s="1"/>
  <c r="G727" i="3"/>
  <c r="H727" i="3" s="1"/>
  <c r="I727" i="3" s="1"/>
  <c r="G728" i="3"/>
  <c r="H728" i="3" s="1"/>
  <c r="I728" i="3" s="1"/>
  <c r="G729" i="3"/>
  <c r="H729" i="3" s="1"/>
  <c r="I729" i="3" s="1"/>
  <c r="G730" i="3"/>
  <c r="H730" i="3" s="1"/>
  <c r="I730" i="3" s="1"/>
  <c r="G731" i="3"/>
  <c r="H731" i="3" s="1"/>
  <c r="I731" i="3" s="1"/>
  <c r="G732" i="3"/>
  <c r="H732" i="3" s="1"/>
  <c r="I732" i="3" s="1"/>
  <c r="G733" i="3"/>
  <c r="H733" i="3" s="1"/>
  <c r="I733" i="3" s="1"/>
  <c r="G734" i="3"/>
  <c r="H734" i="3" s="1"/>
  <c r="I734" i="3" s="1"/>
  <c r="G735" i="3"/>
  <c r="H735" i="3" s="1"/>
  <c r="I735" i="3" s="1"/>
  <c r="G736" i="3"/>
  <c r="H736" i="3" s="1"/>
  <c r="I736" i="3" s="1"/>
  <c r="G737" i="3"/>
  <c r="H737" i="3" s="1"/>
  <c r="I737" i="3" s="1"/>
  <c r="G738" i="3"/>
  <c r="H738" i="3" s="1"/>
  <c r="I738" i="3" s="1"/>
  <c r="G739" i="3"/>
  <c r="H739" i="3" s="1"/>
  <c r="I739" i="3" s="1"/>
  <c r="G740" i="3"/>
  <c r="H740" i="3" s="1"/>
  <c r="I740" i="3" s="1"/>
  <c r="G741" i="3"/>
  <c r="H741" i="3" s="1"/>
  <c r="I741" i="3" s="1"/>
  <c r="G742" i="3"/>
  <c r="H742" i="3" s="1"/>
  <c r="I742" i="3" s="1"/>
  <c r="G743" i="3"/>
  <c r="H743" i="3" s="1"/>
  <c r="I743" i="3" s="1"/>
  <c r="G744" i="3"/>
  <c r="H744" i="3" s="1"/>
  <c r="I744" i="3" s="1"/>
  <c r="G745" i="3"/>
  <c r="H745" i="3" s="1"/>
  <c r="I745" i="3" s="1"/>
  <c r="G746" i="3"/>
  <c r="H746" i="3" s="1"/>
  <c r="I746" i="3" s="1"/>
  <c r="G747" i="3"/>
  <c r="H747" i="3" s="1"/>
  <c r="I747" i="3" s="1"/>
  <c r="G748" i="3"/>
  <c r="H748" i="3" s="1"/>
  <c r="I748" i="3" s="1"/>
  <c r="G749" i="3"/>
  <c r="H749" i="3" s="1"/>
  <c r="I749" i="3" s="1"/>
  <c r="G750" i="3"/>
  <c r="H750" i="3" s="1"/>
  <c r="I750" i="3" s="1"/>
  <c r="G751" i="3"/>
  <c r="H751" i="3" s="1"/>
  <c r="I751" i="3" s="1"/>
  <c r="G752" i="3"/>
  <c r="H752" i="3" s="1"/>
  <c r="I752" i="3" s="1"/>
  <c r="G753" i="3"/>
  <c r="H753" i="3" s="1"/>
  <c r="I753" i="3" s="1"/>
  <c r="G754" i="3"/>
  <c r="H754" i="3" s="1"/>
  <c r="I754" i="3" s="1"/>
  <c r="G755" i="3"/>
  <c r="H755" i="3" s="1"/>
  <c r="I755" i="3" s="1"/>
  <c r="G756" i="3"/>
  <c r="H756" i="3" s="1"/>
  <c r="I756" i="3" s="1"/>
  <c r="G757" i="3"/>
  <c r="H757" i="3" s="1"/>
  <c r="I757" i="3" s="1"/>
  <c r="G758" i="3"/>
  <c r="H758" i="3" s="1"/>
  <c r="I758" i="3" s="1"/>
  <c r="G759" i="3"/>
  <c r="H759" i="3" s="1"/>
  <c r="I759" i="3" s="1"/>
  <c r="G760" i="3"/>
  <c r="H760" i="3" s="1"/>
  <c r="I760" i="3" s="1"/>
  <c r="G761" i="3"/>
  <c r="H761" i="3" s="1"/>
  <c r="I761" i="3" s="1"/>
  <c r="G762" i="3"/>
  <c r="H762" i="3" s="1"/>
  <c r="I762" i="3" s="1"/>
  <c r="G763" i="3"/>
  <c r="H763" i="3" s="1"/>
  <c r="I763" i="3" s="1"/>
  <c r="G764" i="3"/>
  <c r="H764" i="3" s="1"/>
  <c r="I764" i="3" s="1"/>
  <c r="G765" i="3"/>
  <c r="H765" i="3" s="1"/>
  <c r="I765" i="3" s="1"/>
  <c r="G766" i="3"/>
  <c r="H766" i="3" s="1"/>
  <c r="I766" i="3" s="1"/>
  <c r="G767" i="3"/>
  <c r="H767" i="3" s="1"/>
  <c r="I767" i="3" s="1"/>
  <c r="G768" i="3"/>
  <c r="H768" i="3" s="1"/>
  <c r="I768" i="3" s="1"/>
  <c r="G769" i="3"/>
  <c r="H769" i="3" s="1"/>
  <c r="I769" i="3" s="1"/>
  <c r="G770" i="3"/>
  <c r="H770" i="3" s="1"/>
  <c r="I770" i="3" s="1"/>
  <c r="G771" i="3"/>
  <c r="H771" i="3" s="1"/>
  <c r="I771" i="3" s="1"/>
  <c r="G772" i="3"/>
  <c r="H772" i="3" s="1"/>
  <c r="I772" i="3" s="1"/>
  <c r="G773" i="3"/>
  <c r="H773" i="3" s="1"/>
  <c r="I773" i="3" s="1"/>
  <c r="G774" i="3"/>
  <c r="H774" i="3" s="1"/>
  <c r="I774" i="3" s="1"/>
  <c r="G775" i="3"/>
  <c r="H775" i="3" s="1"/>
  <c r="I775" i="3" s="1"/>
  <c r="G776" i="3"/>
  <c r="H776" i="3" s="1"/>
  <c r="I776" i="3" s="1"/>
  <c r="G777" i="3"/>
  <c r="H777" i="3" s="1"/>
  <c r="I777" i="3" s="1"/>
  <c r="G778" i="3"/>
  <c r="H778" i="3" s="1"/>
  <c r="I778" i="3" s="1"/>
  <c r="G779" i="3"/>
  <c r="H779" i="3" s="1"/>
  <c r="I779" i="3" s="1"/>
  <c r="G780" i="3"/>
  <c r="H780" i="3" s="1"/>
  <c r="I780" i="3" s="1"/>
  <c r="G781" i="3"/>
  <c r="H781" i="3" s="1"/>
  <c r="I781" i="3" s="1"/>
  <c r="G782" i="3"/>
  <c r="H782" i="3" s="1"/>
  <c r="I782" i="3" s="1"/>
  <c r="G783" i="3"/>
  <c r="H783" i="3" s="1"/>
  <c r="I783" i="3" s="1"/>
  <c r="G784" i="3"/>
  <c r="H784" i="3" s="1"/>
  <c r="I784" i="3" s="1"/>
  <c r="G785" i="3"/>
  <c r="H785" i="3" s="1"/>
  <c r="I785" i="3" s="1"/>
  <c r="G786" i="3"/>
  <c r="H786" i="3" s="1"/>
  <c r="I786" i="3" s="1"/>
  <c r="G787" i="3"/>
  <c r="H787" i="3" s="1"/>
  <c r="I787" i="3" s="1"/>
  <c r="G788" i="3"/>
  <c r="H788" i="3" s="1"/>
  <c r="I788" i="3" s="1"/>
  <c r="G789" i="3"/>
  <c r="H789" i="3" s="1"/>
  <c r="I789" i="3" s="1"/>
  <c r="G790" i="3"/>
  <c r="H790" i="3" s="1"/>
  <c r="I790" i="3" s="1"/>
  <c r="G791" i="3"/>
  <c r="H791" i="3" s="1"/>
  <c r="I791" i="3" s="1"/>
  <c r="G792" i="3"/>
  <c r="H792" i="3" s="1"/>
  <c r="I792" i="3" s="1"/>
  <c r="G793" i="3"/>
  <c r="H793" i="3" s="1"/>
  <c r="I793" i="3" s="1"/>
  <c r="G794" i="3"/>
  <c r="H794" i="3" s="1"/>
  <c r="I794" i="3" s="1"/>
  <c r="G795" i="3"/>
  <c r="H795" i="3" s="1"/>
  <c r="I795" i="3" s="1"/>
  <c r="G796" i="3"/>
  <c r="H796" i="3" s="1"/>
  <c r="I796" i="3" s="1"/>
  <c r="G797" i="3"/>
  <c r="H797" i="3" s="1"/>
  <c r="I797" i="3" s="1"/>
  <c r="G798" i="3"/>
  <c r="H798" i="3" s="1"/>
  <c r="I798" i="3" s="1"/>
  <c r="G799" i="3"/>
  <c r="H799" i="3" s="1"/>
  <c r="I799" i="3" s="1"/>
  <c r="G800" i="3"/>
  <c r="H800" i="3" s="1"/>
  <c r="I800" i="3" s="1"/>
  <c r="G801" i="3"/>
  <c r="H801" i="3" s="1"/>
  <c r="I801" i="3" s="1"/>
  <c r="G802" i="3"/>
  <c r="H802" i="3" s="1"/>
  <c r="I802" i="3" s="1"/>
  <c r="G803" i="3"/>
  <c r="H803" i="3" s="1"/>
  <c r="I803" i="3" s="1"/>
  <c r="G804" i="3"/>
  <c r="H804" i="3" s="1"/>
  <c r="I804" i="3" s="1"/>
  <c r="G805" i="3"/>
  <c r="H805" i="3" s="1"/>
  <c r="I805" i="3" s="1"/>
  <c r="G806" i="3"/>
  <c r="H806" i="3" s="1"/>
  <c r="I806" i="3" s="1"/>
  <c r="G807" i="3"/>
  <c r="H807" i="3" s="1"/>
  <c r="I807" i="3" s="1"/>
  <c r="G808" i="3"/>
  <c r="H808" i="3" s="1"/>
  <c r="I808" i="3" s="1"/>
  <c r="G809" i="3"/>
  <c r="H809" i="3" s="1"/>
  <c r="I809" i="3" s="1"/>
  <c r="G810" i="3"/>
  <c r="H810" i="3" s="1"/>
  <c r="I810" i="3" s="1"/>
  <c r="G811" i="3"/>
  <c r="H811" i="3" s="1"/>
  <c r="I811" i="3" s="1"/>
  <c r="G812" i="3"/>
  <c r="H812" i="3" s="1"/>
  <c r="I812" i="3" s="1"/>
  <c r="G813" i="3"/>
  <c r="H813" i="3" s="1"/>
  <c r="I813" i="3" s="1"/>
  <c r="G814" i="3"/>
  <c r="H814" i="3" s="1"/>
  <c r="I814" i="3" s="1"/>
  <c r="G815" i="3"/>
  <c r="H815" i="3" s="1"/>
  <c r="I815" i="3" s="1"/>
  <c r="G816" i="3"/>
  <c r="H816" i="3" s="1"/>
  <c r="I816" i="3" s="1"/>
  <c r="G817" i="3"/>
  <c r="H817" i="3" s="1"/>
  <c r="I817" i="3" s="1"/>
  <c r="G818" i="3"/>
  <c r="H818" i="3" s="1"/>
  <c r="I818" i="3" s="1"/>
  <c r="G819" i="3"/>
  <c r="H819" i="3" s="1"/>
  <c r="I819" i="3" s="1"/>
  <c r="G820" i="3"/>
  <c r="H820" i="3" s="1"/>
  <c r="I820" i="3" s="1"/>
  <c r="G821" i="3"/>
  <c r="H821" i="3" s="1"/>
  <c r="I821" i="3" s="1"/>
  <c r="G822" i="3"/>
  <c r="H822" i="3" s="1"/>
  <c r="I822" i="3" s="1"/>
  <c r="G823" i="3"/>
  <c r="H823" i="3" s="1"/>
  <c r="I823" i="3" s="1"/>
  <c r="G824" i="3"/>
  <c r="H824" i="3" s="1"/>
  <c r="I824" i="3" s="1"/>
  <c r="G825" i="3"/>
  <c r="H825" i="3" s="1"/>
  <c r="I825" i="3" s="1"/>
  <c r="G826" i="3"/>
  <c r="H826" i="3" s="1"/>
  <c r="I826" i="3" s="1"/>
  <c r="G827" i="3"/>
  <c r="H827" i="3" s="1"/>
  <c r="I827" i="3" s="1"/>
  <c r="G828" i="3"/>
  <c r="H828" i="3" s="1"/>
  <c r="I828" i="3" s="1"/>
  <c r="G829" i="3"/>
  <c r="H829" i="3" s="1"/>
  <c r="I829" i="3" s="1"/>
  <c r="G830" i="3"/>
  <c r="H830" i="3" s="1"/>
  <c r="I830" i="3" s="1"/>
  <c r="G831" i="3"/>
  <c r="H831" i="3" s="1"/>
  <c r="I831" i="3" s="1"/>
  <c r="G832" i="3"/>
  <c r="H832" i="3" s="1"/>
  <c r="I832" i="3" s="1"/>
  <c r="G833" i="3"/>
  <c r="H833" i="3" s="1"/>
  <c r="I833" i="3" s="1"/>
  <c r="G834" i="3"/>
  <c r="H834" i="3" s="1"/>
  <c r="I834" i="3" s="1"/>
  <c r="G835" i="3"/>
  <c r="H835" i="3" s="1"/>
  <c r="I835" i="3" s="1"/>
  <c r="G836" i="3"/>
  <c r="H836" i="3" s="1"/>
  <c r="I836" i="3" s="1"/>
  <c r="G837" i="3"/>
  <c r="H837" i="3" s="1"/>
  <c r="I837" i="3" s="1"/>
  <c r="G838" i="3"/>
  <c r="H838" i="3" s="1"/>
  <c r="I838" i="3" s="1"/>
  <c r="G839" i="3"/>
  <c r="H839" i="3" s="1"/>
  <c r="I839" i="3" s="1"/>
  <c r="G840" i="3"/>
  <c r="H840" i="3" s="1"/>
  <c r="I840" i="3" s="1"/>
  <c r="G841" i="3"/>
  <c r="H841" i="3" s="1"/>
  <c r="I841" i="3" s="1"/>
  <c r="G842" i="3"/>
  <c r="H842" i="3" s="1"/>
  <c r="I842" i="3" s="1"/>
  <c r="G843" i="3"/>
  <c r="H843" i="3" s="1"/>
  <c r="I843" i="3" s="1"/>
  <c r="G844" i="3"/>
  <c r="H844" i="3" s="1"/>
  <c r="I844" i="3" s="1"/>
  <c r="G845" i="3"/>
  <c r="H845" i="3" s="1"/>
  <c r="I845" i="3" s="1"/>
  <c r="G846" i="3"/>
  <c r="H846" i="3" s="1"/>
  <c r="I846" i="3" s="1"/>
  <c r="G847" i="3"/>
  <c r="H847" i="3" s="1"/>
  <c r="I847" i="3" s="1"/>
  <c r="G848" i="3"/>
  <c r="H848" i="3" s="1"/>
  <c r="I848" i="3" s="1"/>
  <c r="G849" i="3"/>
  <c r="H849" i="3" s="1"/>
  <c r="I849" i="3" s="1"/>
  <c r="G850" i="3"/>
  <c r="H850" i="3" s="1"/>
  <c r="I850" i="3" s="1"/>
  <c r="G851" i="3"/>
  <c r="H851" i="3" s="1"/>
  <c r="I851" i="3" s="1"/>
  <c r="G852" i="3"/>
  <c r="H852" i="3" s="1"/>
  <c r="I852" i="3" s="1"/>
  <c r="G853" i="3"/>
  <c r="H853" i="3" s="1"/>
  <c r="I853" i="3" s="1"/>
  <c r="G854" i="3"/>
  <c r="H854" i="3" s="1"/>
  <c r="I854" i="3" s="1"/>
  <c r="G855" i="3"/>
  <c r="H855" i="3" s="1"/>
  <c r="I855" i="3" s="1"/>
  <c r="G856" i="3"/>
  <c r="H856" i="3" s="1"/>
  <c r="I856" i="3" s="1"/>
  <c r="G857" i="3"/>
  <c r="H857" i="3" s="1"/>
  <c r="I857" i="3" s="1"/>
  <c r="G858" i="3"/>
  <c r="H858" i="3" s="1"/>
  <c r="I858" i="3" s="1"/>
  <c r="G859" i="3"/>
  <c r="H859" i="3" s="1"/>
  <c r="I859" i="3" s="1"/>
  <c r="G860" i="3"/>
  <c r="H860" i="3" s="1"/>
  <c r="I860" i="3" s="1"/>
  <c r="G861" i="3"/>
  <c r="H861" i="3" s="1"/>
  <c r="I861" i="3" s="1"/>
  <c r="G862" i="3"/>
  <c r="H862" i="3" s="1"/>
  <c r="I862" i="3" s="1"/>
  <c r="G863" i="3"/>
  <c r="H863" i="3" s="1"/>
  <c r="I863" i="3" s="1"/>
  <c r="G864" i="3"/>
  <c r="H864" i="3" s="1"/>
  <c r="I864" i="3" s="1"/>
  <c r="G865" i="3"/>
  <c r="H865" i="3" s="1"/>
  <c r="I865" i="3" s="1"/>
  <c r="G866" i="3"/>
  <c r="H866" i="3" s="1"/>
  <c r="I866" i="3" s="1"/>
  <c r="G867" i="3"/>
  <c r="H867" i="3" s="1"/>
  <c r="I867" i="3" s="1"/>
  <c r="G868" i="3"/>
  <c r="H868" i="3" s="1"/>
  <c r="I868" i="3" s="1"/>
  <c r="G869" i="3"/>
  <c r="H869" i="3" s="1"/>
  <c r="I869" i="3" s="1"/>
  <c r="G870" i="3"/>
  <c r="H870" i="3" s="1"/>
  <c r="I870" i="3" s="1"/>
  <c r="G871" i="3"/>
  <c r="H871" i="3" s="1"/>
  <c r="I871" i="3" s="1"/>
  <c r="G872" i="3"/>
  <c r="H872" i="3" s="1"/>
  <c r="I872" i="3" s="1"/>
  <c r="G873" i="3"/>
  <c r="H873" i="3" s="1"/>
  <c r="I873" i="3" s="1"/>
  <c r="G874" i="3"/>
  <c r="H874" i="3" s="1"/>
  <c r="I874" i="3" s="1"/>
  <c r="G875" i="3"/>
  <c r="H875" i="3" s="1"/>
  <c r="I875" i="3" s="1"/>
  <c r="G876" i="3"/>
  <c r="H876" i="3" s="1"/>
  <c r="I876" i="3" s="1"/>
  <c r="G877" i="3"/>
  <c r="H877" i="3" s="1"/>
  <c r="I877" i="3" s="1"/>
  <c r="G878" i="3"/>
  <c r="H878" i="3" s="1"/>
  <c r="I878" i="3" s="1"/>
  <c r="G879" i="3"/>
  <c r="H879" i="3" s="1"/>
  <c r="I879" i="3" s="1"/>
  <c r="G880" i="3"/>
  <c r="H880" i="3" s="1"/>
  <c r="I880" i="3" s="1"/>
  <c r="G881" i="3"/>
  <c r="H881" i="3" s="1"/>
  <c r="I881" i="3" s="1"/>
  <c r="G882" i="3"/>
  <c r="H882" i="3" s="1"/>
  <c r="I882" i="3" s="1"/>
  <c r="G883" i="3"/>
  <c r="H883" i="3" s="1"/>
  <c r="I883" i="3" s="1"/>
  <c r="G884" i="3"/>
  <c r="H884" i="3" s="1"/>
  <c r="I884" i="3" s="1"/>
  <c r="G885" i="3"/>
  <c r="H885" i="3" s="1"/>
  <c r="I885" i="3" s="1"/>
  <c r="G886" i="3"/>
  <c r="H886" i="3" s="1"/>
  <c r="I886" i="3" s="1"/>
  <c r="G887" i="3"/>
  <c r="H887" i="3" s="1"/>
  <c r="I887" i="3" s="1"/>
  <c r="G888" i="3"/>
  <c r="H888" i="3" s="1"/>
  <c r="I888" i="3" s="1"/>
  <c r="G889" i="3"/>
  <c r="H889" i="3" s="1"/>
  <c r="I889" i="3" s="1"/>
  <c r="G890" i="3"/>
  <c r="H890" i="3" s="1"/>
  <c r="I890" i="3" s="1"/>
  <c r="G891" i="3"/>
  <c r="H891" i="3" s="1"/>
  <c r="I891" i="3" s="1"/>
  <c r="G892" i="3"/>
  <c r="H892" i="3" s="1"/>
  <c r="I892" i="3" s="1"/>
  <c r="G893" i="3"/>
  <c r="H893" i="3" s="1"/>
  <c r="I893" i="3" s="1"/>
  <c r="G894" i="3"/>
  <c r="H894" i="3" s="1"/>
  <c r="I894" i="3" s="1"/>
  <c r="G895" i="3"/>
  <c r="H895" i="3" s="1"/>
  <c r="I895" i="3" s="1"/>
  <c r="G896" i="3"/>
  <c r="H896" i="3" s="1"/>
  <c r="I896" i="3" s="1"/>
  <c r="G897" i="3"/>
  <c r="H897" i="3" s="1"/>
  <c r="I897" i="3" s="1"/>
  <c r="G898" i="3"/>
  <c r="H898" i="3" s="1"/>
  <c r="I898" i="3" s="1"/>
  <c r="G899" i="3"/>
  <c r="H899" i="3" s="1"/>
  <c r="I899" i="3" s="1"/>
  <c r="G900" i="3"/>
  <c r="H900" i="3" s="1"/>
  <c r="I900" i="3" s="1"/>
  <c r="G901" i="3"/>
  <c r="H901" i="3" s="1"/>
  <c r="I901" i="3" s="1"/>
  <c r="G902" i="3"/>
  <c r="H902" i="3" s="1"/>
  <c r="I902" i="3" s="1"/>
  <c r="G903" i="3"/>
  <c r="H903" i="3" s="1"/>
  <c r="I903" i="3" s="1"/>
  <c r="G904" i="3"/>
  <c r="H904" i="3" s="1"/>
  <c r="I904" i="3" s="1"/>
  <c r="G905" i="3"/>
  <c r="H905" i="3" s="1"/>
  <c r="I905" i="3" s="1"/>
  <c r="G906" i="3"/>
  <c r="H906" i="3" s="1"/>
  <c r="I906" i="3" s="1"/>
  <c r="G907" i="3"/>
  <c r="H907" i="3" s="1"/>
  <c r="I907" i="3" s="1"/>
  <c r="G908" i="3"/>
  <c r="H908" i="3" s="1"/>
  <c r="I908" i="3" s="1"/>
  <c r="G909" i="3"/>
  <c r="H909" i="3" s="1"/>
  <c r="I909" i="3" s="1"/>
  <c r="G910" i="3"/>
  <c r="H910" i="3" s="1"/>
  <c r="I910" i="3" s="1"/>
  <c r="G911" i="3"/>
  <c r="H911" i="3" s="1"/>
  <c r="I911" i="3" s="1"/>
  <c r="G912" i="3"/>
  <c r="H912" i="3" s="1"/>
  <c r="I912" i="3" s="1"/>
  <c r="G913" i="3"/>
  <c r="H913" i="3" s="1"/>
  <c r="I913" i="3" s="1"/>
  <c r="G914" i="3"/>
  <c r="H914" i="3" s="1"/>
  <c r="I914" i="3" s="1"/>
  <c r="G915" i="3"/>
  <c r="H915" i="3" s="1"/>
  <c r="I915" i="3" s="1"/>
  <c r="G916" i="3"/>
  <c r="H916" i="3" s="1"/>
  <c r="I916" i="3" s="1"/>
  <c r="G917" i="3"/>
  <c r="H917" i="3" s="1"/>
  <c r="I917" i="3" s="1"/>
  <c r="G918" i="3"/>
  <c r="H918" i="3" s="1"/>
  <c r="I918" i="3" s="1"/>
  <c r="G919" i="3"/>
  <c r="H919" i="3" s="1"/>
  <c r="I919" i="3" s="1"/>
  <c r="G920" i="3"/>
  <c r="H920" i="3" s="1"/>
  <c r="I920" i="3" s="1"/>
  <c r="G921" i="3"/>
  <c r="H921" i="3" s="1"/>
  <c r="I921" i="3" s="1"/>
  <c r="G922" i="3"/>
  <c r="H922" i="3" s="1"/>
  <c r="I922" i="3" s="1"/>
  <c r="G923" i="3"/>
  <c r="H923" i="3" s="1"/>
  <c r="I923" i="3" s="1"/>
  <c r="G924" i="3"/>
  <c r="H924" i="3" s="1"/>
  <c r="I924" i="3" s="1"/>
  <c r="G925" i="3"/>
  <c r="H925" i="3" s="1"/>
  <c r="I925" i="3" s="1"/>
  <c r="G926" i="3"/>
  <c r="H926" i="3" s="1"/>
  <c r="I926" i="3" s="1"/>
  <c r="G927" i="3"/>
  <c r="H927" i="3" s="1"/>
  <c r="I927" i="3" s="1"/>
  <c r="G928" i="3"/>
  <c r="H928" i="3" s="1"/>
  <c r="I928" i="3" s="1"/>
  <c r="G929" i="3"/>
  <c r="H929" i="3" s="1"/>
  <c r="I929" i="3" s="1"/>
  <c r="G930" i="3"/>
  <c r="H930" i="3" s="1"/>
  <c r="I930" i="3" s="1"/>
  <c r="G931" i="3"/>
  <c r="H931" i="3" s="1"/>
  <c r="I931" i="3" s="1"/>
  <c r="G932" i="3"/>
  <c r="H932" i="3" s="1"/>
  <c r="I932" i="3" s="1"/>
  <c r="G933" i="3"/>
  <c r="H933" i="3" s="1"/>
  <c r="I933" i="3" s="1"/>
  <c r="G934" i="3"/>
  <c r="H934" i="3" s="1"/>
  <c r="I934" i="3" s="1"/>
  <c r="G935" i="3"/>
  <c r="H935" i="3" s="1"/>
  <c r="I935" i="3" s="1"/>
  <c r="G936" i="3"/>
  <c r="H936" i="3" s="1"/>
  <c r="I936" i="3" s="1"/>
  <c r="G937" i="3"/>
  <c r="H937" i="3" s="1"/>
  <c r="I937" i="3" s="1"/>
  <c r="G938" i="3"/>
  <c r="H938" i="3" s="1"/>
  <c r="I938" i="3" s="1"/>
  <c r="G939" i="3"/>
  <c r="H939" i="3" s="1"/>
  <c r="I939" i="3" s="1"/>
  <c r="G940" i="3"/>
  <c r="H940" i="3" s="1"/>
  <c r="I940" i="3" s="1"/>
  <c r="G941" i="3"/>
  <c r="H941" i="3" s="1"/>
  <c r="I941" i="3" s="1"/>
  <c r="G942" i="3"/>
  <c r="H942" i="3" s="1"/>
  <c r="I942" i="3" s="1"/>
  <c r="G943" i="3"/>
  <c r="H943" i="3" s="1"/>
  <c r="I943" i="3" s="1"/>
  <c r="G944" i="3"/>
  <c r="H944" i="3" s="1"/>
  <c r="I944" i="3" s="1"/>
  <c r="G945" i="3"/>
  <c r="H945" i="3" s="1"/>
  <c r="I945" i="3" s="1"/>
  <c r="G946" i="3"/>
  <c r="H946" i="3" s="1"/>
  <c r="I946" i="3" s="1"/>
  <c r="G947" i="3"/>
  <c r="H947" i="3" s="1"/>
  <c r="I947" i="3" s="1"/>
  <c r="G948" i="3"/>
  <c r="H948" i="3" s="1"/>
  <c r="I948" i="3" s="1"/>
  <c r="G949" i="3"/>
  <c r="H949" i="3" s="1"/>
  <c r="I949" i="3" s="1"/>
  <c r="G950" i="3"/>
  <c r="H950" i="3" s="1"/>
  <c r="I950" i="3" s="1"/>
  <c r="G951" i="3"/>
  <c r="H951" i="3" s="1"/>
  <c r="I951" i="3" s="1"/>
  <c r="G952" i="3"/>
  <c r="H952" i="3" s="1"/>
  <c r="I952" i="3" s="1"/>
  <c r="G953" i="3"/>
  <c r="H953" i="3" s="1"/>
  <c r="I953" i="3" s="1"/>
  <c r="G954" i="3"/>
  <c r="H954" i="3" s="1"/>
  <c r="I954" i="3" s="1"/>
  <c r="G955" i="3"/>
  <c r="H955" i="3" s="1"/>
  <c r="I955" i="3" s="1"/>
  <c r="G956" i="3"/>
  <c r="H956" i="3" s="1"/>
  <c r="I956" i="3" s="1"/>
  <c r="G957" i="3"/>
  <c r="H957" i="3" s="1"/>
  <c r="I957" i="3" s="1"/>
  <c r="G958" i="3"/>
  <c r="H958" i="3" s="1"/>
  <c r="I958" i="3" s="1"/>
  <c r="G959" i="3"/>
  <c r="H959" i="3" s="1"/>
  <c r="I959" i="3" s="1"/>
  <c r="G960" i="3"/>
  <c r="H960" i="3" s="1"/>
  <c r="I960" i="3" s="1"/>
  <c r="G961" i="3"/>
  <c r="H961" i="3" s="1"/>
  <c r="I961" i="3" s="1"/>
  <c r="G962" i="3"/>
  <c r="H962" i="3" s="1"/>
  <c r="I962" i="3" s="1"/>
  <c r="G963" i="3"/>
  <c r="H963" i="3" s="1"/>
  <c r="I963" i="3" s="1"/>
  <c r="G964" i="3"/>
  <c r="H964" i="3" s="1"/>
  <c r="I964" i="3" s="1"/>
  <c r="G965" i="3"/>
  <c r="H965" i="3" s="1"/>
  <c r="I965" i="3" s="1"/>
  <c r="G683" i="3"/>
  <c r="H683" i="3" s="1"/>
  <c r="I683" i="3" s="1"/>
  <c r="G966" i="3"/>
  <c r="H966" i="3" s="1"/>
  <c r="I966" i="3" s="1"/>
  <c r="G967" i="3"/>
  <c r="H967" i="3" s="1"/>
  <c r="I967" i="3" s="1"/>
  <c r="G968" i="3"/>
  <c r="H968" i="3" s="1"/>
  <c r="I968" i="3" s="1"/>
  <c r="G969" i="3"/>
  <c r="H969" i="3" s="1"/>
  <c r="I969" i="3" s="1"/>
  <c r="G970" i="3"/>
  <c r="H970" i="3" s="1"/>
  <c r="I970" i="3" s="1"/>
  <c r="G971" i="3"/>
  <c r="H971" i="3" s="1"/>
  <c r="I971" i="3" s="1"/>
  <c r="G972" i="3"/>
  <c r="H972" i="3" s="1"/>
  <c r="I972" i="3" s="1"/>
  <c r="G973" i="3"/>
  <c r="H973" i="3" s="1"/>
  <c r="I973" i="3" s="1"/>
  <c r="G974" i="3"/>
  <c r="H974" i="3" s="1"/>
  <c r="I974" i="3" s="1"/>
  <c r="G975" i="3"/>
  <c r="H975" i="3" s="1"/>
  <c r="I975" i="3" s="1"/>
  <c r="G976" i="3"/>
  <c r="H976" i="3" s="1"/>
  <c r="I976" i="3" s="1"/>
  <c r="G977" i="3"/>
  <c r="H977" i="3" s="1"/>
  <c r="I977" i="3" s="1"/>
  <c r="G978" i="3"/>
  <c r="H978" i="3" s="1"/>
  <c r="I978" i="3" s="1"/>
  <c r="G979" i="3"/>
  <c r="H979" i="3" s="1"/>
  <c r="I979" i="3" s="1"/>
  <c r="G980" i="3"/>
  <c r="H980" i="3" s="1"/>
  <c r="I980" i="3" s="1"/>
  <c r="G981" i="3"/>
  <c r="H981" i="3" s="1"/>
  <c r="I981" i="3" s="1"/>
  <c r="G982" i="3"/>
  <c r="H982" i="3" s="1"/>
  <c r="I982" i="3" s="1"/>
  <c r="G983" i="3"/>
  <c r="H983" i="3" s="1"/>
  <c r="I983" i="3" s="1"/>
  <c r="G984" i="3"/>
  <c r="H984" i="3" s="1"/>
  <c r="I984" i="3" s="1"/>
  <c r="G985" i="3"/>
  <c r="H985" i="3" s="1"/>
  <c r="I985" i="3" s="1"/>
  <c r="G986" i="3"/>
  <c r="H986" i="3" s="1"/>
  <c r="I986" i="3" s="1"/>
  <c r="G987" i="3"/>
  <c r="H987" i="3" s="1"/>
  <c r="I987" i="3" s="1"/>
  <c r="G988" i="3"/>
  <c r="H988" i="3" s="1"/>
  <c r="I988" i="3" s="1"/>
  <c r="G989" i="3"/>
  <c r="H989" i="3" s="1"/>
  <c r="I989" i="3" s="1"/>
  <c r="G990" i="3"/>
  <c r="H990" i="3" s="1"/>
  <c r="I990" i="3" s="1"/>
  <c r="G991" i="3"/>
  <c r="H991" i="3" s="1"/>
  <c r="I991" i="3" s="1"/>
  <c r="G992" i="3"/>
  <c r="H992" i="3" s="1"/>
  <c r="I992" i="3" s="1"/>
  <c r="G993" i="3"/>
  <c r="H993" i="3" s="1"/>
  <c r="I993" i="3" s="1"/>
  <c r="G994" i="3"/>
  <c r="H994" i="3" s="1"/>
  <c r="I994" i="3" s="1"/>
  <c r="G995" i="3"/>
  <c r="H995" i="3" s="1"/>
  <c r="I995" i="3" s="1"/>
  <c r="G996" i="3"/>
  <c r="H996" i="3" s="1"/>
  <c r="I996" i="3" s="1"/>
  <c r="G997" i="3"/>
  <c r="H997" i="3" s="1"/>
  <c r="I997" i="3" s="1"/>
  <c r="G998" i="3"/>
  <c r="H998" i="3" s="1"/>
  <c r="I998" i="3" s="1"/>
  <c r="G999" i="3"/>
  <c r="H999" i="3" s="1"/>
  <c r="I999" i="3" s="1"/>
  <c r="G1000" i="3"/>
  <c r="H1000" i="3" s="1"/>
  <c r="I1000" i="3" s="1"/>
  <c r="G1001" i="3"/>
  <c r="H1001" i="3" s="1"/>
  <c r="I1001" i="3" s="1"/>
  <c r="G9" i="3"/>
  <c r="H9" i="3" s="1"/>
  <c r="I9" i="3" s="1"/>
  <c r="G10" i="3"/>
  <c r="H10" i="3" s="1"/>
  <c r="I10" i="3" s="1"/>
  <c r="G11" i="3"/>
  <c r="H11" i="3" s="1"/>
  <c r="I11" i="3" s="1"/>
  <c r="G12" i="3"/>
  <c r="H12" i="3" s="1"/>
  <c r="I12" i="3" s="1"/>
  <c r="G13" i="3"/>
  <c r="H13" i="3" s="1"/>
  <c r="I13" i="3" s="1"/>
  <c r="G14" i="3"/>
  <c r="H14" i="3" s="1"/>
  <c r="I14" i="3" s="1"/>
  <c r="G15" i="3"/>
  <c r="H15" i="3" s="1"/>
  <c r="I15" i="3" s="1"/>
  <c r="G16" i="3"/>
  <c r="H16" i="3" s="1"/>
  <c r="I16" i="3" s="1"/>
  <c r="G17" i="3"/>
  <c r="H17" i="3" s="1"/>
  <c r="I17" i="3" s="1"/>
  <c r="G18" i="3"/>
  <c r="H18" i="3" s="1"/>
  <c r="I18" i="3" s="1"/>
  <c r="G19" i="3"/>
  <c r="H19" i="3" s="1"/>
  <c r="I19" i="3" s="1"/>
  <c r="G20" i="3"/>
  <c r="H20" i="3" s="1"/>
  <c r="I20" i="3" s="1"/>
  <c r="G21" i="3"/>
  <c r="H21" i="3" s="1"/>
  <c r="I21" i="3" s="1"/>
  <c r="G22" i="3"/>
  <c r="H22" i="3" s="1"/>
  <c r="I22" i="3" s="1"/>
  <c r="G23" i="3"/>
  <c r="H23" i="3" s="1"/>
  <c r="I23" i="3" s="1"/>
  <c r="G24" i="3"/>
  <c r="H24" i="3" s="1"/>
  <c r="I24" i="3" s="1"/>
  <c r="G25" i="3"/>
  <c r="H25" i="3" s="1"/>
  <c r="I25" i="3" s="1"/>
  <c r="G26" i="3"/>
  <c r="H26" i="3" s="1"/>
  <c r="I26" i="3" s="1"/>
  <c r="G27" i="3"/>
  <c r="H27" i="3" s="1"/>
  <c r="I27" i="3" s="1"/>
  <c r="G28" i="3"/>
  <c r="H28" i="3" s="1"/>
  <c r="I28" i="3" s="1"/>
  <c r="G29" i="3"/>
  <c r="H29" i="3" s="1"/>
  <c r="I29" i="3" s="1"/>
  <c r="G30" i="3"/>
  <c r="H30" i="3" s="1"/>
  <c r="I30" i="3" s="1"/>
  <c r="G31" i="3"/>
  <c r="H31" i="3" s="1"/>
  <c r="I31" i="3" s="1"/>
  <c r="G32" i="3"/>
  <c r="H32" i="3" s="1"/>
  <c r="I32" i="3" s="1"/>
  <c r="G33" i="3"/>
  <c r="H33" i="3" s="1"/>
  <c r="I33" i="3" s="1"/>
  <c r="G34" i="3"/>
  <c r="H34" i="3" s="1"/>
  <c r="I34" i="3" s="1"/>
  <c r="G35" i="3"/>
  <c r="H35" i="3" s="1"/>
  <c r="I35" i="3" s="1"/>
  <c r="G36" i="3"/>
  <c r="H36" i="3" s="1"/>
  <c r="I36" i="3" s="1"/>
  <c r="G37" i="3"/>
  <c r="H37" i="3" s="1"/>
  <c r="I37" i="3" s="1"/>
  <c r="G38" i="3"/>
  <c r="H38" i="3" s="1"/>
  <c r="I38" i="3" s="1"/>
  <c r="G39" i="3"/>
  <c r="H39" i="3" s="1"/>
  <c r="I39" i="3" s="1"/>
  <c r="G40" i="3"/>
  <c r="H40" i="3" s="1"/>
  <c r="I40" i="3" s="1"/>
  <c r="G41" i="3"/>
  <c r="H41" i="3" s="1"/>
  <c r="I41" i="3" s="1"/>
  <c r="G42" i="3"/>
  <c r="H42" i="3" s="1"/>
  <c r="I42" i="3" s="1"/>
  <c r="G43" i="3"/>
  <c r="H43" i="3" s="1"/>
  <c r="I43" i="3" s="1"/>
  <c r="G44" i="3"/>
  <c r="H44" i="3" s="1"/>
  <c r="I44" i="3" s="1"/>
  <c r="G45" i="3"/>
  <c r="H45" i="3" s="1"/>
  <c r="I45" i="3" s="1"/>
  <c r="G46" i="3"/>
  <c r="H46" i="3" s="1"/>
  <c r="I46" i="3" s="1"/>
  <c r="G47" i="3"/>
  <c r="H47" i="3" s="1"/>
  <c r="I47" i="3" s="1"/>
  <c r="G48" i="3"/>
  <c r="H48" i="3" s="1"/>
  <c r="I48" i="3" s="1"/>
  <c r="G49" i="3"/>
  <c r="H49" i="3" s="1"/>
  <c r="I49" i="3" s="1"/>
  <c r="G50" i="3"/>
  <c r="H50" i="3" s="1"/>
  <c r="I50" i="3" s="1"/>
  <c r="G51" i="3"/>
  <c r="H51" i="3" s="1"/>
  <c r="I51" i="3" s="1"/>
  <c r="G52" i="3"/>
  <c r="H52" i="3" s="1"/>
  <c r="I52" i="3" s="1"/>
  <c r="G53" i="3"/>
  <c r="H53" i="3" s="1"/>
  <c r="I53" i="3" s="1"/>
  <c r="G54" i="3"/>
  <c r="H54" i="3" s="1"/>
  <c r="I54" i="3" s="1"/>
  <c r="G55" i="3"/>
  <c r="H55" i="3" s="1"/>
  <c r="I55" i="3" s="1"/>
  <c r="G56" i="3"/>
  <c r="H56" i="3" s="1"/>
  <c r="I56" i="3" s="1"/>
  <c r="G57" i="3"/>
  <c r="H57" i="3" s="1"/>
  <c r="I57" i="3" s="1"/>
  <c r="G58" i="3"/>
  <c r="H58" i="3" s="1"/>
  <c r="I58" i="3" s="1"/>
  <c r="G59" i="3"/>
  <c r="H59" i="3" s="1"/>
  <c r="I59" i="3" s="1"/>
  <c r="G60" i="3"/>
  <c r="H60" i="3" s="1"/>
  <c r="I60" i="3" s="1"/>
  <c r="G61" i="3"/>
  <c r="H61" i="3" s="1"/>
  <c r="I61" i="3" s="1"/>
  <c r="G62" i="3"/>
  <c r="H62" i="3" s="1"/>
  <c r="I62" i="3" s="1"/>
  <c r="G63" i="3"/>
  <c r="H63" i="3" s="1"/>
  <c r="I63" i="3" s="1"/>
  <c r="G64" i="3"/>
  <c r="H64" i="3" s="1"/>
  <c r="I64" i="3" s="1"/>
  <c r="G65" i="3"/>
  <c r="H65" i="3" s="1"/>
  <c r="I65" i="3" s="1"/>
  <c r="G66" i="3"/>
  <c r="H66" i="3" s="1"/>
  <c r="I66" i="3" s="1"/>
  <c r="G67" i="3"/>
  <c r="H67" i="3" s="1"/>
  <c r="I67" i="3" s="1"/>
  <c r="G68" i="3"/>
  <c r="H68" i="3" s="1"/>
  <c r="I68" i="3" s="1"/>
  <c r="G69" i="3"/>
  <c r="H69" i="3" s="1"/>
  <c r="I69" i="3" s="1"/>
  <c r="G70" i="3"/>
  <c r="H70" i="3" s="1"/>
  <c r="I70" i="3" s="1"/>
  <c r="G71" i="3"/>
  <c r="H71" i="3" s="1"/>
  <c r="I71" i="3" s="1"/>
  <c r="G72" i="3"/>
  <c r="H72" i="3" s="1"/>
  <c r="I72" i="3" s="1"/>
  <c r="G73" i="3"/>
  <c r="H73" i="3" s="1"/>
  <c r="I73" i="3" s="1"/>
  <c r="G74" i="3"/>
  <c r="H74" i="3" s="1"/>
  <c r="I74" i="3" s="1"/>
  <c r="G75" i="3"/>
  <c r="H75" i="3" s="1"/>
  <c r="I75" i="3" s="1"/>
  <c r="G76" i="3"/>
  <c r="H76" i="3" s="1"/>
  <c r="I76" i="3" s="1"/>
  <c r="G77" i="3"/>
  <c r="H77" i="3" s="1"/>
  <c r="I77" i="3" s="1"/>
  <c r="G78" i="3"/>
  <c r="H78" i="3" s="1"/>
  <c r="I78" i="3" s="1"/>
  <c r="G79" i="3"/>
  <c r="H79" i="3" s="1"/>
  <c r="I79" i="3" s="1"/>
  <c r="G80" i="3"/>
  <c r="H80" i="3" s="1"/>
  <c r="I80" i="3" s="1"/>
  <c r="G81" i="3"/>
  <c r="H81" i="3" s="1"/>
  <c r="I81" i="3" s="1"/>
  <c r="G82" i="3"/>
  <c r="H82" i="3" s="1"/>
  <c r="I82" i="3" s="1"/>
  <c r="G83" i="3"/>
  <c r="H83" i="3" s="1"/>
  <c r="I83" i="3" s="1"/>
  <c r="G84" i="3"/>
  <c r="H84" i="3" s="1"/>
  <c r="I84" i="3" s="1"/>
  <c r="G85" i="3"/>
  <c r="H85" i="3" s="1"/>
  <c r="I85" i="3" s="1"/>
  <c r="G86" i="3"/>
  <c r="H86" i="3" s="1"/>
  <c r="I86" i="3" s="1"/>
  <c r="G87" i="3"/>
  <c r="H87" i="3" s="1"/>
  <c r="I87" i="3" s="1"/>
  <c r="G88" i="3"/>
  <c r="H88" i="3" s="1"/>
  <c r="I88" i="3" s="1"/>
  <c r="G89" i="3"/>
  <c r="G90" i="3"/>
  <c r="H90" i="3" s="1"/>
  <c r="I90" i="3" s="1"/>
  <c r="G91" i="3"/>
  <c r="H91" i="3" s="1"/>
  <c r="I91" i="3" s="1"/>
  <c r="G92" i="3"/>
  <c r="H92" i="3" s="1"/>
  <c r="I92" i="3" s="1"/>
  <c r="G93" i="3"/>
  <c r="H93" i="3" s="1"/>
  <c r="I93" i="3" s="1"/>
  <c r="G94" i="3"/>
  <c r="H94" i="3" s="1"/>
  <c r="I94" i="3" s="1"/>
  <c r="G95" i="3"/>
  <c r="H95" i="3" s="1"/>
  <c r="I95" i="3" s="1"/>
  <c r="G96" i="3"/>
  <c r="H96" i="3" s="1"/>
  <c r="I96" i="3" s="1"/>
  <c r="G97" i="3"/>
  <c r="H97" i="3" s="1"/>
  <c r="I97" i="3" s="1"/>
  <c r="G98" i="3"/>
  <c r="H98" i="3" s="1"/>
  <c r="I98" i="3" s="1"/>
  <c r="G99" i="3"/>
  <c r="H99" i="3" s="1"/>
  <c r="I99" i="3" s="1"/>
  <c r="G100" i="3"/>
  <c r="H100" i="3" s="1"/>
  <c r="I100" i="3" s="1"/>
  <c r="G101" i="3"/>
  <c r="H101" i="3" s="1"/>
  <c r="I101" i="3" s="1"/>
  <c r="G102" i="3"/>
  <c r="H102" i="3" s="1"/>
  <c r="I102" i="3" s="1"/>
  <c r="G103" i="3"/>
  <c r="H103" i="3" s="1"/>
  <c r="I103" i="3" s="1"/>
  <c r="G104" i="3"/>
  <c r="H104" i="3" s="1"/>
  <c r="I104" i="3" s="1"/>
  <c r="G105" i="3"/>
  <c r="H105" i="3" s="1"/>
  <c r="I105" i="3" s="1"/>
  <c r="G106" i="3"/>
  <c r="H106" i="3" s="1"/>
  <c r="I106" i="3" s="1"/>
  <c r="G107" i="3"/>
  <c r="H107" i="3" s="1"/>
  <c r="I107" i="3" s="1"/>
  <c r="G108" i="3"/>
  <c r="H108" i="3" s="1"/>
  <c r="I108" i="3" s="1"/>
  <c r="G109" i="3"/>
  <c r="H109" i="3" s="1"/>
  <c r="I109" i="3" s="1"/>
  <c r="G110" i="3"/>
  <c r="H110" i="3" s="1"/>
  <c r="I110" i="3" s="1"/>
  <c r="G111" i="3"/>
  <c r="H111" i="3" s="1"/>
  <c r="I111" i="3" s="1"/>
  <c r="G112" i="3"/>
  <c r="H112" i="3" s="1"/>
  <c r="I112" i="3" s="1"/>
  <c r="G113" i="3"/>
  <c r="H113" i="3" s="1"/>
  <c r="I113" i="3" s="1"/>
  <c r="G114" i="3"/>
  <c r="H114" i="3" s="1"/>
  <c r="I114" i="3" s="1"/>
  <c r="G115" i="3"/>
  <c r="H115" i="3" s="1"/>
  <c r="I115" i="3" s="1"/>
  <c r="G116" i="3"/>
  <c r="H116" i="3" s="1"/>
  <c r="I116" i="3" s="1"/>
  <c r="G117" i="3"/>
  <c r="H117" i="3" s="1"/>
  <c r="I117" i="3" s="1"/>
  <c r="G118" i="3"/>
  <c r="H118" i="3" s="1"/>
  <c r="I118" i="3" s="1"/>
  <c r="G119" i="3"/>
  <c r="H119" i="3" s="1"/>
  <c r="I119" i="3" s="1"/>
  <c r="G120" i="3"/>
  <c r="H120" i="3" s="1"/>
  <c r="I120" i="3" s="1"/>
  <c r="G121" i="3"/>
  <c r="H121" i="3" s="1"/>
  <c r="I121" i="3" s="1"/>
  <c r="G122" i="3"/>
  <c r="H122" i="3" s="1"/>
  <c r="I122" i="3" s="1"/>
  <c r="G2" i="3"/>
  <c r="H2" i="3" s="1"/>
  <c r="I2" i="3" s="1"/>
  <c r="G3" i="3"/>
  <c r="H3" i="3" s="1"/>
  <c r="I3" i="3" s="1"/>
  <c r="G4" i="3"/>
  <c r="H4" i="3" s="1"/>
  <c r="I4" i="3" s="1"/>
  <c r="G5" i="3"/>
  <c r="H5" i="3" s="1"/>
  <c r="I5" i="3" s="1"/>
  <c r="G6" i="2"/>
  <c r="H6" i="2" s="1"/>
  <c r="I6" i="2" s="1"/>
  <c r="G562" i="2"/>
  <c r="H562" i="2" s="1"/>
  <c r="I562" i="2" s="1"/>
  <c r="G563" i="2"/>
  <c r="H563" i="2" s="1"/>
  <c r="I563" i="2" s="1"/>
  <c r="G564" i="2"/>
  <c r="H564" i="2" s="1"/>
  <c r="I564" i="2" s="1"/>
  <c r="G565" i="2"/>
  <c r="H565" i="2" s="1"/>
  <c r="I565" i="2" s="1"/>
  <c r="G566" i="2"/>
  <c r="H566" i="2" s="1"/>
  <c r="I566" i="2" s="1"/>
  <c r="G567" i="2"/>
  <c r="H567" i="2" s="1"/>
  <c r="I567" i="2" s="1"/>
  <c r="G568" i="2"/>
  <c r="H568" i="2" s="1"/>
  <c r="I568" i="2" s="1"/>
  <c r="G569" i="2"/>
  <c r="H569" i="2" s="1"/>
  <c r="I569" i="2" s="1"/>
  <c r="G570" i="2"/>
  <c r="H570" i="2" s="1"/>
  <c r="I570" i="2" s="1"/>
  <c r="G571" i="2"/>
  <c r="H571" i="2" s="1"/>
  <c r="I571" i="2" s="1"/>
  <c r="G572" i="2"/>
  <c r="H572" i="2" s="1"/>
  <c r="I572" i="2" s="1"/>
  <c r="G573" i="2"/>
  <c r="H573" i="2" s="1"/>
  <c r="I573" i="2" s="1"/>
  <c r="G574" i="2"/>
  <c r="H574" i="2" s="1"/>
  <c r="I574" i="2" s="1"/>
  <c r="G575" i="2"/>
  <c r="H575" i="2" s="1"/>
  <c r="I575" i="2" s="1"/>
  <c r="G576" i="2"/>
  <c r="H576" i="2" s="1"/>
  <c r="I576" i="2" s="1"/>
  <c r="G577" i="2"/>
  <c r="H577" i="2" s="1"/>
  <c r="I577" i="2" s="1"/>
  <c r="G578" i="2"/>
  <c r="H578" i="2" s="1"/>
  <c r="I578" i="2" s="1"/>
  <c r="G579" i="2"/>
  <c r="H579" i="2" s="1"/>
  <c r="I579" i="2" s="1"/>
  <c r="G580" i="2"/>
  <c r="H580" i="2" s="1"/>
  <c r="I580" i="2" s="1"/>
  <c r="G581" i="2"/>
  <c r="H581" i="2" s="1"/>
  <c r="I581" i="2" s="1"/>
  <c r="G582" i="2"/>
  <c r="H582" i="2" s="1"/>
  <c r="I582" i="2" s="1"/>
  <c r="G583" i="2"/>
  <c r="H583" i="2" s="1"/>
  <c r="I583" i="2" s="1"/>
  <c r="G584" i="2"/>
  <c r="H584" i="2" s="1"/>
  <c r="I584" i="2" s="1"/>
  <c r="G585" i="2"/>
  <c r="H585" i="2" s="1"/>
  <c r="I585" i="2" s="1"/>
  <c r="G586" i="2"/>
  <c r="H586" i="2" s="1"/>
  <c r="I586" i="2" s="1"/>
  <c r="G587" i="2"/>
  <c r="H587" i="2" s="1"/>
  <c r="I587" i="2" s="1"/>
  <c r="G588" i="2"/>
  <c r="H588" i="2" s="1"/>
  <c r="I588" i="2" s="1"/>
  <c r="G589" i="2"/>
  <c r="H589" i="2" s="1"/>
  <c r="I589" i="2" s="1"/>
  <c r="G590" i="2"/>
  <c r="H590" i="2" s="1"/>
  <c r="I590" i="2" s="1"/>
  <c r="G591" i="2"/>
  <c r="H591" i="2" s="1"/>
  <c r="I591" i="2" s="1"/>
  <c r="G592" i="2"/>
  <c r="H592" i="2" s="1"/>
  <c r="I592" i="2" s="1"/>
  <c r="G593" i="2"/>
  <c r="H593" i="2" s="1"/>
  <c r="I593" i="2" s="1"/>
  <c r="G594" i="2"/>
  <c r="H594" i="2" s="1"/>
  <c r="I594" i="2" s="1"/>
  <c r="G595" i="2"/>
  <c r="H595" i="2" s="1"/>
  <c r="I595" i="2" s="1"/>
  <c r="G596" i="2"/>
  <c r="H596" i="2" s="1"/>
  <c r="I596" i="2" s="1"/>
  <c r="G597" i="2"/>
  <c r="H597" i="2" s="1"/>
  <c r="I597" i="2" s="1"/>
  <c r="G598" i="2"/>
  <c r="H598" i="2" s="1"/>
  <c r="I598" i="2" s="1"/>
  <c r="G599" i="2"/>
  <c r="H599" i="2" s="1"/>
  <c r="I599" i="2" s="1"/>
  <c r="G600" i="2"/>
  <c r="H600" i="2" s="1"/>
  <c r="I600" i="2" s="1"/>
  <c r="G601" i="2"/>
  <c r="H601" i="2" s="1"/>
  <c r="I601" i="2" s="1"/>
  <c r="G602" i="2"/>
  <c r="H602" i="2" s="1"/>
  <c r="I602" i="2" s="1"/>
  <c r="G603" i="2"/>
  <c r="H603" i="2" s="1"/>
  <c r="I603" i="2" s="1"/>
  <c r="G604" i="2"/>
  <c r="H604" i="2" s="1"/>
  <c r="I604" i="2" s="1"/>
  <c r="G605" i="2"/>
  <c r="H605" i="2" s="1"/>
  <c r="I605" i="2" s="1"/>
  <c r="G606" i="2"/>
  <c r="H606" i="2" s="1"/>
  <c r="I606" i="2" s="1"/>
  <c r="G607" i="2"/>
  <c r="H607" i="2" s="1"/>
  <c r="I607" i="2" s="1"/>
  <c r="G608" i="2"/>
  <c r="H608" i="2" s="1"/>
  <c r="I608" i="2" s="1"/>
  <c r="G609" i="2"/>
  <c r="H609" i="2" s="1"/>
  <c r="I609" i="2" s="1"/>
  <c r="G610" i="2"/>
  <c r="H610" i="2" s="1"/>
  <c r="I610" i="2" s="1"/>
  <c r="G611" i="2"/>
  <c r="H611" i="2" s="1"/>
  <c r="I611" i="2" s="1"/>
  <c r="G612" i="2"/>
  <c r="H612" i="2" s="1"/>
  <c r="I612" i="2" s="1"/>
  <c r="G613" i="2"/>
  <c r="H613" i="2" s="1"/>
  <c r="I613" i="2" s="1"/>
  <c r="G614" i="2"/>
  <c r="H614" i="2" s="1"/>
  <c r="I614" i="2" s="1"/>
  <c r="G615" i="2"/>
  <c r="H615" i="2" s="1"/>
  <c r="I615" i="2" s="1"/>
  <c r="G616" i="2"/>
  <c r="H616" i="2" s="1"/>
  <c r="I616" i="2" s="1"/>
  <c r="G617" i="2"/>
  <c r="H617" i="2" s="1"/>
  <c r="I617" i="2" s="1"/>
  <c r="G618" i="2"/>
  <c r="H618" i="2" s="1"/>
  <c r="I618" i="2" s="1"/>
  <c r="G619" i="2"/>
  <c r="H619" i="2" s="1"/>
  <c r="I619" i="2" s="1"/>
  <c r="G620" i="2"/>
  <c r="H620" i="2" s="1"/>
  <c r="I620" i="2" s="1"/>
  <c r="G621" i="2"/>
  <c r="H621" i="2" s="1"/>
  <c r="I621" i="2" s="1"/>
  <c r="G622" i="2"/>
  <c r="H622" i="2" s="1"/>
  <c r="I622" i="2" s="1"/>
  <c r="G623" i="2"/>
  <c r="H623" i="2" s="1"/>
  <c r="I623" i="2" s="1"/>
  <c r="G624" i="2"/>
  <c r="H624" i="2" s="1"/>
  <c r="I624" i="2" s="1"/>
  <c r="G625" i="2"/>
  <c r="H625" i="2" s="1"/>
  <c r="I625" i="2" s="1"/>
  <c r="G626" i="2"/>
  <c r="H626" i="2" s="1"/>
  <c r="I626" i="2" s="1"/>
  <c r="G627" i="2"/>
  <c r="H627" i="2" s="1"/>
  <c r="I627" i="2" s="1"/>
  <c r="G628" i="2"/>
  <c r="H628" i="2" s="1"/>
  <c r="I628" i="2" s="1"/>
  <c r="G629" i="2"/>
  <c r="H629" i="2" s="1"/>
  <c r="I629" i="2" s="1"/>
  <c r="G630" i="2"/>
  <c r="H630" i="2" s="1"/>
  <c r="I630" i="2" s="1"/>
  <c r="G631" i="2"/>
  <c r="H631" i="2" s="1"/>
  <c r="I631" i="2" s="1"/>
  <c r="G632" i="2"/>
  <c r="H632" i="2" s="1"/>
  <c r="I632" i="2" s="1"/>
  <c r="G633" i="2"/>
  <c r="H633" i="2" s="1"/>
  <c r="I633" i="2" s="1"/>
  <c r="G634" i="2"/>
  <c r="H634" i="2" s="1"/>
  <c r="I634" i="2" s="1"/>
  <c r="G635" i="2"/>
  <c r="H635" i="2" s="1"/>
  <c r="I635" i="2" s="1"/>
  <c r="G636" i="2"/>
  <c r="H636" i="2" s="1"/>
  <c r="I636" i="2" s="1"/>
  <c r="G637" i="2"/>
  <c r="H637" i="2" s="1"/>
  <c r="I637" i="2" s="1"/>
  <c r="G638" i="2"/>
  <c r="H638" i="2" s="1"/>
  <c r="I638" i="2" s="1"/>
  <c r="G639" i="2"/>
  <c r="H639" i="2" s="1"/>
  <c r="I639" i="2" s="1"/>
  <c r="G640" i="2"/>
  <c r="H640" i="2" s="1"/>
  <c r="I640" i="2" s="1"/>
  <c r="G641" i="2"/>
  <c r="H641" i="2" s="1"/>
  <c r="I641" i="2" s="1"/>
  <c r="G642" i="2"/>
  <c r="H642" i="2" s="1"/>
  <c r="I642" i="2" s="1"/>
  <c r="G643" i="2"/>
  <c r="H643" i="2" s="1"/>
  <c r="I643" i="2" s="1"/>
  <c r="G644" i="2"/>
  <c r="H644" i="2" s="1"/>
  <c r="I644" i="2" s="1"/>
  <c r="G645" i="2"/>
  <c r="H645" i="2" s="1"/>
  <c r="I645" i="2" s="1"/>
  <c r="G646" i="2"/>
  <c r="H646" i="2" s="1"/>
  <c r="I646" i="2" s="1"/>
  <c r="G647" i="2"/>
  <c r="H647" i="2" s="1"/>
  <c r="I647" i="2" s="1"/>
  <c r="G648" i="2"/>
  <c r="H648" i="2" s="1"/>
  <c r="I648" i="2" s="1"/>
  <c r="G649" i="2"/>
  <c r="H649" i="2" s="1"/>
  <c r="I649" i="2" s="1"/>
  <c r="G650" i="2"/>
  <c r="H650" i="2" s="1"/>
  <c r="I650" i="2" s="1"/>
  <c r="G651" i="2"/>
  <c r="H651" i="2" s="1"/>
  <c r="I651" i="2" s="1"/>
  <c r="G652" i="2"/>
  <c r="H652" i="2" s="1"/>
  <c r="I652" i="2" s="1"/>
  <c r="G653" i="2"/>
  <c r="H653" i="2" s="1"/>
  <c r="I653" i="2" s="1"/>
  <c r="G654" i="2"/>
  <c r="H654" i="2" s="1"/>
  <c r="I654" i="2" s="1"/>
  <c r="G655" i="2"/>
  <c r="H655" i="2" s="1"/>
  <c r="I655" i="2" s="1"/>
  <c r="G656" i="2"/>
  <c r="H656" i="2" s="1"/>
  <c r="I656" i="2" s="1"/>
  <c r="G657" i="2"/>
  <c r="H657" i="2" s="1"/>
  <c r="I657" i="2" s="1"/>
  <c r="G658" i="2"/>
  <c r="H658" i="2" s="1"/>
  <c r="I658" i="2" s="1"/>
  <c r="G659" i="2"/>
  <c r="H659" i="2" s="1"/>
  <c r="I659" i="2" s="1"/>
  <c r="G660" i="2"/>
  <c r="H660" i="2" s="1"/>
  <c r="I660" i="2" s="1"/>
  <c r="G661" i="2"/>
  <c r="H661" i="2" s="1"/>
  <c r="I661" i="2" s="1"/>
  <c r="G662" i="2"/>
  <c r="H662" i="2" s="1"/>
  <c r="I662" i="2" s="1"/>
  <c r="G663" i="2"/>
  <c r="H663" i="2" s="1"/>
  <c r="I663" i="2" s="1"/>
  <c r="G664" i="2"/>
  <c r="H664" i="2" s="1"/>
  <c r="I664" i="2" s="1"/>
  <c r="G665" i="2"/>
  <c r="H665" i="2" s="1"/>
  <c r="I665" i="2" s="1"/>
  <c r="G666" i="2"/>
  <c r="H666" i="2" s="1"/>
  <c r="I666" i="2" s="1"/>
  <c r="G667" i="2"/>
  <c r="H667" i="2" s="1"/>
  <c r="I667" i="2" s="1"/>
  <c r="G668" i="2"/>
  <c r="H668" i="2" s="1"/>
  <c r="I668" i="2" s="1"/>
  <c r="G669" i="2"/>
  <c r="H669" i="2" s="1"/>
  <c r="I669" i="2" s="1"/>
  <c r="G670" i="2"/>
  <c r="H670" i="2" s="1"/>
  <c r="I670" i="2" s="1"/>
  <c r="G671" i="2"/>
  <c r="H671" i="2" s="1"/>
  <c r="I671" i="2" s="1"/>
  <c r="G672" i="2"/>
  <c r="H672" i="2" s="1"/>
  <c r="I672" i="2" s="1"/>
  <c r="G673" i="2"/>
  <c r="H673" i="2" s="1"/>
  <c r="I673" i="2" s="1"/>
  <c r="G674" i="2"/>
  <c r="H674" i="2" s="1"/>
  <c r="I674" i="2" s="1"/>
  <c r="G675" i="2"/>
  <c r="H675" i="2" s="1"/>
  <c r="I675" i="2" s="1"/>
  <c r="G676" i="2"/>
  <c r="H676" i="2" s="1"/>
  <c r="I676" i="2" s="1"/>
  <c r="G677" i="2"/>
  <c r="H677" i="2" s="1"/>
  <c r="I677" i="2" s="1"/>
  <c r="G678" i="2"/>
  <c r="H678" i="2" s="1"/>
  <c r="I678" i="2" s="1"/>
  <c r="G679" i="2"/>
  <c r="H679" i="2" s="1"/>
  <c r="I679" i="2" s="1"/>
  <c r="G680" i="2"/>
  <c r="H680" i="2" s="1"/>
  <c r="I680" i="2" s="1"/>
  <c r="G681" i="2"/>
  <c r="H681" i="2" s="1"/>
  <c r="I681" i="2" s="1"/>
  <c r="G682" i="2"/>
  <c r="H682" i="2" s="1"/>
  <c r="I682" i="2" s="1"/>
  <c r="G683" i="2"/>
  <c r="H683" i="2" s="1"/>
  <c r="I683" i="2" s="1"/>
  <c r="G684" i="2"/>
  <c r="H684" i="2" s="1"/>
  <c r="I684" i="2" s="1"/>
  <c r="G685" i="2"/>
  <c r="H685" i="2" s="1"/>
  <c r="I685" i="2" s="1"/>
  <c r="G686" i="2"/>
  <c r="H686" i="2" s="1"/>
  <c r="I686" i="2" s="1"/>
  <c r="G687" i="2"/>
  <c r="H687" i="2" s="1"/>
  <c r="I687" i="2" s="1"/>
  <c r="G688" i="2"/>
  <c r="H688" i="2" s="1"/>
  <c r="I688" i="2" s="1"/>
  <c r="G689" i="2"/>
  <c r="H689" i="2" s="1"/>
  <c r="I689" i="2" s="1"/>
  <c r="G690" i="2"/>
  <c r="H690" i="2" s="1"/>
  <c r="I690" i="2" s="1"/>
  <c r="G691" i="2"/>
  <c r="H691" i="2" s="1"/>
  <c r="I691" i="2" s="1"/>
  <c r="G692" i="2"/>
  <c r="H692" i="2" s="1"/>
  <c r="I692" i="2" s="1"/>
  <c r="G693" i="2"/>
  <c r="H693" i="2" s="1"/>
  <c r="I693" i="2" s="1"/>
  <c r="G694" i="2"/>
  <c r="H694" i="2" s="1"/>
  <c r="I694" i="2" s="1"/>
  <c r="G695" i="2"/>
  <c r="H695" i="2" s="1"/>
  <c r="I695" i="2" s="1"/>
  <c r="G696" i="2"/>
  <c r="H696" i="2" s="1"/>
  <c r="I696" i="2" s="1"/>
  <c r="G697" i="2"/>
  <c r="H697" i="2" s="1"/>
  <c r="I697" i="2" s="1"/>
  <c r="G698" i="2"/>
  <c r="H698" i="2" s="1"/>
  <c r="I698" i="2" s="1"/>
  <c r="G699" i="2"/>
  <c r="H699" i="2" s="1"/>
  <c r="I699" i="2" s="1"/>
  <c r="G700" i="2"/>
  <c r="H700" i="2" s="1"/>
  <c r="I700" i="2" s="1"/>
  <c r="G701" i="2"/>
  <c r="H701" i="2" s="1"/>
  <c r="I701" i="2" s="1"/>
  <c r="G702" i="2"/>
  <c r="H702" i="2" s="1"/>
  <c r="I702" i="2" s="1"/>
  <c r="G703" i="2"/>
  <c r="H703" i="2" s="1"/>
  <c r="I703" i="2" s="1"/>
  <c r="G704" i="2"/>
  <c r="H704" i="2" s="1"/>
  <c r="I704" i="2" s="1"/>
  <c r="G705" i="2"/>
  <c r="H705" i="2" s="1"/>
  <c r="I705" i="2" s="1"/>
  <c r="G706" i="2"/>
  <c r="H706" i="2" s="1"/>
  <c r="I706" i="2" s="1"/>
  <c r="G707" i="2"/>
  <c r="H707" i="2" s="1"/>
  <c r="I707" i="2" s="1"/>
  <c r="G708" i="2"/>
  <c r="H708" i="2" s="1"/>
  <c r="I708" i="2" s="1"/>
  <c r="G709" i="2"/>
  <c r="H709" i="2" s="1"/>
  <c r="I709" i="2" s="1"/>
  <c r="G710" i="2"/>
  <c r="H710" i="2" s="1"/>
  <c r="I710" i="2" s="1"/>
  <c r="G711" i="2"/>
  <c r="H711" i="2" s="1"/>
  <c r="I711" i="2" s="1"/>
  <c r="G712" i="2"/>
  <c r="H712" i="2" s="1"/>
  <c r="I712" i="2" s="1"/>
  <c r="G713" i="2"/>
  <c r="H713" i="2" s="1"/>
  <c r="I713" i="2" s="1"/>
  <c r="G714" i="2"/>
  <c r="H714" i="2" s="1"/>
  <c r="I714" i="2" s="1"/>
  <c r="G715" i="2"/>
  <c r="H715" i="2" s="1"/>
  <c r="I715" i="2" s="1"/>
  <c r="G716" i="2"/>
  <c r="H716" i="2" s="1"/>
  <c r="I716" i="2" s="1"/>
  <c r="G717" i="2"/>
  <c r="H717" i="2" s="1"/>
  <c r="I717" i="2" s="1"/>
  <c r="G718" i="2"/>
  <c r="H718" i="2" s="1"/>
  <c r="I718" i="2" s="1"/>
  <c r="G719" i="2"/>
  <c r="H719" i="2" s="1"/>
  <c r="I719" i="2" s="1"/>
  <c r="G720" i="2"/>
  <c r="H720" i="2" s="1"/>
  <c r="I720" i="2" s="1"/>
  <c r="G721" i="2"/>
  <c r="H721" i="2" s="1"/>
  <c r="I721" i="2" s="1"/>
  <c r="G722" i="2"/>
  <c r="H722" i="2" s="1"/>
  <c r="I722" i="2" s="1"/>
  <c r="G723" i="2"/>
  <c r="H723" i="2" s="1"/>
  <c r="I723" i="2" s="1"/>
  <c r="G724" i="2"/>
  <c r="H724" i="2" s="1"/>
  <c r="I724" i="2" s="1"/>
  <c r="G725" i="2"/>
  <c r="H725" i="2" s="1"/>
  <c r="I725" i="2" s="1"/>
  <c r="G726" i="2"/>
  <c r="H726" i="2" s="1"/>
  <c r="I726" i="2" s="1"/>
  <c r="G727" i="2"/>
  <c r="H727" i="2" s="1"/>
  <c r="I727" i="2" s="1"/>
  <c r="G728" i="2"/>
  <c r="H728" i="2" s="1"/>
  <c r="I728" i="2" s="1"/>
  <c r="G729" i="2"/>
  <c r="H729" i="2" s="1"/>
  <c r="I729" i="2" s="1"/>
  <c r="G730" i="2"/>
  <c r="H730" i="2" s="1"/>
  <c r="I730" i="2" s="1"/>
  <c r="G731" i="2"/>
  <c r="H731" i="2" s="1"/>
  <c r="I731" i="2" s="1"/>
  <c r="G732" i="2"/>
  <c r="H732" i="2" s="1"/>
  <c r="I732" i="2" s="1"/>
  <c r="G733" i="2"/>
  <c r="H733" i="2" s="1"/>
  <c r="I733" i="2" s="1"/>
  <c r="G734" i="2"/>
  <c r="H734" i="2" s="1"/>
  <c r="I734" i="2" s="1"/>
  <c r="G735" i="2"/>
  <c r="H735" i="2" s="1"/>
  <c r="I735" i="2" s="1"/>
  <c r="G736" i="2"/>
  <c r="H736" i="2" s="1"/>
  <c r="I736" i="2" s="1"/>
  <c r="G737" i="2"/>
  <c r="H737" i="2" s="1"/>
  <c r="I737" i="2" s="1"/>
  <c r="G738" i="2"/>
  <c r="H738" i="2" s="1"/>
  <c r="I738" i="2" s="1"/>
  <c r="G739" i="2"/>
  <c r="H739" i="2" s="1"/>
  <c r="I739" i="2" s="1"/>
  <c r="G740" i="2"/>
  <c r="H740" i="2" s="1"/>
  <c r="I740" i="2" s="1"/>
  <c r="G741" i="2"/>
  <c r="H741" i="2" s="1"/>
  <c r="I741" i="2" s="1"/>
  <c r="G742" i="2"/>
  <c r="H742" i="2" s="1"/>
  <c r="I742" i="2" s="1"/>
  <c r="G743" i="2"/>
  <c r="H743" i="2" s="1"/>
  <c r="I743" i="2" s="1"/>
  <c r="G744" i="2"/>
  <c r="H744" i="2" s="1"/>
  <c r="I744" i="2" s="1"/>
  <c r="G745" i="2"/>
  <c r="H745" i="2" s="1"/>
  <c r="I745" i="2" s="1"/>
  <c r="G746" i="2"/>
  <c r="H746" i="2" s="1"/>
  <c r="I746" i="2" s="1"/>
  <c r="G747" i="2"/>
  <c r="H747" i="2" s="1"/>
  <c r="I747" i="2" s="1"/>
  <c r="G748" i="2"/>
  <c r="H748" i="2" s="1"/>
  <c r="I748" i="2" s="1"/>
  <c r="G749" i="2"/>
  <c r="H749" i="2" s="1"/>
  <c r="I749" i="2" s="1"/>
  <c r="G750" i="2"/>
  <c r="H750" i="2" s="1"/>
  <c r="I750" i="2" s="1"/>
  <c r="G751" i="2"/>
  <c r="H751" i="2" s="1"/>
  <c r="I751" i="2" s="1"/>
  <c r="G752" i="2"/>
  <c r="H752" i="2" s="1"/>
  <c r="I752" i="2" s="1"/>
  <c r="G753" i="2"/>
  <c r="H753" i="2" s="1"/>
  <c r="I753" i="2" s="1"/>
  <c r="G754" i="2"/>
  <c r="H754" i="2" s="1"/>
  <c r="I754" i="2" s="1"/>
  <c r="G755" i="2"/>
  <c r="H755" i="2" s="1"/>
  <c r="I755" i="2" s="1"/>
  <c r="G756" i="2"/>
  <c r="H756" i="2" s="1"/>
  <c r="I756" i="2" s="1"/>
  <c r="G757" i="2"/>
  <c r="H757" i="2" s="1"/>
  <c r="I757" i="2" s="1"/>
  <c r="G758" i="2"/>
  <c r="H758" i="2" s="1"/>
  <c r="I758" i="2" s="1"/>
  <c r="G759" i="2"/>
  <c r="H759" i="2" s="1"/>
  <c r="I759" i="2" s="1"/>
  <c r="G760" i="2"/>
  <c r="H760" i="2" s="1"/>
  <c r="I760" i="2" s="1"/>
  <c r="G761" i="2"/>
  <c r="G762" i="2"/>
  <c r="H762" i="2" s="1"/>
  <c r="I762" i="2" s="1"/>
  <c r="G763" i="2"/>
  <c r="H763" i="2" s="1"/>
  <c r="I763" i="2" s="1"/>
  <c r="G764" i="2"/>
  <c r="H764" i="2" s="1"/>
  <c r="I764" i="2" s="1"/>
  <c r="G765" i="2"/>
  <c r="H765" i="2" s="1"/>
  <c r="I765" i="2" s="1"/>
  <c r="G766" i="2"/>
  <c r="H766" i="2" s="1"/>
  <c r="I766" i="2" s="1"/>
  <c r="G767" i="2"/>
  <c r="H767" i="2" s="1"/>
  <c r="I767" i="2" s="1"/>
  <c r="G768" i="2"/>
  <c r="H768" i="2" s="1"/>
  <c r="I768" i="2" s="1"/>
  <c r="G769" i="2"/>
  <c r="H769" i="2" s="1"/>
  <c r="I769" i="2" s="1"/>
  <c r="G770" i="2"/>
  <c r="H770" i="2" s="1"/>
  <c r="I770" i="2" s="1"/>
  <c r="G771" i="2"/>
  <c r="H771" i="2" s="1"/>
  <c r="I771" i="2" s="1"/>
  <c r="G772" i="2"/>
  <c r="H772" i="2" s="1"/>
  <c r="I772" i="2" s="1"/>
  <c r="G773" i="2"/>
  <c r="H773" i="2" s="1"/>
  <c r="I773" i="2" s="1"/>
  <c r="G774" i="2"/>
  <c r="H774" i="2" s="1"/>
  <c r="I774" i="2" s="1"/>
  <c r="G775" i="2"/>
  <c r="H775" i="2" s="1"/>
  <c r="I775" i="2" s="1"/>
  <c r="G776" i="2"/>
  <c r="H776" i="2" s="1"/>
  <c r="I776" i="2" s="1"/>
  <c r="G777" i="2"/>
  <c r="H777" i="2" s="1"/>
  <c r="I777" i="2" s="1"/>
  <c r="G778" i="2"/>
  <c r="H778" i="2" s="1"/>
  <c r="I778" i="2" s="1"/>
  <c r="G779" i="2"/>
  <c r="H779" i="2" s="1"/>
  <c r="I779" i="2" s="1"/>
  <c r="G780" i="2"/>
  <c r="H780" i="2" s="1"/>
  <c r="I780" i="2" s="1"/>
  <c r="G781" i="2"/>
  <c r="H781" i="2" s="1"/>
  <c r="I781" i="2" s="1"/>
  <c r="G782" i="2"/>
  <c r="H782" i="2" s="1"/>
  <c r="I782" i="2" s="1"/>
  <c r="G783" i="2"/>
  <c r="H783" i="2" s="1"/>
  <c r="I783" i="2" s="1"/>
  <c r="G784" i="2"/>
  <c r="H784" i="2" s="1"/>
  <c r="I784" i="2" s="1"/>
  <c r="G785" i="2"/>
  <c r="H785" i="2" s="1"/>
  <c r="I785" i="2" s="1"/>
  <c r="G786" i="2"/>
  <c r="H786" i="2" s="1"/>
  <c r="I786" i="2" s="1"/>
  <c r="G787" i="2"/>
  <c r="H787" i="2" s="1"/>
  <c r="I787" i="2" s="1"/>
  <c r="G788" i="2"/>
  <c r="H788" i="2" s="1"/>
  <c r="I788" i="2" s="1"/>
  <c r="G789" i="2"/>
  <c r="H789" i="2" s="1"/>
  <c r="I789" i="2" s="1"/>
  <c r="G790" i="2"/>
  <c r="H790" i="2" s="1"/>
  <c r="I790" i="2" s="1"/>
  <c r="G791" i="2"/>
  <c r="H791" i="2" s="1"/>
  <c r="I791" i="2" s="1"/>
  <c r="G792" i="2"/>
  <c r="H792" i="2" s="1"/>
  <c r="I792" i="2" s="1"/>
  <c r="G793" i="2"/>
  <c r="H793" i="2" s="1"/>
  <c r="I793" i="2" s="1"/>
  <c r="G794" i="2"/>
  <c r="H794" i="2" s="1"/>
  <c r="I794" i="2" s="1"/>
  <c r="G795" i="2"/>
  <c r="H795" i="2" s="1"/>
  <c r="I795" i="2" s="1"/>
  <c r="G796" i="2"/>
  <c r="H796" i="2" s="1"/>
  <c r="I796" i="2" s="1"/>
  <c r="G797" i="2"/>
  <c r="H797" i="2" s="1"/>
  <c r="I797" i="2" s="1"/>
  <c r="G798" i="2"/>
  <c r="H798" i="2" s="1"/>
  <c r="I798" i="2" s="1"/>
  <c r="G799" i="2"/>
  <c r="H799" i="2" s="1"/>
  <c r="I799" i="2" s="1"/>
  <c r="G800" i="2"/>
  <c r="H800" i="2" s="1"/>
  <c r="I800" i="2" s="1"/>
  <c r="G801" i="2"/>
  <c r="H801" i="2" s="1"/>
  <c r="I801" i="2" s="1"/>
  <c r="G802" i="2"/>
  <c r="H802" i="2" s="1"/>
  <c r="I802" i="2" s="1"/>
  <c r="G803" i="2"/>
  <c r="H803" i="2" s="1"/>
  <c r="I803" i="2" s="1"/>
  <c r="G804" i="2"/>
  <c r="H804" i="2" s="1"/>
  <c r="I804" i="2" s="1"/>
  <c r="G805" i="2"/>
  <c r="H805" i="2" s="1"/>
  <c r="I805" i="2" s="1"/>
  <c r="G806" i="2"/>
  <c r="H806" i="2" s="1"/>
  <c r="I806" i="2" s="1"/>
  <c r="G807" i="2"/>
  <c r="H807" i="2" s="1"/>
  <c r="I807" i="2" s="1"/>
  <c r="G808" i="2"/>
  <c r="H808" i="2" s="1"/>
  <c r="I808" i="2" s="1"/>
  <c r="G809" i="2"/>
  <c r="H809" i="2" s="1"/>
  <c r="I809" i="2" s="1"/>
  <c r="G810" i="2"/>
  <c r="H810" i="2" s="1"/>
  <c r="I810" i="2" s="1"/>
  <c r="G811" i="2"/>
  <c r="H811" i="2" s="1"/>
  <c r="I811" i="2" s="1"/>
  <c r="G812" i="2"/>
  <c r="H812" i="2" s="1"/>
  <c r="I812" i="2" s="1"/>
  <c r="G813" i="2"/>
  <c r="H813" i="2" s="1"/>
  <c r="I813" i="2" s="1"/>
  <c r="G814" i="2"/>
  <c r="H814" i="2" s="1"/>
  <c r="I814" i="2" s="1"/>
  <c r="G815" i="2"/>
  <c r="H815" i="2" s="1"/>
  <c r="I815" i="2" s="1"/>
  <c r="G816" i="2"/>
  <c r="H816" i="2" s="1"/>
  <c r="I816" i="2" s="1"/>
  <c r="G817" i="2"/>
  <c r="H817" i="2" s="1"/>
  <c r="I817" i="2" s="1"/>
  <c r="G818" i="2"/>
  <c r="H818" i="2" s="1"/>
  <c r="I818" i="2" s="1"/>
  <c r="G819" i="2"/>
  <c r="H819" i="2" s="1"/>
  <c r="I819" i="2" s="1"/>
  <c r="G820" i="2"/>
  <c r="H820" i="2" s="1"/>
  <c r="I820" i="2" s="1"/>
  <c r="G821" i="2"/>
  <c r="H821" i="2" s="1"/>
  <c r="I821" i="2" s="1"/>
  <c r="G822" i="2"/>
  <c r="H822" i="2" s="1"/>
  <c r="I822" i="2" s="1"/>
  <c r="G823" i="2"/>
  <c r="H823" i="2" s="1"/>
  <c r="I823" i="2" s="1"/>
  <c r="G824" i="2"/>
  <c r="H824" i="2" s="1"/>
  <c r="I824" i="2" s="1"/>
  <c r="G825" i="2"/>
  <c r="H825" i="2" s="1"/>
  <c r="I825" i="2" s="1"/>
  <c r="G826" i="2"/>
  <c r="H826" i="2" s="1"/>
  <c r="I826" i="2" s="1"/>
  <c r="G827" i="2"/>
  <c r="H827" i="2" s="1"/>
  <c r="I827" i="2" s="1"/>
  <c r="G828" i="2"/>
  <c r="H828" i="2" s="1"/>
  <c r="I828" i="2" s="1"/>
  <c r="G829" i="2"/>
  <c r="H829" i="2" s="1"/>
  <c r="I829" i="2" s="1"/>
  <c r="G830" i="2"/>
  <c r="H830" i="2" s="1"/>
  <c r="I830" i="2" s="1"/>
  <c r="G831" i="2"/>
  <c r="H831" i="2" s="1"/>
  <c r="I831" i="2" s="1"/>
  <c r="G832" i="2"/>
  <c r="H832" i="2" s="1"/>
  <c r="I832" i="2" s="1"/>
  <c r="G833" i="2"/>
  <c r="H833" i="2" s="1"/>
  <c r="I833" i="2" s="1"/>
  <c r="G834" i="2"/>
  <c r="H834" i="2" s="1"/>
  <c r="I834" i="2" s="1"/>
  <c r="G835" i="2"/>
  <c r="H835" i="2" s="1"/>
  <c r="I835" i="2" s="1"/>
  <c r="G836" i="2"/>
  <c r="H836" i="2" s="1"/>
  <c r="I836" i="2" s="1"/>
  <c r="G837" i="2"/>
  <c r="H837" i="2" s="1"/>
  <c r="I837" i="2" s="1"/>
  <c r="G838" i="2"/>
  <c r="H838" i="2" s="1"/>
  <c r="I838" i="2" s="1"/>
  <c r="G839" i="2"/>
  <c r="H839" i="2" s="1"/>
  <c r="I839" i="2" s="1"/>
  <c r="G840" i="2"/>
  <c r="H840" i="2" s="1"/>
  <c r="I840" i="2" s="1"/>
  <c r="G841" i="2"/>
  <c r="H841" i="2" s="1"/>
  <c r="I841" i="2" s="1"/>
  <c r="G842" i="2"/>
  <c r="H842" i="2" s="1"/>
  <c r="I842" i="2" s="1"/>
  <c r="G843" i="2"/>
  <c r="H843" i="2" s="1"/>
  <c r="I843" i="2" s="1"/>
  <c r="G844" i="2"/>
  <c r="H844" i="2" s="1"/>
  <c r="I844" i="2" s="1"/>
  <c r="G845" i="2"/>
  <c r="H845" i="2" s="1"/>
  <c r="I845" i="2" s="1"/>
  <c r="G846" i="2"/>
  <c r="H846" i="2" s="1"/>
  <c r="I846" i="2" s="1"/>
  <c r="G847" i="2"/>
  <c r="H847" i="2" s="1"/>
  <c r="I847" i="2" s="1"/>
  <c r="G855" i="2"/>
  <c r="H855" i="2" s="1"/>
  <c r="I855" i="2" s="1"/>
  <c r="G860" i="2"/>
  <c r="H860" i="2" s="1"/>
  <c r="I860" i="2" s="1"/>
  <c r="G864" i="2"/>
  <c r="H864" i="2" s="1"/>
  <c r="I864" i="2" s="1"/>
  <c r="G868" i="2"/>
  <c r="H868" i="2" s="1"/>
  <c r="I868" i="2" s="1"/>
  <c r="G874" i="2"/>
  <c r="H874" i="2" s="1"/>
  <c r="I874" i="2" s="1"/>
  <c r="G876" i="2"/>
  <c r="H876" i="2" s="1"/>
  <c r="I876" i="2" s="1"/>
  <c r="G884" i="2"/>
  <c r="H884" i="2" s="1"/>
  <c r="I884" i="2" s="1"/>
  <c r="G885" i="2"/>
  <c r="H885" i="2" s="1"/>
  <c r="I885" i="2" s="1"/>
  <c r="G894" i="2"/>
  <c r="H894" i="2" s="1"/>
  <c r="I894" i="2" s="1"/>
  <c r="G896" i="2"/>
  <c r="H896" i="2" s="1"/>
  <c r="I896" i="2" s="1"/>
  <c r="G902" i="2"/>
  <c r="H902" i="2" s="1"/>
  <c r="I902" i="2" s="1"/>
  <c r="G911" i="2"/>
  <c r="H911" i="2" s="1"/>
  <c r="I911" i="2" s="1"/>
  <c r="G913" i="2"/>
  <c r="H913" i="2" s="1"/>
  <c r="I913" i="2" s="1"/>
  <c r="G914" i="2"/>
  <c r="H914" i="2" s="1"/>
  <c r="I914" i="2" s="1"/>
  <c r="G915" i="2"/>
  <c r="H915" i="2" s="1"/>
  <c r="I915" i="2" s="1"/>
  <c r="G918" i="2"/>
  <c r="H918" i="2" s="1"/>
  <c r="I918" i="2" s="1"/>
  <c r="G919" i="2"/>
  <c r="H919" i="2" s="1"/>
  <c r="I919" i="2" s="1"/>
  <c r="G924" i="2"/>
  <c r="H924" i="2" s="1"/>
  <c r="I924" i="2" s="1"/>
  <c r="G927" i="2"/>
  <c r="H927" i="2" s="1"/>
  <c r="I927" i="2" s="1"/>
  <c r="G930" i="2"/>
  <c r="H930" i="2" s="1"/>
  <c r="I930" i="2" s="1"/>
  <c r="G934" i="2"/>
  <c r="H934" i="2" s="1"/>
  <c r="I934" i="2" s="1"/>
  <c r="G942" i="2"/>
  <c r="H942" i="2" s="1"/>
  <c r="I942" i="2" s="1"/>
  <c r="G943" i="2"/>
  <c r="H943" i="2" s="1"/>
  <c r="I943" i="2" s="1"/>
  <c r="G944" i="2"/>
  <c r="H944" i="2" s="1"/>
  <c r="I944" i="2" s="1"/>
  <c r="G946" i="2"/>
  <c r="H946" i="2" s="1"/>
  <c r="I946" i="2" s="1"/>
  <c r="G947" i="2"/>
  <c r="H947" i="2" s="1"/>
  <c r="I947" i="2" s="1"/>
  <c r="G952" i="2"/>
  <c r="H952" i="2" s="1"/>
  <c r="I952" i="2" s="1"/>
  <c r="G956" i="2"/>
  <c r="H956" i="2" s="1"/>
  <c r="I956" i="2" s="1"/>
  <c r="G957" i="2"/>
  <c r="H957" i="2" s="1"/>
  <c r="I957" i="2" s="1"/>
  <c r="G960" i="2"/>
  <c r="H960" i="2" s="1"/>
  <c r="I960" i="2" s="1"/>
  <c r="G962" i="2"/>
  <c r="H962" i="2" s="1"/>
  <c r="I962" i="2" s="1"/>
  <c r="G971" i="2"/>
  <c r="H971" i="2" s="1"/>
  <c r="I971" i="2" s="1"/>
  <c r="G973" i="2"/>
  <c r="H973" i="2" s="1"/>
  <c r="I973" i="2" s="1"/>
  <c r="G976" i="2"/>
  <c r="H976" i="2" s="1"/>
  <c r="I976" i="2" s="1"/>
  <c r="G977" i="2"/>
  <c r="H977" i="2" s="1"/>
  <c r="I977" i="2" s="1"/>
  <c r="G978" i="2"/>
  <c r="H978" i="2" s="1"/>
  <c r="I978" i="2" s="1"/>
  <c r="G979" i="2"/>
  <c r="H979" i="2" s="1"/>
  <c r="I979" i="2" s="1"/>
  <c r="G980" i="2"/>
  <c r="H980" i="2" s="1"/>
  <c r="I980" i="2" s="1"/>
  <c r="G981" i="2"/>
  <c r="H981" i="2" s="1"/>
  <c r="I981" i="2" s="1"/>
  <c r="G982" i="2"/>
  <c r="H982" i="2" s="1"/>
  <c r="I982" i="2" s="1"/>
  <c r="G983" i="2"/>
  <c r="H983" i="2" s="1"/>
  <c r="I983" i="2" s="1"/>
  <c r="G984" i="2"/>
  <c r="H984" i="2" s="1"/>
  <c r="I984" i="2" s="1"/>
  <c r="G985" i="2"/>
  <c r="H985" i="2" s="1"/>
  <c r="I985" i="2" s="1"/>
  <c r="G986" i="2"/>
  <c r="H986" i="2" s="1"/>
  <c r="I986" i="2" s="1"/>
  <c r="G987" i="2"/>
  <c r="H987" i="2" s="1"/>
  <c r="I987" i="2" s="1"/>
  <c r="G988" i="2"/>
  <c r="H988" i="2" s="1"/>
  <c r="I988" i="2" s="1"/>
  <c r="G989" i="2"/>
  <c r="H989" i="2" s="1"/>
  <c r="I989" i="2" s="1"/>
  <c r="G990" i="2"/>
  <c r="H990" i="2" s="1"/>
  <c r="I990" i="2" s="1"/>
  <c r="G991" i="2"/>
  <c r="H991" i="2" s="1"/>
  <c r="I991" i="2" s="1"/>
  <c r="G992" i="2"/>
  <c r="H992" i="2" s="1"/>
  <c r="I992" i="2" s="1"/>
  <c r="G993" i="2"/>
  <c r="H993" i="2" s="1"/>
  <c r="I993" i="2" s="1"/>
  <c r="G994" i="2"/>
  <c r="H994" i="2" s="1"/>
  <c r="I994" i="2" s="1"/>
  <c r="G995" i="2"/>
  <c r="H995" i="2" s="1"/>
  <c r="I995" i="2" s="1"/>
  <c r="G996" i="2"/>
  <c r="H996" i="2" s="1"/>
  <c r="I996" i="2" s="1"/>
  <c r="G997" i="2"/>
  <c r="H997" i="2" s="1"/>
  <c r="I997" i="2" s="1"/>
  <c r="G998" i="2"/>
  <c r="H998" i="2" s="1"/>
  <c r="I998" i="2" s="1"/>
  <c r="G999" i="2"/>
  <c r="H999" i="2" s="1"/>
  <c r="I999" i="2" s="1"/>
  <c r="G1000" i="2"/>
  <c r="H1000" i="2" s="1"/>
  <c r="I1000" i="2" s="1"/>
  <c r="G1001" i="2"/>
  <c r="H1001" i="2" s="1"/>
  <c r="I1001" i="2" s="1"/>
  <c r="G856" i="2"/>
  <c r="H856" i="2" s="1"/>
  <c r="I856" i="2" s="1"/>
  <c r="G875" i="2"/>
  <c r="H875" i="2" s="1"/>
  <c r="I875" i="2" s="1"/>
  <c r="G878" i="2"/>
  <c r="H878" i="2" s="1"/>
  <c r="I878" i="2" s="1"/>
  <c r="G880" i="2"/>
  <c r="H880" i="2" s="1"/>
  <c r="I880" i="2" s="1"/>
  <c r="G886" i="2"/>
  <c r="H886" i="2" s="1"/>
  <c r="I886" i="2" s="1"/>
  <c r="G898" i="2"/>
  <c r="H898" i="2" s="1"/>
  <c r="I898" i="2" s="1"/>
  <c r="G899" i="2"/>
  <c r="H899" i="2" s="1"/>
  <c r="I899" i="2" s="1"/>
  <c r="G901" i="2"/>
  <c r="H901" i="2" s="1"/>
  <c r="I901" i="2" s="1"/>
  <c r="G905" i="2"/>
  <c r="H905" i="2" s="1"/>
  <c r="I905" i="2" s="1"/>
  <c r="G912" i="2"/>
  <c r="H912" i="2" s="1"/>
  <c r="I912" i="2" s="1"/>
  <c r="G916" i="2"/>
  <c r="H916" i="2" s="1"/>
  <c r="I916" i="2" s="1"/>
  <c r="G917" i="2"/>
  <c r="H917" i="2" s="1"/>
  <c r="I917" i="2" s="1"/>
  <c r="G921" i="2"/>
  <c r="H921" i="2" s="1"/>
  <c r="I921" i="2" s="1"/>
  <c r="G923" i="2"/>
  <c r="H923" i="2" s="1"/>
  <c r="I923" i="2" s="1"/>
  <c r="G925" i="2"/>
  <c r="H925" i="2" s="1"/>
  <c r="I925" i="2" s="1"/>
  <c r="G926" i="2"/>
  <c r="H926" i="2" s="1"/>
  <c r="I926" i="2" s="1"/>
  <c r="G928" i="2"/>
  <c r="H928" i="2" s="1"/>
  <c r="I928" i="2" s="1"/>
  <c r="G932" i="2"/>
  <c r="H932" i="2" s="1"/>
  <c r="I932" i="2" s="1"/>
  <c r="G935" i="2"/>
  <c r="H935" i="2" s="1"/>
  <c r="I935" i="2" s="1"/>
  <c r="G936" i="2"/>
  <c r="H936" i="2" s="1"/>
  <c r="I936" i="2" s="1"/>
  <c r="G937" i="2"/>
  <c r="H937" i="2" s="1"/>
  <c r="I937" i="2" s="1"/>
  <c r="G938" i="2"/>
  <c r="H938" i="2" s="1"/>
  <c r="I938" i="2" s="1"/>
  <c r="G940" i="2"/>
  <c r="H940" i="2" s="1"/>
  <c r="I940" i="2" s="1"/>
  <c r="G941" i="2"/>
  <c r="H941" i="2" s="1"/>
  <c r="I941" i="2" s="1"/>
  <c r="G949" i="2"/>
  <c r="H949" i="2" s="1"/>
  <c r="I949" i="2" s="1"/>
  <c r="G950" i="2"/>
  <c r="H950" i="2" s="1"/>
  <c r="I950" i="2" s="1"/>
  <c r="G951" i="2"/>
  <c r="H951" i="2" s="1"/>
  <c r="I951" i="2" s="1"/>
  <c r="G953" i="2"/>
  <c r="H953" i="2" s="1"/>
  <c r="I953" i="2" s="1"/>
  <c r="G954" i="2"/>
  <c r="H954" i="2" s="1"/>
  <c r="I954" i="2" s="1"/>
  <c r="G955" i="2"/>
  <c r="H955" i="2" s="1"/>
  <c r="I955" i="2" s="1"/>
  <c r="G958" i="2"/>
  <c r="H958" i="2" s="1"/>
  <c r="I958" i="2" s="1"/>
  <c r="G959" i="2"/>
  <c r="H959" i="2" s="1"/>
  <c r="I959" i="2" s="1"/>
  <c r="G961" i="2"/>
  <c r="H961" i="2" s="1"/>
  <c r="I961" i="2" s="1"/>
  <c r="G963" i="2"/>
  <c r="H963" i="2" s="1"/>
  <c r="I963" i="2" s="1"/>
  <c r="G964" i="2"/>
  <c r="H964" i="2" s="1"/>
  <c r="I964" i="2" s="1"/>
  <c r="G965" i="2"/>
  <c r="H965" i="2" s="1"/>
  <c r="I965" i="2" s="1"/>
  <c r="G966" i="2"/>
  <c r="H966" i="2" s="1"/>
  <c r="I966" i="2" s="1"/>
  <c r="G967" i="2"/>
  <c r="H967" i="2" s="1"/>
  <c r="I967" i="2" s="1"/>
  <c r="G968" i="2"/>
  <c r="H968" i="2" s="1"/>
  <c r="I968" i="2" s="1"/>
  <c r="G969" i="2"/>
  <c r="H969" i="2" s="1"/>
  <c r="I969" i="2" s="1"/>
  <c r="G970" i="2"/>
  <c r="H970" i="2" s="1"/>
  <c r="I970" i="2" s="1"/>
  <c r="G972" i="2"/>
  <c r="H972" i="2" s="1"/>
  <c r="I972" i="2" s="1"/>
  <c r="G974" i="2"/>
  <c r="H974" i="2" s="1"/>
  <c r="I974" i="2" s="1"/>
  <c r="G975" i="2"/>
  <c r="H975" i="2" s="1"/>
  <c r="I975" i="2" s="1"/>
  <c r="G866" i="2"/>
  <c r="H866" i="2" s="1"/>
  <c r="I866" i="2" s="1"/>
  <c r="G867" i="2"/>
  <c r="H867" i="2" s="1"/>
  <c r="I867" i="2" s="1"/>
  <c r="G869" i="2"/>
  <c r="H869" i="2" s="1"/>
  <c r="I869" i="2" s="1"/>
  <c r="G871" i="2"/>
  <c r="H871" i="2" s="1"/>
  <c r="I871" i="2" s="1"/>
  <c r="G895" i="2"/>
  <c r="H895" i="2" s="1"/>
  <c r="I895" i="2" s="1"/>
  <c r="G910" i="2"/>
  <c r="H910" i="2" s="1"/>
  <c r="I910" i="2" s="1"/>
  <c r="G849" i="2"/>
  <c r="H849" i="2" s="1"/>
  <c r="I849" i="2" s="1"/>
  <c r="G850" i="2"/>
  <c r="H850" i="2" s="1"/>
  <c r="I850" i="2" s="1"/>
  <c r="G851" i="2"/>
  <c r="H851" i="2" s="1"/>
  <c r="I851" i="2" s="1"/>
  <c r="G852" i="2"/>
  <c r="H852" i="2" s="1"/>
  <c r="I852" i="2" s="1"/>
  <c r="G854" i="2"/>
  <c r="H854" i="2" s="1"/>
  <c r="I854" i="2" s="1"/>
  <c r="G858" i="2"/>
  <c r="H858" i="2" s="1"/>
  <c r="I858" i="2" s="1"/>
  <c r="G862" i="2"/>
  <c r="H862" i="2" s="1"/>
  <c r="I862" i="2" s="1"/>
  <c r="G863" i="2"/>
  <c r="H863" i="2" s="1"/>
  <c r="I863" i="2" s="1"/>
  <c r="G879" i="2"/>
  <c r="H879" i="2" s="1"/>
  <c r="I879" i="2" s="1"/>
  <c r="G881" i="2"/>
  <c r="H881" i="2" s="1"/>
  <c r="I881" i="2" s="1"/>
  <c r="G882" i="2"/>
  <c r="H882" i="2" s="1"/>
  <c r="I882" i="2" s="1"/>
  <c r="G890" i="2"/>
  <c r="H890" i="2" s="1"/>
  <c r="I890" i="2" s="1"/>
  <c r="G904" i="2"/>
  <c r="H904" i="2" s="1"/>
  <c r="I904" i="2" s="1"/>
  <c r="G922" i="2"/>
  <c r="H922" i="2" s="1"/>
  <c r="I922" i="2" s="1"/>
  <c r="G939" i="2"/>
  <c r="H939" i="2" s="1"/>
  <c r="I939" i="2" s="1"/>
  <c r="G848" i="2"/>
  <c r="H848" i="2" s="1"/>
  <c r="I848" i="2" s="1"/>
  <c r="G853" i="2"/>
  <c r="H853" i="2" s="1"/>
  <c r="I853" i="2" s="1"/>
  <c r="G859" i="2"/>
  <c r="H859" i="2" s="1"/>
  <c r="I859" i="2" s="1"/>
  <c r="G870" i="2"/>
  <c r="H870" i="2" s="1"/>
  <c r="I870" i="2" s="1"/>
  <c r="G877" i="2"/>
  <c r="H877" i="2" s="1"/>
  <c r="I877" i="2" s="1"/>
  <c r="G887" i="2"/>
  <c r="H887" i="2" s="1"/>
  <c r="I887" i="2" s="1"/>
  <c r="G889" i="2"/>
  <c r="H889" i="2" s="1"/>
  <c r="I889" i="2" s="1"/>
  <c r="G891" i="2"/>
  <c r="H891" i="2" s="1"/>
  <c r="I891" i="2" s="1"/>
  <c r="G892" i="2"/>
  <c r="H892" i="2" s="1"/>
  <c r="I892" i="2" s="1"/>
  <c r="G897" i="2"/>
  <c r="H897" i="2" s="1"/>
  <c r="I897" i="2" s="1"/>
  <c r="G900" i="2"/>
  <c r="H900" i="2" s="1"/>
  <c r="I900" i="2" s="1"/>
  <c r="G906" i="2"/>
  <c r="H906" i="2" s="1"/>
  <c r="I906" i="2" s="1"/>
  <c r="G909" i="2"/>
  <c r="H909" i="2" s="1"/>
  <c r="I909" i="2" s="1"/>
  <c r="G920" i="2"/>
  <c r="H920" i="2" s="1"/>
  <c r="I920" i="2" s="1"/>
  <c r="G929" i="2"/>
  <c r="H929" i="2" s="1"/>
  <c r="I929" i="2" s="1"/>
  <c r="G931" i="2"/>
  <c r="H931" i="2" s="1"/>
  <c r="I931" i="2" s="1"/>
  <c r="G933" i="2"/>
  <c r="H933" i="2" s="1"/>
  <c r="I933" i="2" s="1"/>
  <c r="G948" i="2"/>
  <c r="H948" i="2" s="1"/>
  <c r="I948" i="2" s="1"/>
  <c r="G9" i="2"/>
  <c r="H9" i="2" s="1"/>
  <c r="I9" i="2" s="1"/>
  <c r="G10" i="2"/>
  <c r="H10" i="2" s="1"/>
  <c r="I10" i="2" s="1"/>
  <c r="G12" i="2"/>
  <c r="H12" i="2" s="1"/>
  <c r="I12" i="2" s="1"/>
  <c r="G13" i="2"/>
  <c r="H13" i="2" s="1"/>
  <c r="I13" i="2" s="1"/>
  <c r="G14" i="2"/>
  <c r="H14" i="2" s="1"/>
  <c r="I14" i="2" s="1"/>
  <c r="G17" i="2"/>
  <c r="H17" i="2" s="1"/>
  <c r="I17" i="2" s="1"/>
  <c r="G18" i="2"/>
  <c r="H18" i="2" s="1"/>
  <c r="I18" i="2" s="1"/>
  <c r="G19" i="2"/>
  <c r="H19" i="2" s="1"/>
  <c r="I19" i="2" s="1"/>
  <c r="G20" i="2"/>
  <c r="H20" i="2" s="1"/>
  <c r="I20" i="2" s="1"/>
  <c r="G21" i="2"/>
  <c r="H21" i="2" s="1"/>
  <c r="I21" i="2" s="1"/>
  <c r="G23" i="2"/>
  <c r="H23" i="2" s="1"/>
  <c r="I23" i="2" s="1"/>
  <c r="G26" i="2"/>
  <c r="H26" i="2" s="1"/>
  <c r="I26" i="2" s="1"/>
  <c r="G28" i="2"/>
  <c r="H28" i="2" s="1"/>
  <c r="I28" i="2" s="1"/>
  <c r="G29" i="2"/>
  <c r="H29" i="2" s="1"/>
  <c r="I29" i="2" s="1"/>
  <c r="G30" i="2"/>
  <c r="H30" i="2" s="1"/>
  <c r="I30" i="2" s="1"/>
  <c r="G32" i="2"/>
  <c r="H32" i="2" s="1"/>
  <c r="I32" i="2" s="1"/>
  <c r="G33" i="2"/>
  <c r="H33" i="2" s="1"/>
  <c r="I33" i="2" s="1"/>
  <c r="G35" i="2"/>
  <c r="H35" i="2" s="1"/>
  <c r="I35" i="2" s="1"/>
  <c r="G36" i="2"/>
  <c r="H36" i="2" s="1"/>
  <c r="I36" i="2" s="1"/>
  <c r="G38" i="2"/>
  <c r="H38" i="2" s="1"/>
  <c r="I38" i="2" s="1"/>
  <c r="G40" i="2"/>
  <c r="H40" i="2" s="1"/>
  <c r="I40" i="2" s="1"/>
  <c r="G42" i="2"/>
  <c r="H42" i="2" s="1"/>
  <c r="I42" i="2" s="1"/>
  <c r="G43" i="2"/>
  <c r="H43" i="2" s="1"/>
  <c r="I43" i="2" s="1"/>
  <c r="G46" i="2"/>
  <c r="H46" i="2" s="1"/>
  <c r="I46" i="2" s="1"/>
  <c r="G48" i="2"/>
  <c r="H48" i="2" s="1"/>
  <c r="I48" i="2" s="1"/>
  <c r="G49" i="2"/>
  <c r="H49" i="2" s="1"/>
  <c r="I49" i="2" s="1"/>
  <c r="G51" i="2"/>
  <c r="H51" i="2" s="1"/>
  <c r="I51" i="2" s="1"/>
  <c r="G52" i="2"/>
  <c r="H52" i="2" s="1"/>
  <c r="I52" i="2" s="1"/>
  <c r="G53" i="2"/>
  <c r="H53" i="2" s="1"/>
  <c r="I53" i="2" s="1"/>
  <c r="G54" i="2"/>
  <c r="H54" i="2" s="1"/>
  <c r="I54" i="2" s="1"/>
  <c r="G55" i="2"/>
  <c r="H55" i="2" s="1"/>
  <c r="I55" i="2" s="1"/>
  <c r="G56" i="2"/>
  <c r="H56" i="2" s="1"/>
  <c r="I56" i="2" s="1"/>
  <c r="G57" i="2"/>
  <c r="H57" i="2" s="1"/>
  <c r="I57" i="2" s="1"/>
  <c r="G60" i="2"/>
  <c r="H60" i="2" s="1"/>
  <c r="I60" i="2" s="1"/>
  <c r="G61" i="2"/>
  <c r="H61" i="2" s="1"/>
  <c r="I61" i="2" s="1"/>
  <c r="G62" i="2"/>
  <c r="H62" i="2" s="1"/>
  <c r="I62" i="2" s="1"/>
  <c r="G63" i="2"/>
  <c r="H63" i="2" s="1"/>
  <c r="I63" i="2" s="1"/>
  <c r="G64" i="2"/>
  <c r="H64" i="2" s="1"/>
  <c r="I64" i="2" s="1"/>
  <c r="G65" i="2"/>
  <c r="H65" i="2" s="1"/>
  <c r="I65" i="2" s="1"/>
  <c r="G66" i="2"/>
  <c r="H66" i="2" s="1"/>
  <c r="I66" i="2" s="1"/>
  <c r="G68" i="2"/>
  <c r="H68" i="2" s="1"/>
  <c r="I68" i="2" s="1"/>
  <c r="G69" i="2"/>
  <c r="H69" i="2" s="1"/>
  <c r="I69" i="2" s="1"/>
  <c r="G70" i="2"/>
  <c r="H70" i="2" s="1"/>
  <c r="I70" i="2" s="1"/>
  <c r="G71" i="2"/>
  <c r="G74" i="2"/>
  <c r="H74" i="2" s="1"/>
  <c r="I74" i="2" s="1"/>
  <c r="G76" i="2"/>
  <c r="H76" i="2" s="1"/>
  <c r="I76" i="2" s="1"/>
  <c r="G78" i="2"/>
  <c r="H78" i="2" s="1"/>
  <c r="I78" i="2" s="1"/>
  <c r="G83" i="2"/>
  <c r="H83" i="2" s="1"/>
  <c r="I83" i="2" s="1"/>
  <c r="G85" i="2"/>
  <c r="H85" i="2" s="1"/>
  <c r="I85" i="2" s="1"/>
  <c r="G89" i="2"/>
  <c r="H89" i="2" s="1"/>
  <c r="I89" i="2" s="1"/>
  <c r="G90" i="2"/>
  <c r="H90" i="2" s="1"/>
  <c r="I90" i="2" s="1"/>
  <c r="G91" i="2"/>
  <c r="H91" i="2" s="1"/>
  <c r="I91" i="2" s="1"/>
  <c r="G95" i="2"/>
  <c r="H95" i="2" s="1"/>
  <c r="I95" i="2" s="1"/>
  <c r="G99" i="2"/>
  <c r="H99" i="2" s="1"/>
  <c r="I99" i="2" s="1"/>
  <c r="G101" i="2"/>
  <c r="H101" i="2" s="1"/>
  <c r="I101" i="2" s="1"/>
  <c r="G103" i="2"/>
  <c r="H103" i="2" s="1"/>
  <c r="I103" i="2" s="1"/>
  <c r="G105" i="2"/>
  <c r="H105" i="2" s="1"/>
  <c r="I105" i="2" s="1"/>
  <c r="G106" i="2"/>
  <c r="H106" i="2" s="1"/>
  <c r="I106" i="2" s="1"/>
  <c r="G107" i="2"/>
  <c r="H107" i="2" s="1"/>
  <c r="I107" i="2" s="1"/>
  <c r="G109" i="2"/>
  <c r="H109" i="2" s="1"/>
  <c r="I109" i="2" s="1"/>
  <c r="G110" i="2"/>
  <c r="H110" i="2" s="1"/>
  <c r="I110" i="2" s="1"/>
  <c r="G111" i="2"/>
  <c r="H111" i="2" s="1"/>
  <c r="I111" i="2" s="1"/>
  <c r="G112" i="2"/>
  <c r="H112" i="2" s="1"/>
  <c r="I112" i="2" s="1"/>
  <c r="G113" i="2"/>
  <c r="H113" i="2" s="1"/>
  <c r="I113" i="2" s="1"/>
  <c r="G114" i="2"/>
  <c r="H114" i="2" s="1"/>
  <c r="I114" i="2" s="1"/>
  <c r="G115" i="2"/>
  <c r="H115" i="2" s="1"/>
  <c r="I115" i="2" s="1"/>
  <c r="G116" i="2"/>
  <c r="H116" i="2" s="1"/>
  <c r="I116" i="2" s="1"/>
  <c r="G117" i="2"/>
  <c r="G118" i="2"/>
  <c r="H118" i="2" s="1"/>
  <c r="I118" i="2" s="1"/>
  <c r="G119" i="2"/>
  <c r="H119" i="2" s="1"/>
  <c r="I119" i="2" s="1"/>
  <c r="G120" i="2"/>
  <c r="H120" i="2" s="1"/>
  <c r="I120" i="2" s="1"/>
  <c r="G121" i="2"/>
  <c r="H121" i="2" s="1"/>
  <c r="I121" i="2" s="1"/>
  <c r="G122" i="2"/>
  <c r="H122" i="2" s="1"/>
  <c r="I122" i="2" s="1"/>
  <c r="G123" i="2"/>
  <c r="H123" i="2" s="1"/>
  <c r="I123" i="2" s="1"/>
  <c r="G124" i="2"/>
  <c r="H124" i="2" s="1"/>
  <c r="I124" i="2" s="1"/>
  <c r="G125" i="2"/>
  <c r="H125" i="2" s="1"/>
  <c r="I125" i="2" s="1"/>
  <c r="G126" i="2"/>
  <c r="H126" i="2" s="1"/>
  <c r="I126" i="2" s="1"/>
  <c r="G127" i="2"/>
  <c r="H127" i="2" s="1"/>
  <c r="I127" i="2" s="1"/>
  <c r="G128" i="2"/>
  <c r="H128" i="2" s="1"/>
  <c r="I128" i="2" s="1"/>
  <c r="G129" i="2"/>
  <c r="H129" i="2" s="1"/>
  <c r="I129" i="2" s="1"/>
  <c r="G130" i="2"/>
  <c r="H130" i="2" s="1"/>
  <c r="I130" i="2" s="1"/>
  <c r="G131" i="2"/>
  <c r="H131" i="2" s="1"/>
  <c r="I131" i="2" s="1"/>
  <c r="G132" i="2"/>
  <c r="H132" i="2" s="1"/>
  <c r="I132" i="2" s="1"/>
  <c r="G133" i="2"/>
  <c r="H133" i="2" s="1"/>
  <c r="I133" i="2" s="1"/>
  <c r="G134" i="2"/>
  <c r="H134" i="2" s="1"/>
  <c r="I134" i="2" s="1"/>
  <c r="G135" i="2"/>
  <c r="H135" i="2" s="1"/>
  <c r="I135" i="2" s="1"/>
  <c r="G136" i="2"/>
  <c r="H136" i="2" s="1"/>
  <c r="I136" i="2" s="1"/>
  <c r="G137" i="2"/>
  <c r="H137" i="2" s="1"/>
  <c r="I137" i="2" s="1"/>
  <c r="G138" i="2"/>
  <c r="H138" i="2" s="1"/>
  <c r="I138" i="2" s="1"/>
  <c r="G139" i="2"/>
  <c r="H139" i="2" s="1"/>
  <c r="I139" i="2" s="1"/>
  <c r="G140" i="2"/>
  <c r="H140" i="2" s="1"/>
  <c r="I140" i="2" s="1"/>
  <c r="G141" i="2"/>
  <c r="H141" i="2" s="1"/>
  <c r="I141" i="2" s="1"/>
  <c r="G142" i="2"/>
  <c r="H142" i="2" s="1"/>
  <c r="I142" i="2" s="1"/>
  <c r="G143" i="2"/>
  <c r="H143" i="2" s="1"/>
  <c r="I143" i="2" s="1"/>
  <c r="G144" i="2"/>
  <c r="H144" i="2" s="1"/>
  <c r="I144" i="2" s="1"/>
  <c r="G145" i="2"/>
  <c r="H145" i="2" s="1"/>
  <c r="I145" i="2" s="1"/>
  <c r="G146" i="2"/>
  <c r="H146" i="2" s="1"/>
  <c r="I146" i="2" s="1"/>
  <c r="G147" i="2"/>
  <c r="H147" i="2" s="1"/>
  <c r="I147" i="2" s="1"/>
  <c r="G148" i="2"/>
  <c r="H148" i="2" s="1"/>
  <c r="I148" i="2" s="1"/>
  <c r="G149" i="2"/>
  <c r="H149" i="2" s="1"/>
  <c r="I149" i="2" s="1"/>
  <c r="G150" i="2"/>
  <c r="H150" i="2" s="1"/>
  <c r="I150" i="2" s="1"/>
  <c r="G151" i="2"/>
  <c r="H151" i="2" s="1"/>
  <c r="I151" i="2" s="1"/>
  <c r="G152" i="2"/>
  <c r="H152" i="2" s="1"/>
  <c r="I152" i="2" s="1"/>
  <c r="G153" i="2"/>
  <c r="H153" i="2" s="1"/>
  <c r="I153" i="2" s="1"/>
  <c r="G154" i="2"/>
  <c r="H154" i="2" s="1"/>
  <c r="I154" i="2" s="1"/>
  <c r="G155" i="2"/>
  <c r="H155" i="2" s="1"/>
  <c r="I155" i="2" s="1"/>
  <c r="G156" i="2"/>
  <c r="H156" i="2" s="1"/>
  <c r="I156" i="2" s="1"/>
  <c r="G157" i="2"/>
  <c r="H157" i="2" s="1"/>
  <c r="I157" i="2" s="1"/>
  <c r="G158" i="2"/>
  <c r="H158" i="2" s="1"/>
  <c r="I158" i="2" s="1"/>
  <c r="G159" i="2"/>
  <c r="H159" i="2" s="1"/>
  <c r="I159" i="2" s="1"/>
  <c r="G160" i="2"/>
  <c r="H160" i="2" s="1"/>
  <c r="I160" i="2" s="1"/>
  <c r="G161" i="2"/>
  <c r="H161" i="2" s="1"/>
  <c r="I161" i="2" s="1"/>
  <c r="G162" i="2"/>
  <c r="H162" i="2" s="1"/>
  <c r="I162" i="2" s="1"/>
  <c r="G163" i="2"/>
  <c r="H163" i="2" s="1"/>
  <c r="I163" i="2" s="1"/>
  <c r="G164" i="2"/>
  <c r="H164" i="2" s="1"/>
  <c r="I164" i="2" s="1"/>
  <c r="G165" i="2"/>
  <c r="H165" i="2" s="1"/>
  <c r="I165" i="2" s="1"/>
  <c r="G166" i="2"/>
  <c r="H166" i="2" s="1"/>
  <c r="I166" i="2" s="1"/>
  <c r="G167" i="2"/>
  <c r="H167" i="2" s="1"/>
  <c r="I167" i="2" s="1"/>
  <c r="G168" i="2"/>
  <c r="H168" i="2" s="1"/>
  <c r="I168" i="2" s="1"/>
  <c r="G169" i="2"/>
  <c r="H169" i="2" s="1"/>
  <c r="I169" i="2" s="1"/>
  <c r="G170" i="2"/>
  <c r="H170" i="2" s="1"/>
  <c r="I170" i="2" s="1"/>
  <c r="G171" i="2"/>
  <c r="H171" i="2" s="1"/>
  <c r="I171" i="2" s="1"/>
  <c r="G172" i="2"/>
  <c r="H172" i="2" s="1"/>
  <c r="I172" i="2" s="1"/>
  <c r="G173" i="2"/>
  <c r="H173" i="2" s="1"/>
  <c r="I173" i="2" s="1"/>
  <c r="G174" i="2"/>
  <c r="H174" i="2" s="1"/>
  <c r="I174" i="2" s="1"/>
  <c r="G175" i="2"/>
  <c r="H175" i="2" s="1"/>
  <c r="I175" i="2" s="1"/>
  <c r="G176" i="2"/>
  <c r="H176" i="2" s="1"/>
  <c r="I176" i="2" s="1"/>
  <c r="G177" i="2"/>
  <c r="H177" i="2" s="1"/>
  <c r="I177" i="2" s="1"/>
  <c r="G178" i="2"/>
  <c r="H178" i="2" s="1"/>
  <c r="I178" i="2" s="1"/>
  <c r="G179" i="2"/>
  <c r="H179" i="2" s="1"/>
  <c r="I179" i="2" s="1"/>
  <c r="G180" i="2"/>
  <c r="H180" i="2" s="1"/>
  <c r="I180" i="2" s="1"/>
  <c r="G181" i="2"/>
  <c r="H181" i="2" s="1"/>
  <c r="I181" i="2" s="1"/>
  <c r="G182" i="2"/>
  <c r="H182" i="2" s="1"/>
  <c r="I182" i="2" s="1"/>
  <c r="G183" i="2"/>
  <c r="H183" i="2" s="1"/>
  <c r="I183" i="2" s="1"/>
  <c r="G184" i="2"/>
  <c r="H184" i="2" s="1"/>
  <c r="I184" i="2" s="1"/>
  <c r="G185" i="2"/>
  <c r="H185" i="2" s="1"/>
  <c r="I185" i="2" s="1"/>
  <c r="G186" i="2"/>
  <c r="H186" i="2" s="1"/>
  <c r="I186" i="2" s="1"/>
  <c r="G187" i="2"/>
  <c r="H187" i="2" s="1"/>
  <c r="I187" i="2" s="1"/>
  <c r="G188" i="2"/>
  <c r="H188" i="2" s="1"/>
  <c r="I188" i="2" s="1"/>
  <c r="G189" i="2"/>
  <c r="H189" i="2" s="1"/>
  <c r="I189" i="2" s="1"/>
  <c r="G190" i="2"/>
  <c r="H190" i="2" s="1"/>
  <c r="I190" i="2" s="1"/>
  <c r="G191" i="2"/>
  <c r="H191" i="2" s="1"/>
  <c r="I191" i="2" s="1"/>
  <c r="G192" i="2"/>
  <c r="G193" i="2"/>
  <c r="H193" i="2" s="1"/>
  <c r="I193" i="2" s="1"/>
  <c r="G194" i="2"/>
  <c r="G195" i="2"/>
  <c r="H195" i="2" s="1"/>
  <c r="I195" i="2" s="1"/>
  <c r="G196" i="2"/>
  <c r="H196" i="2" s="1"/>
  <c r="I196" i="2" s="1"/>
  <c r="G197" i="2"/>
  <c r="H197" i="2" s="1"/>
  <c r="I197" i="2" s="1"/>
  <c r="G198" i="2"/>
  <c r="H198" i="2" s="1"/>
  <c r="I198" i="2" s="1"/>
  <c r="G199" i="2"/>
  <c r="H199" i="2" s="1"/>
  <c r="I199" i="2" s="1"/>
  <c r="G200" i="2"/>
  <c r="H200" i="2" s="1"/>
  <c r="I200" i="2" s="1"/>
  <c r="G201" i="2"/>
  <c r="H201" i="2" s="1"/>
  <c r="I201" i="2" s="1"/>
  <c r="G202" i="2"/>
  <c r="H202" i="2" s="1"/>
  <c r="I202" i="2" s="1"/>
  <c r="G203" i="2"/>
  <c r="H203" i="2" s="1"/>
  <c r="I203" i="2" s="1"/>
  <c r="G204" i="2"/>
  <c r="H204" i="2" s="1"/>
  <c r="I204" i="2" s="1"/>
  <c r="G205" i="2"/>
  <c r="H205" i="2" s="1"/>
  <c r="I205" i="2" s="1"/>
  <c r="G206" i="2"/>
  <c r="H206" i="2" s="1"/>
  <c r="I206" i="2" s="1"/>
  <c r="G207" i="2"/>
  <c r="H207" i="2" s="1"/>
  <c r="I207" i="2" s="1"/>
  <c r="G208" i="2"/>
  <c r="H208" i="2" s="1"/>
  <c r="I208" i="2" s="1"/>
  <c r="G209" i="2"/>
  <c r="H209" i="2" s="1"/>
  <c r="I209" i="2" s="1"/>
  <c r="G210" i="2"/>
  <c r="H210" i="2" s="1"/>
  <c r="I210" i="2" s="1"/>
  <c r="G211" i="2"/>
  <c r="H211" i="2" s="1"/>
  <c r="I211" i="2" s="1"/>
  <c r="G212" i="2"/>
  <c r="H212" i="2" s="1"/>
  <c r="I212" i="2" s="1"/>
  <c r="G213" i="2"/>
  <c r="H213" i="2" s="1"/>
  <c r="I213" i="2" s="1"/>
  <c r="G214" i="2"/>
  <c r="H214" i="2" s="1"/>
  <c r="I214" i="2" s="1"/>
  <c r="G215" i="2"/>
  <c r="H215" i="2" s="1"/>
  <c r="I215" i="2" s="1"/>
  <c r="G216" i="2"/>
  <c r="H216" i="2" s="1"/>
  <c r="I216" i="2" s="1"/>
  <c r="G217" i="2"/>
  <c r="H217" i="2" s="1"/>
  <c r="I217" i="2" s="1"/>
  <c r="G218" i="2"/>
  <c r="H218" i="2" s="1"/>
  <c r="I218" i="2" s="1"/>
  <c r="G219" i="2"/>
  <c r="H219" i="2" s="1"/>
  <c r="I219" i="2" s="1"/>
  <c r="G220" i="2"/>
  <c r="H220" i="2" s="1"/>
  <c r="I220" i="2" s="1"/>
  <c r="G221" i="2"/>
  <c r="H221" i="2" s="1"/>
  <c r="I221" i="2" s="1"/>
  <c r="G222" i="2"/>
  <c r="H222" i="2" s="1"/>
  <c r="I222" i="2" s="1"/>
  <c r="G223" i="2"/>
  <c r="H223" i="2" s="1"/>
  <c r="I223" i="2" s="1"/>
  <c r="G224" i="2"/>
  <c r="H224" i="2" s="1"/>
  <c r="I224" i="2" s="1"/>
  <c r="G225" i="2"/>
  <c r="H225" i="2" s="1"/>
  <c r="I225" i="2" s="1"/>
  <c r="G226" i="2"/>
  <c r="H226" i="2" s="1"/>
  <c r="I226" i="2" s="1"/>
  <c r="G227" i="2"/>
  <c r="H227" i="2" s="1"/>
  <c r="I227" i="2" s="1"/>
  <c r="G228" i="2"/>
  <c r="H228" i="2" s="1"/>
  <c r="I228" i="2" s="1"/>
  <c r="G229" i="2"/>
  <c r="H229" i="2" s="1"/>
  <c r="I229" i="2" s="1"/>
  <c r="G230" i="2"/>
  <c r="H230" i="2" s="1"/>
  <c r="I230" i="2" s="1"/>
  <c r="G231" i="2"/>
  <c r="H231" i="2" s="1"/>
  <c r="I231" i="2" s="1"/>
  <c r="G232" i="2"/>
  <c r="H232" i="2" s="1"/>
  <c r="I232" i="2" s="1"/>
  <c r="G233" i="2"/>
  <c r="H233" i="2" s="1"/>
  <c r="I233" i="2" s="1"/>
  <c r="G234" i="2"/>
  <c r="H234" i="2" s="1"/>
  <c r="I234" i="2" s="1"/>
  <c r="G235" i="2"/>
  <c r="H235" i="2" s="1"/>
  <c r="I235" i="2" s="1"/>
  <c r="G236" i="2"/>
  <c r="H236" i="2" s="1"/>
  <c r="I236" i="2" s="1"/>
  <c r="G237" i="2"/>
  <c r="H237" i="2" s="1"/>
  <c r="I237" i="2" s="1"/>
  <c r="G238" i="2"/>
  <c r="H238" i="2" s="1"/>
  <c r="I238" i="2" s="1"/>
  <c r="G239" i="2"/>
  <c r="H239" i="2" s="1"/>
  <c r="I239" i="2" s="1"/>
  <c r="G240" i="2"/>
  <c r="H240" i="2" s="1"/>
  <c r="I240" i="2" s="1"/>
  <c r="G241" i="2"/>
  <c r="H241" i="2" s="1"/>
  <c r="I241" i="2" s="1"/>
  <c r="G242" i="2"/>
  <c r="H242" i="2" s="1"/>
  <c r="I242" i="2" s="1"/>
  <c r="G243" i="2"/>
  <c r="H243" i="2" s="1"/>
  <c r="I243" i="2" s="1"/>
  <c r="G244" i="2"/>
  <c r="H244" i="2" s="1"/>
  <c r="I244" i="2" s="1"/>
  <c r="G245" i="2"/>
  <c r="H245" i="2" s="1"/>
  <c r="I245" i="2" s="1"/>
  <c r="G246" i="2"/>
  <c r="H246" i="2" s="1"/>
  <c r="I246" i="2" s="1"/>
  <c r="G247" i="2"/>
  <c r="H247" i="2" s="1"/>
  <c r="I247" i="2" s="1"/>
  <c r="G248" i="2"/>
  <c r="H248" i="2" s="1"/>
  <c r="I248" i="2" s="1"/>
  <c r="G249" i="2"/>
  <c r="H249" i="2" s="1"/>
  <c r="I249" i="2" s="1"/>
  <c r="G250" i="2"/>
  <c r="H250" i="2" s="1"/>
  <c r="I250" i="2" s="1"/>
  <c r="G251" i="2"/>
  <c r="H251" i="2" s="1"/>
  <c r="I251" i="2" s="1"/>
  <c r="G252" i="2"/>
  <c r="H252" i="2" s="1"/>
  <c r="I252" i="2" s="1"/>
  <c r="G253" i="2"/>
  <c r="H253" i="2" s="1"/>
  <c r="I253" i="2" s="1"/>
  <c r="G254" i="2"/>
  <c r="H254" i="2" s="1"/>
  <c r="I254" i="2" s="1"/>
  <c r="G255" i="2"/>
  <c r="H255" i="2" s="1"/>
  <c r="I255" i="2" s="1"/>
  <c r="G256" i="2"/>
  <c r="H256" i="2" s="1"/>
  <c r="I256" i="2" s="1"/>
  <c r="G257" i="2"/>
  <c r="H257" i="2" s="1"/>
  <c r="I257" i="2" s="1"/>
  <c r="G258" i="2"/>
  <c r="H258" i="2" s="1"/>
  <c r="I258" i="2" s="1"/>
  <c r="G259" i="2"/>
  <c r="H259" i="2" s="1"/>
  <c r="I259" i="2" s="1"/>
  <c r="G260" i="2"/>
  <c r="H260" i="2" s="1"/>
  <c r="I260" i="2" s="1"/>
  <c r="G261" i="2"/>
  <c r="H261" i="2" s="1"/>
  <c r="I261" i="2" s="1"/>
  <c r="G262" i="2"/>
  <c r="H262" i="2" s="1"/>
  <c r="I262" i="2" s="1"/>
  <c r="G263" i="2"/>
  <c r="H263" i="2" s="1"/>
  <c r="I263" i="2" s="1"/>
  <c r="G264" i="2"/>
  <c r="H264" i="2" s="1"/>
  <c r="I264" i="2" s="1"/>
  <c r="G265" i="2"/>
  <c r="H265" i="2" s="1"/>
  <c r="I265" i="2" s="1"/>
  <c r="G266" i="2"/>
  <c r="H266" i="2" s="1"/>
  <c r="I266" i="2" s="1"/>
  <c r="G267" i="2"/>
  <c r="H267" i="2" s="1"/>
  <c r="I267" i="2" s="1"/>
  <c r="G268" i="2"/>
  <c r="H268" i="2" s="1"/>
  <c r="I268" i="2" s="1"/>
  <c r="G269" i="2"/>
  <c r="H269" i="2" s="1"/>
  <c r="I269" i="2" s="1"/>
  <c r="G270" i="2"/>
  <c r="H270" i="2" s="1"/>
  <c r="I270" i="2" s="1"/>
  <c r="G271" i="2"/>
  <c r="H271" i="2" s="1"/>
  <c r="I271" i="2" s="1"/>
  <c r="G272" i="2"/>
  <c r="H272" i="2" s="1"/>
  <c r="I272" i="2" s="1"/>
  <c r="G273" i="2"/>
  <c r="H273" i="2" s="1"/>
  <c r="I273" i="2" s="1"/>
  <c r="G274" i="2"/>
  <c r="H274" i="2" s="1"/>
  <c r="I274" i="2" s="1"/>
  <c r="G275" i="2"/>
  <c r="H275" i="2" s="1"/>
  <c r="I275" i="2" s="1"/>
  <c r="G276" i="2"/>
  <c r="H276" i="2" s="1"/>
  <c r="I276" i="2" s="1"/>
  <c r="G277" i="2"/>
  <c r="H277" i="2" s="1"/>
  <c r="I277" i="2" s="1"/>
  <c r="G278" i="2"/>
  <c r="H278" i="2" s="1"/>
  <c r="I278" i="2" s="1"/>
  <c r="G279" i="2"/>
  <c r="H279" i="2" s="1"/>
  <c r="I279" i="2" s="1"/>
  <c r="G280" i="2"/>
  <c r="H280" i="2" s="1"/>
  <c r="I280" i="2" s="1"/>
  <c r="G281" i="2"/>
  <c r="H281" i="2" s="1"/>
  <c r="I281" i="2" s="1"/>
  <c r="G857" i="2"/>
  <c r="H857" i="2" s="1"/>
  <c r="I857" i="2" s="1"/>
  <c r="G861" i="2"/>
  <c r="H861" i="2" s="1"/>
  <c r="I861" i="2" s="1"/>
  <c r="G865" i="2"/>
  <c r="H865" i="2" s="1"/>
  <c r="I865" i="2" s="1"/>
  <c r="G883" i="2"/>
  <c r="H883" i="2" s="1"/>
  <c r="I883" i="2" s="1"/>
  <c r="G888" i="2"/>
  <c r="H888" i="2" s="1"/>
  <c r="I888" i="2" s="1"/>
  <c r="G903" i="2"/>
  <c r="H903" i="2" s="1"/>
  <c r="I903" i="2" s="1"/>
  <c r="G907" i="2"/>
  <c r="H907" i="2" s="1"/>
  <c r="I907" i="2" s="1"/>
  <c r="G908" i="2"/>
  <c r="H908" i="2" s="1"/>
  <c r="I908" i="2" s="1"/>
  <c r="G7" i="2"/>
  <c r="H7" i="2" s="1"/>
  <c r="I7" i="2" s="1"/>
  <c r="G8" i="2"/>
  <c r="H8" i="2" s="1"/>
  <c r="I8" i="2" s="1"/>
  <c r="G11" i="2"/>
  <c r="H11" i="2" s="1"/>
  <c r="I11" i="2" s="1"/>
  <c r="G15" i="2"/>
  <c r="H15" i="2" s="1"/>
  <c r="I15" i="2" s="1"/>
  <c r="G16" i="2"/>
  <c r="H16" i="2" s="1"/>
  <c r="I16" i="2" s="1"/>
  <c r="G22" i="2"/>
  <c r="H22" i="2" s="1"/>
  <c r="I22" i="2" s="1"/>
  <c r="G24" i="2"/>
  <c r="H24" i="2" s="1"/>
  <c r="I24" i="2" s="1"/>
  <c r="G25" i="2"/>
  <c r="H25" i="2" s="1"/>
  <c r="I25" i="2" s="1"/>
  <c r="G27" i="2"/>
  <c r="H27" i="2" s="1"/>
  <c r="I27" i="2" s="1"/>
  <c r="G31" i="2"/>
  <c r="H31" i="2" s="1"/>
  <c r="I31" i="2" s="1"/>
  <c r="G34" i="2"/>
  <c r="H34" i="2" s="1"/>
  <c r="I34" i="2" s="1"/>
  <c r="G37" i="2"/>
  <c r="H37" i="2" s="1"/>
  <c r="I37" i="2" s="1"/>
  <c r="G39" i="2"/>
  <c r="H39" i="2" s="1"/>
  <c r="I39" i="2" s="1"/>
  <c r="G41" i="2"/>
  <c r="H41" i="2" s="1"/>
  <c r="I41" i="2" s="1"/>
  <c r="G44" i="2"/>
  <c r="H44" i="2" s="1"/>
  <c r="I44" i="2" s="1"/>
  <c r="G45" i="2"/>
  <c r="H45" i="2" s="1"/>
  <c r="I45" i="2" s="1"/>
  <c r="G47" i="2"/>
  <c r="H47" i="2" s="1"/>
  <c r="I47" i="2" s="1"/>
  <c r="G50" i="2"/>
  <c r="H50" i="2" s="1"/>
  <c r="I50" i="2" s="1"/>
  <c r="G58" i="2"/>
  <c r="H58" i="2" s="1"/>
  <c r="I58" i="2" s="1"/>
  <c r="G59" i="2"/>
  <c r="H59" i="2" s="1"/>
  <c r="I59" i="2" s="1"/>
  <c r="G67" i="2"/>
  <c r="H67" i="2" s="1"/>
  <c r="I67" i="2" s="1"/>
  <c r="G72" i="2"/>
  <c r="H72" i="2" s="1"/>
  <c r="I72" i="2" s="1"/>
  <c r="G73" i="2"/>
  <c r="H73" i="2" s="1"/>
  <c r="I73" i="2" s="1"/>
  <c r="G75" i="2"/>
  <c r="H75" i="2" s="1"/>
  <c r="I75" i="2" s="1"/>
  <c r="G77" i="2"/>
  <c r="H77" i="2" s="1"/>
  <c r="I77" i="2" s="1"/>
  <c r="G79" i="2"/>
  <c r="H79" i="2" s="1"/>
  <c r="I79" i="2" s="1"/>
  <c r="G80" i="2"/>
  <c r="H80" i="2" s="1"/>
  <c r="I80" i="2" s="1"/>
  <c r="G81" i="2"/>
  <c r="H81" i="2" s="1"/>
  <c r="I81" i="2" s="1"/>
  <c r="G82" i="2"/>
  <c r="H82" i="2" s="1"/>
  <c r="I82" i="2" s="1"/>
  <c r="G84" i="2"/>
  <c r="H84" i="2" s="1"/>
  <c r="I84" i="2" s="1"/>
  <c r="G86" i="2"/>
  <c r="H86" i="2" s="1"/>
  <c r="I86" i="2" s="1"/>
  <c r="G87" i="2"/>
  <c r="H87" i="2" s="1"/>
  <c r="I87" i="2" s="1"/>
  <c r="G88" i="2"/>
  <c r="H88" i="2" s="1"/>
  <c r="I88" i="2" s="1"/>
  <c r="G92" i="2"/>
  <c r="H92" i="2" s="1"/>
  <c r="I92" i="2" s="1"/>
  <c r="G93" i="2"/>
  <c r="H93" i="2" s="1"/>
  <c r="I93" i="2" s="1"/>
  <c r="G94" i="2"/>
  <c r="H94" i="2" s="1"/>
  <c r="I94" i="2" s="1"/>
  <c r="G96" i="2"/>
  <c r="H96" i="2" s="1"/>
  <c r="I96" i="2" s="1"/>
  <c r="G97" i="2"/>
  <c r="H97" i="2" s="1"/>
  <c r="I97" i="2" s="1"/>
  <c r="G98" i="2"/>
  <c r="H98" i="2" s="1"/>
  <c r="I98" i="2" s="1"/>
  <c r="G100" i="2"/>
  <c r="H100" i="2" s="1"/>
  <c r="I100" i="2" s="1"/>
  <c r="G102" i="2"/>
  <c r="H102" i="2" s="1"/>
  <c r="I102" i="2" s="1"/>
  <c r="G104" i="2"/>
  <c r="H104" i="2" s="1"/>
  <c r="I104" i="2" s="1"/>
  <c r="G108" i="2"/>
  <c r="H108" i="2" s="1"/>
  <c r="I108" i="2" s="1"/>
  <c r="G282" i="2"/>
  <c r="H282" i="2" s="1"/>
  <c r="I282" i="2" s="1"/>
  <c r="G283" i="2"/>
  <c r="H283" i="2" s="1"/>
  <c r="I283" i="2" s="1"/>
  <c r="G284" i="2"/>
  <c r="H284" i="2" s="1"/>
  <c r="I284" i="2" s="1"/>
  <c r="G285" i="2"/>
  <c r="H285" i="2" s="1"/>
  <c r="I285" i="2" s="1"/>
  <c r="G286" i="2"/>
  <c r="H286" i="2" s="1"/>
  <c r="I286" i="2" s="1"/>
  <c r="G287" i="2"/>
  <c r="H287" i="2" s="1"/>
  <c r="I287" i="2" s="1"/>
  <c r="G288" i="2"/>
  <c r="H288" i="2" s="1"/>
  <c r="I288" i="2" s="1"/>
  <c r="G289" i="2"/>
  <c r="H289" i="2" s="1"/>
  <c r="I289" i="2" s="1"/>
  <c r="G290" i="2"/>
  <c r="H290" i="2" s="1"/>
  <c r="I290" i="2" s="1"/>
  <c r="G291" i="2"/>
  <c r="H291" i="2" s="1"/>
  <c r="I291" i="2" s="1"/>
  <c r="G292" i="2"/>
  <c r="H292" i="2" s="1"/>
  <c r="I292" i="2" s="1"/>
  <c r="G293" i="2"/>
  <c r="H293" i="2" s="1"/>
  <c r="I293" i="2" s="1"/>
  <c r="G294" i="2"/>
  <c r="H294" i="2" s="1"/>
  <c r="I294" i="2" s="1"/>
  <c r="G295" i="2"/>
  <c r="H295" i="2" s="1"/>
  <c r="I295" i="2" s="1"/>
  <c r="G296" i="2"/>
  <c r="H296" i="2" s="1"/>
  <c r="I296" i="2" s="1"/>
  <c r="G297" i="2"/>
  <c r="H297" i="2" s="1"/>
  <c r="I297" i="2" s="1"/>
  <c r="G298" i="2"/>
  <c r="H298" i="2" s="1"/>
  <c r="I298" i="2" s="1"/>
  <c r="G299" i="2"/>
  <c r="H299" i="2" s="1"/>
  <c r="I299" i="2" s="1"/>
  <c r="G300" i="2"/>
  <c r="H300" i="2" s="1"/>
  <c r="I300" i="2" s="1"/>
  <c r="G301" i="2"/>
  <c r="H301" i="2" s="1"/>
  <c r="I301" i="2" s="1"/>
  <c r="G302" i="2"/>
  <c r="H302" i="2" s="1"/>
  <c r="I302" i="2" s="1"/>
  <c r="G303" i="2"/>
  <c r="H303" i="2" s="1"/>
  <c r="I303" i="2" s="1"/>
  <c r="G304" i="2"/>
  <c r="H304" i="2" s="1"/>
  <c r="I304" i="2" s="1"/>
  <c r="G305" i="2"/>
  <c r="H305" i="2" s="1"/>
  <c r="I305" i="2" s="1"/>
  <c r="G306" i="2"/>
  <c r="H306" i="2" s="1"/>
  <c r="I306" i="2" s="1"/>
  <c r="G307" i="2"/>
  <c r="H307" i="2" s="1"/>
  <c r="I307" i="2" s="1"/>
  <c r="G308" i="2"/>
  <c r="H308" i="2" s="1"/>
  <c r="I308" i="2" s="1"/>
  <c r="G309" i="2"/>
  <c r="H309" i="2" s="1"/>
  <c r="I309" i="2" s="1"/>
  <c r="G310" i="2"/>
  <c r="H310" i="2" s="1"/>
  <c r="I310" i="2" s="1"/>
  <c r="G311" i="2"/>
  <c r="H311" i="2" s="1"/>
  <c r="I311" i="2" s="1"/>
  <c r="G312" i="2"/>
  <c r="H312" i="2" s="1"/>
  <c r="I312" i="2" s="1"/>
  <c r="G313" i="2"/>
  <c r="H313" i="2" s="1"/>
  <c r="I313" i="2" s="1"/>
  <c r="G314" i="2"/>
  <c r="H314" i="2" s="1"/>
  <c r="I314" i="2" s="1"/>
  <c r="G315" i="2"/>
  <c r="H315" i="2" s="1"/>
  <c r="I315" i="2" s="1"/>
  <c r="G316" i="2"/>
  <c r="H316" i="2" s="1"/>
  <c r="I316" i="2" s="1"/>
  <c r="G317" i="2"/>
  <c r="H317" i="2" s="1"/>
  <c r="I317" i="2" s="1"/>
  <c r="G318" i="2"/>
  <c r="H318" i="2" s="1"/>
  <c r="I318" i="2" s="1"/>
  <c r="G319" i="2"/>
  <c r="H319" i="2" s="1"/>
  <c r="I319" i="2" s="1"/>
  <c r="G320" i="2"/>
  <c r="H320" i="2" s="1"/>
  <c r="I320" i="2" s="1"/>
  <c r="G321" i="2"/>
  <c r="H321" i="2" s="1"/>
  <c r="I321" i="2" s="1"/>
  <c r="G322" i="2"/>
  <c r="H322" i="2" s="1"/>
  <c r="I322" i="2" s="1"/>
  <c r="G323" i="2"/>
  <c r="H323" i="2" s="1"/>
  <c r="I323" i="2" s="1"/>
  <c r="G324" i="2"/>
  <c r="H324" i="2" s="1"/>
  <c r="I324" i="2" s="1"/>
  <c r="G325" i="2"/>
  <c r="H325" i="2" s="1"/>
  <c r="I325" i="2" s="1"/>
  <c r="G326" i="2"/>
  <c r="H326" i="2" s="1"/>
  <c r="I326" i="2" s="1"/>
  <c r="G327" i="2"/>
  <c r="H327" i="2" s="1"/>
  <c r="I327" i="2" s="1"/>
  <c r="G328" i="2"/>
  <c r="H328" i="2" s="1"/>
  <c r="I328" i="2" s="1"/>
  <c r="G329" i="2"/>
  <c r="H329" i="2" s="1"/>
  <c r="I329" i="2" s="1"/>
  <c r="G330" i="2"/>
  <c r="H330" i="2" s="1"/>
  <c r="I330" i="2" s="1"/>
  <c r="G331" i="2"/>
  <c r="H331" i="2" s="1"/>
  <c r="I331" i="2" s="1"/>
  <c r="G332" i="2"/>
  <c r="H332" i="2" s="1"/>
  <c r="I332" i="2" s="1"/>
  <c r="G333" i="2"/>
  <c r="H333" i="2" s="1"/>
  <c r="I333" i="2" s="1"/>
  <c r="G334" i="2"/>
  <c r="H334" i="2" s="1"/>
  <c r="I334" i="2" s="1"/>
  <c r="G335" i="2"/>
  <c r="H335" i="2" s="1"/>
  <c r="I335" i="2" s="1"/>
  <c r="G336" i="2"/>
  <c r="H336" i="2" s="1"/>
  <c r="I336" i="2" s="1"/>
  <c r="G337" i="2"/>
  <c r="H337" i="2" s="1"/>
  <c r="I337" i="2" s="1"/>
  <c r="G338" i="2"/>
  <c r="H338" i="2" s="1"/>
  <c r="I338" i="2" s="1"/>
  <c r="G339" i="2"/>
  <c r="H339" i="2" s="1"/>
  <c r="I339" i="2" s="1"/>
  <c r="G340" i="2"/>
  <c r="H340" i="2" s="1"/>
  <c r="I340" i="2" s="1"/>
  <c r="G341" i="2"/>
  <c r="H341" i="2" s="1"/>
  <c r="I341" i="2" s="1"/>
  <c r="G342" i="2"/>
  <c r="H342" i="2" s="1"/>
  <c r="I342" i="2" s="1"/>
  <c r="G343" i="2"/>
  <c r="H343" i="2" s="1"/>
  <c r="I343" i="2" s="1"/>
  <c r="G344" i="2"/>
  <c r="H344" i="2" s="1"/>
  <c r="I344" i="2" s="1"/>
  <c r="G345" i="2"/>
  <c r="H345" i="2" s="1"/>
  <c r="I345" i="2" s="1"/>
  <c r="G346" i="2"/>
  <c r="H346" i="2" s="1"/>
  <c r="I346" i="2" s="1"/>
  <c r="G347" i="2"/>
  <c r="H347" i="2" s="1"/>
  <c r="I347" i="2" s="1"/>
  <c r="G348" i="2"/>
  <c r="H348" i="2" s="1"/>
  <c r="I348" i="2" s="1"/>
  <c r="G349" i="2"/>
  <c r="H349" i="2" s="1"/>
  <c r="I349" i="2" s="1"/>
  <c r="G350" i="2"/>
  <c r="H350" i="2" s="1"/>
  <c r="I350" i="2" s="1"/>
  <c r="G351" i="2"/>
  <c r="H351" i="2" s="1"/>
  <c r="I351" i="2" s="1"/>
  <c r="G352" i="2"/>
  <c r="H352" i="2" s="1"/>
  <c r="I352" i="2" s="1"/>
  <c r="G353" i="2"/>
  <c r="H353" i="2" s="1"/>
  <c r="I353" i="2" s="1"/>
  <c r="G354" i="2"/>
  <c r="H354" i="2" s="1"/>
  <c r="I354" i="2" s="1"/>
  <c r="G355" i="2"/>
  <c r="H355" i="2" s="1"/>
  <c r="I355" i="2" s="1"/>
  <c r="G356" i="2"/>
  <c r="H356" i="2" s="1"/>
  <c r="I356" i="2" s="1"/>
  <c r="G357" i="2"/>
  <c r="H357" i="2" s="1"/>
  <c r="I357" i="2" s="1"/>
  <c r="G358" i="2"/>
  <c r="H358" i="2" s="1"/>
  <c r="I358" i="2" s="1"/>
  <c r="G359" i="2"/>
  <c r="H359" i="2" s="1"/>
  <c r="I359" i="2" s="1"/>
  <c r="G360" i="2"/>
  <c r="H360" i="2" s="1"/>
  <c r="I360" i="2" s="1"/>
  <c r="G361" i="2"/>
  <c r="H361" i="2" s="1"/>
  <c r="I361" i="2" s="1"/>
  <c r="G362" i="2"/>
  <c r="H362" i="2" s="1"/>
  <c r="I362" i="2" s="1"/>
  <c r="G363" i="2"/>
  <c r="H363" i="2" s="1"/>
  <c r="I363" i="2" s="1"/>
  <c r="G364" i="2"/>
  <c r="H364" i="2" s="1"/>
  <c r="I364" i="2" s="1"/>
  <c r="G365" i="2"/>
  <c r="H365" i="2" s="1"/>
  <c r="I365" i="2" s="1"/>
  <c r="G366" i="2"/>
  <c r="H366" i="2" s="1"/>
  <c r="I366" i="2" s="1"/>
  <c r="G367" i="2"/>
  <c r="H367" i="2" s="1"/>
  <c r="I367" i="2" s="1"/>
  <c r="G368" i="2"/>
  <c r="H368" i="2" s="1"/>
  <c r="I368" i="2" s="1"/>
  <c r="G369" i="2"/>
  <c r="H369" i="2" s="1"/>
  <c r="I369" i="2" s="1"/>
  <c r="G370" i="2"/>
  <c r="H370" i="2" s="1"/>
  <c r="I370" i="2" s="1"/>
  <c r="G371" i="2"/>
  <c r="H371" i="2" s="1"/>
  <c r="I371" i="2" s="1"/>
  <c r="G372" i="2"/>
  <c r="H372" i="2" s="1"/>
  <c r="I372" i="2" s="1"/>
  <c r="G373" i="2"/>
  <c r="H373" i="2" s="1"/>
  <c r="I373" i="2" s="1"/>
  <c r="G374" i="2"/>
  <c r="H374" i="2" s="1"/>
  <c r="I374" i="2" s="1"/>
  <c r="G375" i="2"/>
  <c r="H375" i="2" s="1"/>
  <c r="I375" i="2" s="1"/>
  <c r="G376" i="2"/>
  <c r="H376" i="2" s="1"/>
  <c r="I376" i="2" s="1"/>
  <c r="G377" i="2"/>
  <c r="H377" i="2" s="1"/>
  <c r="I377" i="2" s="1"/>
  <c r="G378" i="2"/>
  <c r="H378" i="2" s="1"/>
  <c r="I378" i="2" s="1"/>
  <c r="G379" i="2"/>
  <c r="H379" i="2" s="1"/>
  <c r="I379" i="2" s="1"/>
  <c r="G380" i="2"/>
  <c r="H380" i="2" s="1"/>
  <c r="I380" i="2" s="1"/>
  <c r="G381" i="2"/>
  <c r="H381" i="2" s="1"/>
  <c r="I381" i="2" s="1"/>
  <c r="G382" i="2"/>
  <c r="H382" i="2" s="1"/>
  <c r="I382" i="2" s="1"/>
  <c r="G383" i="2"/>
  <c r="H383" i="2" s="1"/>
  <c r="I383" i="2" s="1"/>
  <c r="G384" i="2"/>
  <c r="H384" i="2" s="1"/>
  <c r="I384" i="2" s="1"/>
  <c r="G385" i="2"/>
  <c r="H385" i="2" s="1"/>
  <c r="I385" i="2" s="1"/>
  <c r="G386" i="2"/>
  <c r="H386" i="2" s="1"/>
  <c r="I386" i="2" s="1"/>
  <c r="G387" i="2"/>
  <c r="H387" i="2" s="1"/>
  <c r="I387" i="2" s="1"/>
  <c r="G388" i="2"/>
  <c r="H388" i="2" s="1"/>
  <c r="I388" i="2" s="1"/>
  <c r="G389" i="2"/>
  <c r="H389" i="2" s="1"/>
  <c r="I389" i="2" s="1"/>
  <c r="G390" i="2"/>
  <c r="H390" i="2" s="1"/>
  <c r="I390" i="2" s="1"/>
  <c r="G391" i="2"/>
  <c r="H391" i="2" s="1"/>
  <c r="I391" i="2" s="1"/>
  <c r="G392" i="2"/>
  <c r="H392" i="2" s="1"/>
  <c r="I392" i="2" s="1"/>
  <c r="G393" i="2"/>
  <c r="H393" i="2" s="1"/>
  <c r="I393" i="2" s="1"/>
  <c r="G394" i="2"/>
  <c r="H394" i="2" s="1"/>
  <c r="I394" i="2" s="1"/>
  <c r="G395" i="2"/>
  <c r="H395" i="2" s="1"/>
  <c r="I395" i="2" s="1"/>
  <c r="G396" i="2"/>
  <c r="H396" i="2" s="1"/>
  <c r="I396" i="2" s="1"/>
  <c r="G397" i="2"/>
  <c r="H397" i="2" s="1"/>
  <c r="I397" i="2" s="1"/>
  <c r="G398" i="2"/>
  <c r="H398" i="2" s="1"/>
  <c r="I398" i="2" s="1"/>
  <c r="G399" i="2"/>
  <c r="H399" i="2" s="1"/>
  <c r="I399" i="2" s="1"/>
  <c r="G400" i="2"/>
  <c r="H400" i="2" s="1"/>
  <c r="I400" i="2" s="1"/>
  <c r="G401" i="2"/>
  <c r="H401" i="2" s="1"/>
  <c r="I401" i="2" s="1"/>
  <c r="G402" i="2"/>
  <c r="H402" i="2" s="1"/>
  <c r="I402" i="2" s="1"/>
  <c r="G403" i="2"/>
  <c r="H403" i="2" s="1"/>
  <c r="I403" i="2" s="1"/>
  <c r="G404" i="2"/>
  <c r="H404" i="2" s="1"/>
  <c r="I404" i="2" s="1"/>
  <c r="G405" i="2"/>
  <c r="H405" i="2" s="1"/>
  <c r="I405" i="2" s="1"/>
  <c r="G406" i="2"/>
  <c r="H406" i="2" s="1"/>
  <c r="I406" i="2" s="1"/>
  <c r="G407" i="2"/>
  <c r="H407" i="2" s="1"/>
  <c r="I407" i="2" s="1"/>
  <c r="G408" i="2"/>
  <c r="H408" i="2" s="1"/>
  <c r="I408" i="2" s="1"/>
  <c r="G409" i="2"/>
  <c r="H409" i="2" s="1"/>
  <c r="I409" i="2" s="1"/>
  <c r="G410" i="2"/>
  <c r="H410" i="2" s="1"/>
  <c r="I410" i="2" s="1"/>
  <c r="G411" i="2"/>
  <c r="H411" i="2" s="1"/>
  <c r="I411" i="2" s="1"/>
  <c r="G412" i="2"/>
  <c r="H412" i="2" s="1"/>
  <c r="I412" i="2" s="1"/>
  <c r="G413" i="2"/>
  <c r="H413" i="2" s="1"/>
  <c r="I413" i="2" s="1"/>
  <c r="G414" i="2"/>
  <c r="H414" i="2" s="1"/>
  <c r="I414" i="2" s="1"/>
  <c r="G415" i="2"/>
  <c r="H415" i="2" s="1"/>
  <c r="I415" i="2" s="1"/>
  <c r="G416" i="2"/>
  <c r="H416" i="2" s="1"/>
  <c r="I416" i="2" s="1"/>
  <c r="G417" i="2"/>
  <c r="H417" i="2" s="1"/>
  <c r="I417" i="2" s="1"/>
  <c r="G418" i="2"/>
  <c r="H418" i="2" s="1"/>
  <c r="I418" i="2" s="1"/>
  <c r="G419" i="2"/>
  <c r="H419" i="2" s="1"/>
  <c r="I419" i="2" s="1"/>
  <c r="G420" i="2"/>
  <c r="H420" i="2" s="1"/>
  <c r="I420" i="2" s="1"/>
  <c r="G421" i="2"/>
  <c r="H421" i="2" s="1"/>
  <c r="I421" i="2" s="1"/>
  <c r="G422" i="2"/>
  <c r="H422" i="2" s="1"/>
  <c r="I422" i="2" s="1"/>
  <c r="G423" i="2"/>
  <c r="H423" i="2" s="1"/>
  <c r="I423" i="2" s="1"/>
  <c r="G424" i="2"/>
  <c r="H424" i="2" s="1"/>
  <c r="I424" i="2" s="1"/>
  <c r="G425" i="2"/>
  <c r="H425" i="2" s="1"/>
  <c r="I425" i="2" s="1"/>
  <c r="G426" i="2"/>
  <c r="H426" i="2" s="1"/>
  <c r="I426" i="2" s="1"/>
  <c r="G427" i="2"/>
  <c r="H427" i="2" s="1"/>
  <c r="I427" i="2" s="1"/>
  <c r="G428" i="2"/>
  <c r="H428" i="2" s="1"/>
  <c r="I428" i="2" s="1"/>
  <c r="G429" i="2"/>
  <c r="H429" i="2" s="1"/>
  <c r="I429" i="2" s="1"/>
  <c r="G430" i="2"/>
  <c r="H430" i="2" s="1"/>
  <c r="I430" i="2" s="1"/>
  <c r="G431" i="2"/>
  <c r="H431" i="2" s="1"/>
  <c r="I431" i="2" s="1"/>
  <c r="G432" i="2"/>
  <c r="H432" i="2" s="1"/>
  <c r="I432" i="2" s="1"/>
  <c r="G433" i="2"/>
  <c r="H433" i="2" s="1"/>
  <c r="I433" i="2" s="1"/>
  <c r="G434" i="2"/>
  <c r="H434" i="2" s="1"/>
  <c r="I434" i="2" s="1"/>
  <c r="G435" i="2"/>
  <c r="H435" i="2" s="1"/>
  <c r="I435" i="2" s="1"/>
  <c r="G436" i="2"/>
  <c r="H436" i="2" s="1"/>
  <c r="I436" i="2" s="1"/>
  <c r="G437" i="2"/>
  <c r="H437" i="2" s="1"/>
  <c r="I437" i="2" s="1"/>
  <c r="G438" i="2"/>
  <c r="H438" i="2" s="1"/>
  <c r="I438" i="2" s="1"/>
  <c r="G439" i="2"/>
  <c r="H439" i="2" s="1"/>
  <c r="I439" i="2" s="1"/>
  <c r="G440" i="2"/>
  <c r="H440" i="2" s="1"/>
  <c r="I440" i="2" s="1"/>
  <c r="G441" i="2"/>
  <c r="H441" i="2" s="1"/>
  <c r="I441" i="2" s="1"/>
  <c r="G442" i="2"/>
  <c r="H442" i="2" s="1"/>
  <c r="I442" i="2" s="1"/>
  <c r="G443" i="2"/>
  <c r="H443" i="2" s="1"/>
  <c r="I443" i="2" s="1"/>
  <c r="G444" i="2"/>
  <c r="H444" i="2" s="1"/>
  <c r="I444" i="2" s="1"/>
  <c r="G445" i="2"/>
  <c r="H445" i="2" s="1"/>
  <c r="I445" i="2" s="1"/>
  <c r="G446" i="2"/>
  <c r="H446" i="2" s="1"/>
  <c r="I446" i="2" s="1"/>
  <c r="G447" i="2"/>
  <c r="H447" i="2" s="1"/>
  <c r="I447" i="2" s="1"/>
  <c r="G448" i="2"/>
  <c r="H448" i="2" s="1"/>
  <c r="I448" i="2" s="1"/>
  <c r="G449" i="2"/>
  <c r="H449" i="2" s="1"/>
  <c r="I449" i="2" s="1"/>
  <c r="G450" i="2"/>
  <c r="H450" i="2" s="1"/>
  <c r="I450" i="2" s="1"/>
  <c r="G451" i="2"/>
  <c r="H451" i="2" s="1"/>
  <c r="I451" i="2" s="1"/>
  <c r="G452" i="2"/>
  <c r="H452" i="2" s="1"/>
  <c r="I452" i="2" s="1"/>
  <c r="G453" i="2"/>
  <c r="H453" i="2" s="1"/>
  <c r="I453" i="2" s="1"/>
  <c r="G454" i="2"/>
  <c r="H454" i="2" s="1"/>
  <c r="I454" i="2" s="1"/>
  <c r="G455" i="2"/>
  <c r="H455" i="2" s="1"/>
  <c r="I455" i="2" s="1"/>
  <c r="G456" i="2"/>
  <c r="H456" i="2" s="1"/>
  <c r="I456" i="2" s="1"/>
  <c r="G457" i="2"/>
  <c r="H457" i="2" s="1"/>
  <c r="I457" i="2" s="1"/>
  <c r="G458" i="2"/>
  <c r="H458" i="2" s="1"/>
  <c r="I458" i="2" s="1"/>
  <c r="G459" i="2"/>
  <c r="H459" i="2" s="1"/>
  <c r="I459" i="2" s="1"/>
  <c r="G460" i="2"/>
  <c r="H460" i="2" s="1"/>
  <c r="I460" i="2" s="1"/>
  <c r="G461" i="2"/>
  <c r="H461" i="2" s="1"/>
  <c r="I461" i="2" s="1"/>
  <c r="G462" i="2"/>
  <c r="H462" i="2" s="1"/>
  <c r="I462" i="2" s="1"/>
  <c r="G463" i="2"/>
  <c r="H463" i="2" s="1"/>
  <c r="I463" i="2" s="1"/>
  <c r="G464" i="2"/>
  <c r="H464" i="2" s="1"/>
  <c r="I464" i="2" s="1"/>
  <c r="G465" i="2"/>
  <c r="H465" i="2" s="1"/>
  <c r="I465" i="2" s="1"/>
  <c r="G466" i="2"/>
  <c r="H466" i="2" s="1"/>
  <c r="I466" i="2" s="1"/>
  <c r="G467" i="2"/>
  <c r="H467" i="2" s="1"/>
  <c r="I467" i="2" s="1"/>
  <c r="G468" i="2"/>
  <c r="H468" i="2" s="1"/>
  <c r="I468" i="2" s="1"/>
  <c r="G469" i="2"/>
  <c r="H469" i="2" s="1"/>
  <c r="I469" i="2" s="1"/>
  <c r="G470" i="2"/>
  <c r="H470" i="2" s="1"/>
  <c r="I470" i="2" s="1"/>
  <c r="G471" i="2"/>
  <c r="H471" i="2" s="1"/>
  <c r="I471" i="2" s="1"/>
  <c r="G472" i="2"/>
  <c r="H472" i="2" s="1"/>
  <c r="I472" i="2" s="1"/>
  <c r="G473" i="2"/>
  <c r="H473" i="2" s="1"/>
  <c r="I473" i="2" s="1"/>
  <c r="G474" i="2"/>
  <c r="H474" i="2" s="1"/>
  <c r="I474" i="2" s="1"/>
  <c r="G475" i="2"/>
  <c r="H475" i="2" s="1"/>
  <c r="I475" i="2" s="1"/>
  <c r="G476" i="2"/>
  <c r="H476" i="2" s="1"/>
  <c r="I476" i="2" s="1"/>
  <c r="G477" i="2"/>
  <c r="H477" i="2" s="1"/>
  <c r="I477" i="2" s="1"/>
  <c r="G478" i="2"/>
  <c r="H478" i="2" s="1"/>
  <c r="I478" i="2" s="1"/>
  <c r="G479" i="2"/>
  <c r="H479" i="2" s="1"/>
  <c r="I479" i="2" s="1"/>
  <c r="G480" i="2"/>
  <c r="H480" i="2" s="1"/>
  <c r="I480" i="2" s="1"/>
  <c r="G481" i="2"/>
  <c r="H481" i="2" s="1"/>
  <c r="I481" i="2" s="1"/>
  <c r="G482" i="2"/>
  <c r="H482" i="2" s="1"/>
  <c r="I482" i="2" s="1"/>
  <c r="G483" i="2"/>
  <c r="H483" i="2" s="1"/>
  <c r="I483" i="2" s="1"/>
  <c r="G484" i="2"/>
  <c r="H484" i="2" s="1"/>
  <c r="I484" i="2" s="1"/>
  <c r="G485" i="2"/>
  <c r="H485" i="2" s="1"/>
  <c r="I485" i="2" s="1"/>
  <c r="G486" i="2"/>
  <c r="H486" i="2" s="1"/>
  <c r="I486" i="2" s="1"/>
  <c r="G487" i="2"/>
  <c r="H487" i="2" s="1"/>
  <c r="I487" i="2" s="1"/>
  <c r="G488" i="2"/>
  <c r="H488" i="2" s="1"/>
  <c r="I488" i="2" s="1"/>
  <c r="G489" i="2"/>
  <c r="H489" i="2" s="1"/>
  <c r="I489" i="2" s="1"/>
  <c r="G490" i="2"/>
  <c r="H490" i="2" s="1"/>
  <c r="I490" i="2" s="1"/>
  <c r="G491" i="2"/>
  <c r="H491" i="2" s="1"/>
  <c r="I491" i="2" s="1"/>
  <c r="G492" i="2"/>
  <c r="H492" i="2" s="1"/>
  <c r="I492" i="2" s="1"/>
  <c r="G493" i="2"/>
  <c r="H493" i="2" s="1"/>
  <c r="I493" i="2" s="1"/>
  <c r="G494" i="2"/>
  <c r="H494" i="2" s="1"/>
  <c r="I494" i="2" s="1"/>
  <c r="G495" i="2"/>
  <c r="H495" i="2" s="1"/>
  <c r="I495" i="2" s="1"/>
  <c r="G496" i="2"/>
  <c r="H496" i="2" s="1"/>
  <c r="I496" i="2" s="1"/>
  <c r="G497" i="2"/>
  <c r="H497" i="2" s="1"/>
  <c r="I497" i="2" s="1"/>
  <c r="G498" i="2"/>
  <c r="H498" i="2" s="1"/>
  <c r="I498" i="2" s="1"/>
  <c r="G499" i="2"/>
  <c r="H499" i="2" s="1"/>
  <c r="I499" i="2" s="1"/>
  <c r="G500" i="2"/>
  <c r="H500" i="2" s="1"/>
  <c r="I500" i="2" s="1"/>
  <c r="G501" i="2"/>
  <c r="H501" i="2" s="1"/>
  <c r="I501" i="2" s="1"/>
  <c r="G502" i="2"/>
  <c r="H502" i="2" s="1"/>
  <c r="I502" i="2" s="1"/>
  <c r="G503" i="2"/>
  <c r="H503" i="2" s="1"/>
  <c r="I503" i="2" s="1"/>
  <c r="G504" i="2"/>
  <c r="H504" i="2" s="1"/>
  <c r="I504" i="2" s="1"/>
  <c r="G505" i="2"/>
  <c r="H505" i="2" s="1"/>
  <c r="I505" i="2" s="1"/>
  <c r="G506" i="2"/>
  <c r="H506" i="2" s="1"/>
  <c r="I506" i="2" s="1"/>
  <c r="G507" i="2"/>
  <c r="H507" i="2" s="1"/>
  <c r="I507" i="2" s="1"/>
  <c r="G508" i="2"/>
  <c r="H508" i="2" s="1"/>
  <c r="I508" i="2" s="1"/>
  <c r="G509" i="2"/>
  <c r="H509" i="2" s="1"/>
  <c r="I509" i="2" s="1"/>
  <c r="G510" i="2"/>
  <c r="H510" i="2" s="1"/>
  <c r="I510" i="2" s="1"/>
  <c r="G511" i="2"/>
  <c r="H511" i="2" s="1"/>
  <c r="I511" i="2" s="1"/>
  <c r="G512" i="2"/>
  <c r="H512" i="2" s="1"/>
  <c r="I512" i="2" s="1"/>
  <c r="G513" i="2"/>
  <c r="H513" i="2" s="1"/>
  <c r="I513" i="2" s="1"/>
  <c r="G514" i="2"/>
  <c r="H514" i="2" s="1"/>
  <c r="I514" i="2" s="1"/>
  <c r="G515" i="2"/>
  <c r="H515" i="2" s="1"/>
  <c r="I515" i="2" s="1"/>
  <c r="G516" i="2"/>
  <c r="H516" i="2" s="1"/>
  <c r="I516" i="2" s="1"/>
  <c r="G517" i="2"/>
  <c r="H517" i="2" s="1"/>
  <c r="I517" i="2" s="1"/>
  <c r="G518" i="2"/>
  <c r="H518" i="2" s="1"/>
  <c r="I518" i="2" s="1"/>
  <c r="G519" i="2"/>
  <c r="H519" i="2" s="1"/>
  <c r="I519" i="2" s="1"/>
  <c r="G520" i="2"/>
  <c r="H520" i="2" s="1"/>
  <c r="I520" i="2" s="1"/>
  <c r="G521" i="2"/>
  <c r="H521" i="2" s="1"/>
  <c r="I521" i="2" s="1"/>
  <c r="G522" i="2"/>
  <c r="H522" i="2" s="1"/>
  <c r="I522" i="2" s="1"/>
  <c r="G523" i="2"/>
  <c r="H523" i="2" s="1"/>
  <c r="I523" i="2" s="1"/>
  <c r="G524" i="2"/>
  <c r="H524" i="2" s="1"/>
  <c r="I524" i="2" s="1"/>
  <c r="G525" i="2"/>
  <c r="H525" i="2" s="1"/>
  <c r="I525" i="2" s="1"/>
  <c r="G526" i="2"/>
  <c r="H526" i="2" s="1"/>
  <c r="I526" i="2" s="1"/>
  <c r="G527" i="2"/>
  <c r="H527" i="2" s="1"/>
  <c r="I527" i="2" s="1"/>
  <c r="G528" i="2"/>
  <c r="H528" i="2" s="1"/>
  <c r="I528" i="2" s="1"/>
  <c r="G529" i="2"/>
  <c r="H529" i="2" s="1"/>
  <c r="I529" i="2" s="1"/>
  <c r="G530" i="2"/>
  <c r="H530" i="2" s="1"/>
  <c r="I530" i="2" s="1"/>
  <c r="G531" i="2"/>
  <c r="H531" i="2" s="1"/>
  <c r="I531" i="2" s="1"/>
  <c r="G532" i="2"/>
  <c r="H532" i="2" s="1"/>
  <c r="I532" i="2" s="1"/>
  <c r="G533" i="2"/>
  <c r="H533" i="2" s="1"/>
  <c r="I533" i="2" s="1"/>
  <c r="G534" i="2"/>
  <c r="H534" i="2" s="1"/>
  <c r="I534" i="2" s="1"/>
  <c r="G535" i="2"/>
  <c r="H535" i="2" s="1"/>
  <c r="I535" i="2" s="1"/>
  <c r="G536" i="2"/>
  <c r="H536" i="2" s="1"/>
  <c r="I536" i="2" s="1"/>
  <c r="G537" i="2"/>
  <c r="H537" i="2" s="1"/>
  <c r="I537" i="2" s="1"/>
  <c r="G538" i="2"/>
  <c r="H538" i="2" s="1"/>
  <c r="I538" i="2" s="1"/>
  <c r="G539" i="2"/>
  <c r="H539" i="2" s="1"/>
  <c r="I539" i="2" s="1"/>
  <c r="G540" i="2"/>
  <c r="H540" i="2" s="1"/>
  <c r="I540" i="2" s="1"/>
  <c r="G541" i="2"/>
  <c r="H541" i="2" s="1"/>
  <c r="I541" i="2" s="1"/>
  <c r="G542" i="2"/>
  <c r="H542" i="2" s="1"/>
  <c r="I542" i="2" s="1"/>
  <c r="G543" i="2"/>
  <c r="H543" i="2" s="1"/>
  <c r="I543" i="2" s="1"/>
  <c r="G544" i="2"/>
  <c r="H544" i="2" s="1"/>
  <c r="I544" i="2" s="1"/>
  <c r="G545" i="2"/>
  <c r="H545" i="2" s="1"/>
  <c r="I545" i="2" s="1"/>
  <c r="G546" i="2"/>
  <c r="H546" i="2" s="1"/>
  <c r="I546" i="2" s="1"/>
  <c r="G547" i="2"/>
  <c r="H547" i="2" s="1"/>
  <c r="I547" i="2" s="1"/>
  <c r="G548" i="2"/>
  <c r="H548" i="2" s="1"/>
  <c r="I548" i="2" s="1"/>
  <c r="G549" i="2"/>
  <c r="H549" i="2" s="1"/>
  <c r="I549" i="2" s="1"/>
  <c r="G550" i="2"/>
  <c r="H550" i="2" s="1"/>
  <c r="I550" i="2" s="1"/>
  <c r="G551" i="2"/>
  <c r="H551" i="2" s="1"/>
  <c r="I551" i="2" s="1"/>
  <c r="G552" i="2"/>
  <c r="H552" i="2" s="1"/>
  <c r="I552" i="2" s="1"/>
  <c r="G553" i="2"/>
  <c r="H553" i="2" s="1"/>
  <c r="I553" i="2" s="1"/>
  <c r="G554" i="2"/>
  <c r="H554" i="2" s="1"/>
  <c r="I554" i="2" s="1"/>
  <c r="G555" i="2"/>
  <c r="H555" i="2" s="1"/>
  <c r="I555" i="2" s="1"/>
  <c r="G556" i="2"/>
  <c r="H556" i="2" s="1"/>
  <c r="I556" i="2" s="1"/>
  <c r="G557" i="2"/>
  <c r="H557" i="2" s="1"/>
  <c r="I557" i="2" s="1"/>
  <c r="G558" i="2"/>
  <c r="H558" i="2" s="1"/>
  <c r="I558" i="2" s="1"/>
  <c r="G559" i="2"/>
  <c r="H559" i="2" s="1"/>
  <c r="I559" i="2" s="1"/>
  <c r="G560" i="2"/>
  <c r="H560" i="2" s="1"/>
  <c r="I560" i="2" s="1"/>
  <c r="G561" i="2"/>
  <c r="H561" i="2" s="1"/>
  <c r="I561" i="2" s="1"/>
  <c r="G872" i="2"/>
  <c r="H872" i="2" s="1"/>
  <c r="I872" i="2" s="1"/>
  <c r="G873" i="2"/>
  <c r="H873" i="2" s="1"/>
  <c r="I873" i="2" s="1"/>
  <c r="G893" i="2"/>
  <c r="H893" i="2" s="1"/>
  <c r="I893" i="2" s="1"/>
  <c r="G945" i="2"/>
  <c r="H945" i="2" s="1"/>
  <c r="I945" i="2" s="1"/>
  <c r="G2" i="2"/>
  <c r="H2" i="2" s="1"/>
  <c r="I2" i="2" s="1"/>
  <c r="G3" i="2"/>
  <c r="H3" i="2" s="1"/>
  <c r="I3" i="2" s="1"/>
  <c r="G4" i="2"/>
  <c r="H4" i="2" s="1"/>
  <c r="I4" i="2" s="1"/>
  <c r="G5" i="2"/>
  <c r="H5" i="2" s="1"/>
  <c r="I5" i="2" s="1"/>
  <c r="L5" i="4"/>
  <c r="G5" i="4" l="1"/>
  <c r="H5" i="4" s="1"/>
  <c r="I5" i="4" s="1"/>
  <c r="G4" i="4"/>
  <c r="H4" i="4" s="1"/>
  <c r="I4" i="4" s="1"/>
  <c r="G3" i="4"/>
  <c r="H3" i="4" s="1"/>
  <c r="I3" i="4" s="1"/>
  <c r="G2" i="4"/>
  <c r="H2" i="4" s="1"/>
  <c r="I2" i="4" s="1"/>
  <c r="G523" i="4"/>
  <c r="H523" i="4" s="1"/>
  <c r="I523" i="4" s="1"/>
  <c r="G522" i="4"/>
  <c r="H522" i="4" s="1"/>
  <c r="I522" i="4" s="1"/>
  <c r="G521" i="4"/>
  <c r="H521" i="4" s="1"/>
  <c r="I521" i="4" s="1"/>
  <c r="G520" i="4"/>
  <c r="H520" i="4" s="1"/>
  <c r="I520" i="4" s="1"/>
  <c r="G519" i="4"/>
  <c r="H519" i="4" s="1"/>
  <c r="I519" i="4" s="1"/>
  <c r="G518" i="4"/>
  <c r="H518" i="4" s="1"/>
  <c r="I518" i="4" s="1"/>
  <c r="G517" i="4"/>
  <c r="H517" i="4" s="1"/>
  <c r="I517" i="4" s="1"/>
  <c r="G516" i="4"/>
  <c r="H516" i="4" s="1"/>
  <c r="I516" i="4" s="1"/>
  <c r="G515" i="4"/>
  <c r="H515" i="4" s="1"/>
  <c r="I515" i="4" s="1"/>
  <c r="G514" i="4"/>
  <c r="H514" i="4" s="1"/>
  <c r="I514" i="4" s="1"/>
  <c r="G513" i="4"/>
  <c r="H513" i="4" s="1"/>
  <c r="I513" i="4" s="1"/>
  <c r="G512" i="4"/>
  <c r="H512" i="4" s="1"/>
  <c r="I512" i="4" s="1"/>
  <c r="G511" i="4"/>
  <c r="H511" i="4" s="1"/>
  <c r="I511" i="4" s="1"/>
  <c r="G510" i="4"/>
  <c r="H510" i="4" s="1"/>
  <c r="I510" i="4" s="1"/>
  <c r="G509" i="4"/>
  <c r="H509" i="4" s="1"/>
  <c r="I509" i="4" s="1"/>
  <c r="G508" i="4"/>
  <c r="H508" i="4" s="1"/>
  <c r="I508" i="4" s="1"/>
  <c r="G507" i="4"/>
  <c r="H507" i="4" s="1"/>
  <c r="I507" i="4" s="1"/>
  <c r="G506" i="4"/>
  <c r="H506" i="4" s="1"/>
  <c r="I506" i="4" s="1"/>
  <c r="G505" i="4"/>
  <c r="H505" i="4" s="1"/>
  <c r="I505" i="4" s="1"/>
  <c r="G504" i="4"/>
  <c r="H504" i="4" s="1"/>
  <c r="I504" i="4" s="1"/>
  <c r="G503" i="4"/>
  <c r="H503" i="4" s="1"/>
  <c r="I503" i="4" s="1"/>
  <c r="G502" i="4"/>
  <c r="H502" i="4" s="1"/>
  <c r="I502" i="4" s="1"/>
  <c r="G501" i="4"/>
  <c r="H501" i="4" s="1"/>
  <c r="I501" i="4" s="1"/>
  <c r="G500" i="4"/>
  <c r="H500" i="4" s="1"/>
  <c r="I500" i="4" s="1"/>
  <c r="G499" i="4"/>
  <c r="H499" i="4" s="1"/>
  <c r="I499" i="4" s="1"/>
  <c r="G498" i="4"/>
  <c r="H498" i="4" s="1"/>
  <c r="I498" i="4" s="1"/>
  <c r="G497" i="4"/>
  <c r="H497" i="4" s="1"/>
  <c r="I497" i="4" s="1"/>
  <c r="G496" i="4"/>
  <c r="H496" i="4" s="1"/>
  <c r="I496" i="4" s="1"/>
  <c r="G495" i="4"/>
  <c r="H495" i="4" s="1"/>
  <c r="I495" i="4" s="1"/>
  <c r="G494" i="4"/>
  <c r="H494" i="4" s="1"/>
  <c r="I494" i="4" s="1"/>
  <c r="G493" i="4"/>
  <c r="H493" i="4" s="1"/>
  <c r="I493" i="4" s="1"/>
  <c r="G492" i="4"/>
  <c r="H492" i="4" s="1"/>
  <c r="I492" i="4" s="1"/>
  <c r="G491" i="4"/>
  <c r="H491" i="4" s="1"/>
  <c r="I491" i="4" s="1"/>
  <c r="G490" i="4"/>
  <c r="H490" i="4" s="1"/>
  <c r="I490" i="4" s="1"/>
  <c r="G489" i="4"/>
  <c r="H489" i="4" s="1"/>
  <c r="I489" i="4" s="1"/>
  <c r="G488" i="4"/>
  <c r="H488" i="4" s="1"/>
  <c r="I488" i="4" s="1"/>
  <c r="G487" i="4"/>
  <c r="H487" i="4" s="1"/>
  <c r="I487" i="4" s="1"/>
  <c r="G486" i="4"/>
  <c r="H486" i="4" s="1"/>
  <c r="I486" i="4" s="1"/>
  <c r="G485" i="4"/>
  <c r="H485" i="4" s="1"/>
  <c r="I485" i="4" s="1"/>
  <c r="G484" i="4"/>
  <c r="H484" i="4" s="1"/>
  <c r="I484" i="4" s="1"/>
  <c r="G483" i="4"/>
  <c r="H483" i="4" s="1"/>
  <c r="I483" i="4" s="1"/>
  <c r="G482" i="4"/>
  <c r="H482" i="4" s="1"/>
  <c r="I482" i="4" s="1"/>
  <c r="G481" i="4"/>
  <c r="H481" i="4" s="1"/>
  <c r="I481" i="4" s="1"/>
  <c r="G480" i="4"/>
  <c r="H480" i="4" s="1"/>
  <c r="I480" i="4" s="1"/>
  <c r="G479" i="4"/>
  <c r="H479" i="4" s="1"/>
  <c r="I479" i="4" s="1"/>
  <c r="G478" i="4"/>
  <c r="H478" i="4" s="1"/>
  <c r="I478" i="4" s="1"/>
  <c r="G477" i="4"/>
  <c r="H477" i="4" s="1"/>
  <c r="I477" i="4" s="1"/>
  <c r="G476" i="4"/>
  <c r="H476" i="4" s="1"/>
  <c r="I476" i="4" s="1"/>
  <c r="G475" i="4"/>
  <c r="H475" i="4" s="1"/>
  <c r="I475" i="4" s="1"/>
  <c r="G474" i="4"/>
  <c r="H474" i="4" s="1"/>
  <c r="I474" i="4" s="1"/>
  <c r="G473" i="4"/>
  <c r="H473" i="4" s="1"/>
  <c r="I473" i="4" s="1"/>
  <c r="G472" i="4"/>
  <c r="H472" i="4" s="1"/>
  <c r="I472" i="4" s="1"/>
  <c r="G471" i="4"/>
  <c r="H471" i="4" s="1"/>
  <c r="I471" i="4" s="1"/>
  <c r="G470" i="4"/>
  <c r="H470" i="4" s="1"/>
  <c r="I470" i="4" s="1"/>
  <c r="G469" i="4"/>
  <c r="H469" i="4" s="1"/>
  <c r="I469" i="4" s="1"/>
  <c r="G468" i="4"/>
  <c r="H468" i="4" s="1"/>
  <c r="I468" i="4" s="1"/>
  <c r="G467" i="4"/>
  <c r="H467" i="4" s="1"/>
  <c r="I467" i="4" s="1"/>
  <c r="G466" i="4"/>
  <c r="H466" i="4" s="1"/>
  <c r="I466" i="4" s="1"/>
  <c r="G465" i="4"/>
  <c r="H465" i="4" s="1"/>
  <c r="I465" i="4" s="1"/>
  <c r="G464" i="4"/>
  <c r="H464" i="4" s="1"/>
  <c r="I464" i="4" s="1"/>
  <c r="G463" i="4"/>
  <c r="H463" i="4" s="1"/>
  <c r="I463" i="4" s="1"/>
  <c r="G462" i="4"/>
  <c r="H462" i="4" s="1"/>
  <c r="I462" i="4" s="1"/>
  <c r="G461" i="4"/>
  <c r="H461" i="4" s="1"/>
  <c r="I461" i="4" s="1"/>
  <c r="G460" i="4"/>
  <c r="H460" i="4" s="1"/>
  <c r="I460" i="4" s="1"/>
  <c r="G459" i="4"/>
  <c r="H459" i="4" s="1"/>
  <c r="I459" i="4" s="1"/>
  <c r="G458" i="4"/>
  <c r="H458" i="4" s="1"/>
  <c r="I458" i="4" s="1"/>
  <c r="G457" i="4"/>
  <c r="H457" i="4" s="1"/>
  <c r="I457" i="4" s="1"/>
  <c r="G456" i="4"/>
  <c r="H456" i="4" s="1"/>
  <c r="I456" i="4" s="1"/>
  <c r="G455" i="4"/>
  <c r="H455" i="4" s="1"/>
  <c r="I455" i="4" s="1"/>
  <c r="G454" i="4"/>
  <c r="H454" i="4" s="1"/>
  <c r="I454" i="4" s="1"/>
  <c r="G453" i="4"/>
  <c r="H453" i="4" s="1"/>
  <c r="I453" i="4" s="1"/>
  <c r="G452" i="4"/>
  <c r="H452" i="4" s="1"/>
  <c r="I452" i="4" s="1"/>
  <c r="G451" i="4"/>
  <c r="H451" i="4" s="1"/>
  <c r="I451" i="4" s="1"/>
  <c r="G450" i="4"/>
  <c r="H450" i="4" s="1"/>
  <c r="I450" i="4" s="1"/>
  <c r="G449" i="4"/>
  <c r="H449" i="4" s="1"/>
  <c r="I449" i="4" s="1"/>
  <c r="G448" i="4"/>
  <c r="H448" i="4" s="1"/>
  <c r="I448" i="4" s="1"/>
  <c r="G447" i="4"/>
  <c r="H447" i="4" s="1"/>
  <c r="I447" i="4" s="1"/>
  <c r="G446" i="4"/>
  <c r="H446" i="4" s="1"/>
  <c r="I446" i="4" s="1"/>
  <c r="G445" i="4"/>
  <c r="H445" i="4" s="1"/>
  <c r="I445" i="4" s="1"/>
  <c r="G444" i="4"/>
  <c r="H444" i="4" s="1"/>
  <c r="I444" i="4" s="1"/>
  <c r="G443" i="4"/>
  <c r="H443" i="4" s="1"/>
  <c r="I443" i="4" s="1"/>
  <c r="G442" i="4"/>
  <c r="H442" i="4" s="1"/>
  <c r="I442" i="4" s="1"/>
  <c r="G441" i="4"/>
  <c r="H441" i="4" s="1"/>
  <c r="I441" i="4" s="1"/>
  <c r="G440" i="4"/>
  <c r="H440" i="4" s="1"/>
  <c r="I440" i="4" s="1"/>
  <c r="G439" i="4"/>
  <c r="H439" i="4" s="1"/>
  <c r="I439" i="4" s="1"/>
  <c r="G438" i="4"/>
  <c r="H438" i="4" s="1"/>
  <c r="I438" i="4" s="1"/>
  <c r="G437" i="4"/>
  <c r="H437" i="4" s="1"/>
  <c r="I437" i="4" s="1"/>
  <c r="G436" i="4"/>
  <c r="H436" i="4" s="1"/>
  <c r="I436" i="4" s="1"/>
  <c r="G435" i="4"/>
  <c r="H435" i="4" s="1"/>
  <c r="I435" i="4" s="1"/>
  <c r="G434" i="4"/>
  <c r="H434" i="4" s="1"/>
  <c r="I434" i="4" s="1"/>
  <c r="G433" i="4"/>
  <c r="H433" i="4" s="1"/>
  <c r="I433" i="4" s="1"/>
  <c r="G432" i="4"/>
  <c r="H432" i="4" s="1"/>
  <c r="I432" i="4" s="1"/>
  <c r="G431" i="4"/>
  <c r="H431" i="4" s="1"/>
  <c r="I431" i="4" s="1"/>
  <c r="G430" i="4"/>
  <c r="H430" i="4" s="1"/>
  <c r="I430" i="4" s="1"/>
  <c r="G429" i="4"/>
  <c r="H429" i="4" s="1"/>
  <c r="I429" i="4" s="1"/>
  <c r="G428" i="4"/>
  <c r="H428" i="4" s="1"/>
  <c r="I428" i="4" s="1"/>
  <c r="G427" i="4"/>
  <c r="H427" i="4" s="1"/>
  <c r="I427" i="4" s="1"/>
  <c r="G426" i="4"/>
  <c r="H426" i="4" s="1"/>
  <c r="I426" i="4" s="1"/>
  <c r="G425" i="4"/>
  <c r="H425" i="4" s="1"/>
  <c r="I425" i="4" s="1"/>
  <c r="G424" i="4"/>
  <c r="H424" i="4" s="1"/>
  <c r="I424" i="4" s="1"/>
  <c r="G423" i="4"/>
  <c r="H423" i="4" s="1"/>
  <c r="I423" i="4" s="1"/>
  <c r="G422" i="4"/>
  <c r="H422" i="4" s="1"/>
  <c r="I422" i="4" s="1"/>
  <c r="G421" i="4"/>
  <c r="H421" i="4" s="1"/>
  <c r="I421" i="4" s="1"/>
  <c r="G420" i="4"/>
  <c r="H420" i="4" s="1"/>
  <c r="I420" i="4" s="1"/>
  <c r="G419" i="4"/>
  <c r="H419" i="4" s="1"/>
  <c r="I419" i="4" s="1"/>
  <c r="G418" i="4"/>
  <c r="H418" i="4" s="1"/>
  <c r="I418" i="4" s="1"/>
  <c r="G417" i="4"/>
  <c r="H417" i="4" s="1"/>
  <c r="I417" i="4" s="1"/>
  <c r="G416" i="4"/>
  <c r="H416" i="4" s="1"/>
  <c r="I416" i="4" s="1"/>
  <c r="G415" i="4"/>
  <c r="H415" i="4" s="1"/>
  <c r="I415" i="4" s="1"/>
  <c r="G414" i="4"/>
  <c r="H414" i="4" s="1"/>
  <c r="I414" i="4" s="1"/>
  <c r="G413" i="4"/>
  <c r="H413" i="4" s="1"/>
  <c r="I413" i="4" s="1"/>
  <c r="G412" i="4"/>
  <c r="H412" i="4" s="1"/>
  <c r="I412" i="4" s="1"/>
  <c r="G411" i="4"/>
  <c r="H411" i="4" s="1"/>
  <c r="I411" i="4" s="1"/>
  <c r="G410" i="4"/>
  <c r="H410" i="4" s="1"/>
  <c r="I410" i="4" s="1"/>
  <c r="G409" i="4"/>
  <c r="H409" i="4" s="1"/>
  <c r="I409" i="4" s="1"/>
  <c r="G408" i="4"/>
  <c r="H408" i="4" s="1"/>
  <c r="I408" i="4" s="1"/>
  <c r="G407" i="4"/>
  <c r="H407" i="4" s="1"/>
  <c r="I407" i="4" s="1"/>
  <c r="G406" i="4"/>
  <c r="H406" i="4" s="1"/>
  <c r="I406" i="4" s="1"/>
  <c r="G405" i="4"/>
  <c r="H405" i="4" s="1"/>
  <c r="I405" i="4" s="1"/>
  <c r="G404" i="4"/>
  <c r="H404" i="4" s="1"/>
  <c r="I404" i="4" s="1"/>
  <c r="G403" i="4"/>
  <c r="H403" i="4" s="1"/>
  <c r="I403" i="4" s="1"/>
  <c r="G402" i="4"/>
  <c r="H402" i="4" s="1"/>
  <c r="I402" i="4" s="1"/>
  <c r="G401" i="4"/>
  <c r="H401" i="4" s="1"/>
  <c r="I401" i="4" s="1"/>
  <c r="G400" i="4"/>
  <c r="H400" i="4" s="1"/>
  <c r="I400" i="4" s="1"/>
  <c r="G399" i="4"/>
  <c r="H399" i="4" s="1"/>
  <c r="I399" i="4" s="1"/>
  <c r="G398" i="4"/>
  <c r="H398" i="4" s="1"/>
  <c r="I398" i="4" s="1"/>
  <c r="G397" i="4"/>
  <c r="H397" i="4" s="1"/>
  <c r="I397" i="4" s="1"/>
  <c r="G396" i="4"/>
  <c r="H396" i="4" s="1"/>
  <c r="I396" i="4" s="1"/>
  <c r="G395" i="4"/>
  <c r="H395" i="4" s="1"/>
  <c r="I395" i="4" s="1"/>
  <c r="G394" i="4"/>
  <c r="H394" i="4" s="1"/>
  <c r="I394" i="4" s="1"/>
  <c r="G393" i="4"/>
  <c r="H393" i="4" s="1"/>
  <c r="I393" i="4" s="1"/>
  <c r="G392" i="4"/>
  <c r="H392" i="4" s="1"/>
  <c r="I392" i="4" s="1"/>
  <c r="G391" i="4"/>
  <c r="H391" i="4" s="1"/>
  <c r="I391" i="4" s="1"/>
  <c r="G390" i="4"/>
  <c r="H390" i="4" s="1"/>
  <c r="I390" i="4" s="1"/>
  <c r="G389" i="4"/>
  <c r="H389" i="4" s="1"/>
  <c r="I389" i="4" s="1"/>
  <c r="G388" i="4"/>
  <c r="H388" i="4" s="1"/>
  <c r="I388" i="4" s="1"/>
  <c r="G387" i="4"/>
  <c r="H387" i="4" s="1"/>
  <c r="I387" i="4" s="1"/>
  <c r="G386" i="4"/>
  <c r="H386" i="4" s="1"/>
  <c r="I386" i="4" s="1"/>
  <c r="G385" i="4"/>
  <c r="H385" i="4" s="1"/>
  <c r="I385" i="4" s="1"/>
  <c r="G384" i="4"/>
  <c r="H384" i="4" s="1"/>
  <c r="I384" i="4" s="1"/>
  <c r="G383" i="4"/>
  <c r="H383" i="4" s="1"/>
  <c r="I383" i="4" s="1"/>
  <c r="G382" i="4"/>
  <c r="H382" i="4" s="1"/>
  <c r="I382" i="4" s="1"/>
  <c r="G381" i="4"/>
  <c r="H381" i="4" s="1"/>
  <c r="I381" i="4" s="1"/>
  <c r="G380" i="4"/>
  <c r="H380" i="4" s="1"/>
  <c r="I380" i="4" s="1"/>
  <c r="G379" i="4"/>
  <c r="H379" i="4" s="1"/>
  <c r="I379" i="4" s="1"/>
  <c r="G378" i="4"/>
  <c r="H378" i="4" s="1"/>
  <c r="I378" i="4" s="1"/>
  <c r="G377" i="4"/>
  <c r="H377" i="4" s="1"/>
  <c r="I377" i="4" s="1"/>
  <c r="G376" i="4"/>
  <c r="H376" i="4" s="1"/>
  <c r="I376" i="4" s="1"/>
  <c r="G375" i="4"/>
  <c r="H375" i="4" s="1"/>
  <c r="I375" i="4" s="1"/>
  <c r="G374" i="4"/>
  <c r="H374" i="4" s="1"/>
  <c r="I374" i="4" s="1"/>
  <c r="G373" i="4"/>
  <c r="H373" i="4" s="1"/>
  <c r="I373" i="4" s="1"/>
  <c r="G372" i="4"/>
  <c r="H372" i="4" s="1"/>
  <c r="I372" i="4" s="1"/>
  <c r="G371" i="4"/>
  <c r="H371" i="4" s="1"/>
  <c r="I371" i="4" s="1"/>
  <c r="G370" i="4"/>
  <c r="H370" i="4" s="1"/>
  <c r="I370" i="4" s="1"/>
  <c r="G369" i="4"/>
  <c r="H369" i="4" s="1"/>
  <c r="I369" i="4" s="1"/>
  <c r="G368" i="4"/>
  <c r="H368" i="4" s="1"/>
  <c r="I368" i="4" s="1"/>
  <c r="G367" i="4"/>
  <c r="H367" i="4" s="1"/>
  <c r="I367" i="4" s="1"/>
  <c r="G366" i="4"/>
  <c r="H366" i="4" s="1"/>
  <c r="I366" i="4" s="1"/>
  <c r="G365" i="4"/>
  <c r="H365" i="4" s="1"/>
  <c r="I365" i="4" s="1"/>
  <c r="G364" i="4"/>
  <c r="H364" i="4" s="1"/>
  <c r="I364" i="4" s="1"/>
  <c r="G363" i="4"/>
  <c r="H363" i="4" s="1"/>
  <c r="I363" i="4" s="1"/>
  <c r="G362" i="4"/>
  <c r="H362" i="4" s="1"/>
  <c r="I362" i="4" s="1"/>
  <c r="G361" i="4"/>
  <c r="H361" i="4" s="1"/>
  <c r="I361" i="4" s="1"/>
  <c r="G360" i="4"/>
  <c r="H360" i="4" s="1"/>
  <c r="I360" i="4" s="1"/>
  <c r="G359" i="4"/>
  <c r="H359" i="4" s="1"/>
  <c r="I359" i="4" s="1"/>
  <c r="G358" i="4"/>
  <c r="H358" i="4" s="1"/>
  <c r="I358" i="4" s="1"/>
  <c r="G357" i="4"/>
  <c r="H357" i="4" s="1"/>
  <c r="I357" i="4" s="1"/>
  <c r="G356" i="4"/>
  <c r="H356" i="4" s="1"/>
  <c r="I356" i="4" s="1"/>
  <c r="G355" i="4"/>
  <c r="H355" i="4" s="1"/>
  <c r="I355" i="4" s="1"/>
  <c r="G354" i="4"/>
  <c r="H354" i="4" s="1"/>
  <c r="I354" i="4" s="1"/>
  <c r="G353" i="4"/>
  <c r="H353" i="4" s="1"/>
  <c r="I353" i="4" s="1"/>
  <c r="G352" i="4"/>
  <c r="H352" i="4" s="1"/>
  <c r="I352" i="4" s="1"/>
  <c r="G351" i="4"/>
  <c r="H351" i="4" s="1"/>
  <c r="I351" i="4" s="1"/>
  <c r="G350" i="4"/>
  <c r="H350" i="4" s="1"/>
  <c r="I350" i="4" s="1"/>
  <c r="G349" i="4"/>
  <c r="H349" i="4" s="1"/>
  <c r="I349" i="4" s="1"/>
  <c r="G348" i="4"/>
  <c r="H348" i="4" s="1"/>
  <c r="I348" i="4" s="1"/>
  <c r="G347" i="4"/>
  <c r="H347" i="4" s="1"/>
  <c r="I347" i="4" s="1"/>
  <c r="G346" i="4"/>
  <c r="H346" i="4" s="1"/>
  <c r="I346" i="4" s="1"/>
  <c r="G345" i="4"/>
  <c r="H345" i="4" s="1"/>
  <c r="I345" i="4" s="1"/>
  <c r="G344" i="4"/>
  <c r="H344" i="4" s="1"/>
  <c r="I344" i="4" s="1"/>
  <c r="G343" i="4"/>
  <c r="H343" i="4" s="1"/>
  <c r="I343" i="4" s="1"/>
  <c r="G342" i="4"/>
  <c r="H342" i="4" s="1"/>
  <c r="I342" i="4" s="1"/>
  <c r="G341" i="4"/>
  <c r="H341" i="4" s="1"/>
  <c r="I341" i="4" s="1"/>
  <c r="G340" i="4"/>
  <c r="H340" i="4" s="1"/>
  <c r="I340" i="4" s="1"/>
  <c r="G339" i="4"/>
  <c r="H339" i="4" s="1"/>
  <c r="I339" i="4" s="1"/>
  <c r="G338" i="4"/>
  <c r="H338" i="4" s="1"/>
  <c r="I338" i="4" s="1"/>
  <c r="G337" i="4"/>
  <c r="H337" i="4" s="1"/>
  <c r="I337" i="4" s="1"/>
  <c r="G336" i="4"/>
  <c r="H336" i="4" s="1"/>
  <c r="I336" i="4" s="1"/>
  <c r="G335" i="4"/>
  <c r="H335" i="4" s="1"/>
  <c r="I335" i="4" s="1"/>
  <c r="G334" i="4"/>
  <c r="H334" i="4" s="1"/>
  <c r="I334" i="4" s="1"/>
  <c r="G333" i="4"/>
  <c r="H333" i="4" s="1"/>
  <c r="I333" i="4" s="1"/>
  <c r="G332" i="4"/>
  <c r="H332" i="4" s="1"/>
  <c r="I332" i="4" s="1"/>
  <c r="G331" i="4"/>
  <c r="H331" i="4" s="1"/>
  <c r="I331" i="4" s="1"/>
  <c r="G330" i="4"/>
  <c r="H330" i="4" s="1"/>
  <c r="I330" i="4" s="1"/>
  <c r="G329" i="4"/>
  <c r="H329" i="4" s="1"/>
  <c r="I329" i="4" s="1"/>
  <c r="G328" i="4"/>
  <c r="H328" i="4" s="1"/>
  <c r="I328" i="4" s="1"/>
  <c r="G327" i="4"/>
  <c r="H327" i="4" s="1"/>
  <c r="I327" i="4" s="1"/>
  <c r="G326" i="4"/>
  <c r="H326" i="4" s="1"/>
  <c r="I326" i="4" s="1"/>
  <c r="G325" i="4"/>
  <c r="H325" i="4" s="1"/>
  <c r="I325" i="4" s="1"/>
  <c r="G324" i="4"/>
  <c r="H324" i="4" s="1"/>
  <c r="I324" i="4" s="1"/>
  <c r="G323" i="4"/>
  <c r="H323" i="4" s="1"/>
  <c r="I323" i="4" s="1"/>
  <c r="G322" i="4"/>
  <c r="H322" i="4" s="1"/>
  <c r="I322" i="4" s="1"/>
  <c r="G321" i="4"/>
  <c r="H321" i="4" s="1"/>
  <c r="I321" i="4" s="1"/>
  <c r="G320" i="4"/>
  <c r="H320" i="4" s="1"/>
  <c r="I320" i="4" s="1"/>
  <c r="G319" i="4"/>
  <c r="H319" i="4" s="1"/>
  <c r="I319" i="4" s="1"/>
  <c r="G318" i="4"/>
  <c r="H318" i="4" s="1"/>
  <c r="I318" i="4" s="1"/>
  <c r="G317" i="4"/>
  <c r="H317" i="4" s="1"/>
  <c r="I317" i="4" s="1"/>
  <c r="G316" i="4"/>
  <c r="H316" i="4" s="1"/>
  <c r="I316" i="4" s="1"/>
  <c r="G315" i="4"/>
  <c r="H315" i="4" s="1"/>
  <c r="I315" i="4" s="1"/>
  <c r="G314" i="4"/>
  <c r="H314" i="4" s="1"/>
  <c r="I314" i="4" s="1"/>
  <c r="G313" i="4"/>
  <c r="H313" i="4" s="1"/>
  <c r="I313" i="4" s="1"/>
  <c r="G312" i="4"/>
  <c r="H312" i="4" s="1"/>
  <c r="I312" i="4" s="1"/>
  <c r="G311" i="4"/>
  <c r="H311" i="4" s="1"/>
  <c r="I311" i="4" s="1"/>
  <c r="G310" i="4"/>
  <c r="H310" i="4" s="1"/>
  <c r="I310" i="4" s="1"/>
  <c r="G309" i="4"/>
  <c r="H309" i="4" s="1"/>
  <c r="I309" i="4" s="1"/>
  <c r="G308" i="4"/>
  <c r="H308" i="4" s="1"/>
  <c r="I308" i="4" s="1"/>
  <c r="G307" i="4"/>
  <c r="H307" i="4" s="1"/>
  <c r="I307" i="4" s="1"/>
  <c r="G306" i="4"/>
  <c r="H306" i="4" s="1"/>
  <c r="I306" i="4" s="1"/>
  <c r="G305" i="4"/>
  <c r="H305" i="4" s="1"/>
  <c r="I305" i="4" s="1"/>
  <c r="G304" i="4"/>
  <c r="H304" i="4" s="1"/>
  <c r="I304" i="4" s="1"/>
  <c r="G303" i="4"/>
  <c r="H303" i="4" s="1"/>
  <c r="I303" i="4" s="1"/>
  <c r="G302" i="4"/>
  <c r="H302" i="4" s="1"/>
  <c r="I302" i="4" s="1"/>
  <c r="G301" i="4"/>
  <c r="H301" i="4" s="1"/>
  <c r="I301" i="4" s="1"/>
  <c r="G300" i="4"/>
  <c r="H300" i="4" s="1"/>
  <c r="I300" i="4" s="1"/>
  <c r="G299" i="4"/>
  <c r="H299" i="4" s="1"/>
  <c r="I299" i="4" s="1"/>
  <c r="G298" i="4"/>
  <c r="H298" i="4" s="1"/>
  <c r="I298" i="4" s="1"/>
  <c r="G297" i="4"/>
  <c r="H297" i="4" s="1"/>
  <c r="I297" i="4" s="1"/>
  <c r="G296" i="4"/>
  <c r="H296" i="4" s="1"/>
  <c r="I296" i="4" s="1"/>
  <c r="G295" i="4"/>
  <c r="H295" i="4" s="1"/>
  <c r="I295" i="4" s="1"/>
  <c r="G294" i="4"/>
  <c r="H294" i="4" s="1"/>
  <c r="I294" i="4" s="1"/>
  <c r="G293" i="4"/>
  <c r="H293" i="4" s="1"/>
  <c r="I293" i="4" s="1"/>
  <c r="G292" i="4"/>
  <c r="H292" i="4" s="1"/>
  <c r="I292" i="4" s="1"/>
  <c r="G291" i="4"/>
  <c r="H291" i="4" s="1"/>
  <c r="I291" i="4" s="1"/>
  <c r="G290" i="4"/>
  <c r="H290" i="4" s="1"/>
  <c r="I290" i="4" s="1"/>
  <c r="G289" i="4"/>
  <c r="H289" i="4" s="1"/>
  <c r="I289" i="4" s="1"/>
  <c r="G288" i="4"/>
  <c r="H288" i="4" s="1"/>
  <c r="I288" i="4" s="1"/>
  <c r="G287" i="4"/>
  <c r="H287" i="4" s="1"/>
  <c r="I287" i="4" s="1"/>
  <c r="G286" i="4"/>
  <c r="H286" i="4" s="1"/>
  <c r="I286" i="4" s="1"/>
  <c r="G285" i="4"/>
  <c r="H285" i="4" s="1"/>
  <c r="I285" i="4" s="1"/>
  <c r="G284" i="4"/>
  <c r="H284" i="4" s="1"/>
  <c r="I284" i="4" s="1"/>
  <c r="G283" i="4"/>
  <c r="H283" i="4" s="1"/>
  <c r="I283" i="4" s="1"/>
  <c r="G282" i="4"/>
  <c r="H282" i="4" s="1"/>
  <c r="I282" i="4" s="1"/>
  <c r="G281" i="4"/>
  <c r="H281" i="4" s="1"/>
  <c r="I281" i="4" s="1"/>
  <c r="G280" i="4"/>
  <c r="H280" i="4" s="1"/>
  <c r="I280" i="4" s="1"/>
  <c r="G279" i="4"/>
  <c r="H279" i="4" s="1"/>
  <c r="I279" i="4" s="1"/>
  <c r="G278" i="4"/>
  <c r="H278" i="4" s="1"/>
  <c r="I278" i="4" s="1"/>
  <c r="G277" i="4"/>
  <c r="H277" i="4" s="1"/>
  <c r="I277" i="4" s="1"/>
  <c r="G276" i="4"/>
  <c r="H276" i="4" s="1"/>
  <c r="I276" i="4" s="1"/>
  <c r="G275" i="4"/>
  <c r="H275" i="4" s="1"/>
  <c r="I275" i="4" s="1"/>
  <c r="G274" i="4"/>
  <c r="H274" i="4" s="1"/>
  <c r="I274" i="4" s="1"/>
  <c r="G273" i="4"/>
  <c r="H273" i="4" s="1"/>
  <c r="I273" i="4" s="1"/>
  <c r="G272" i="4"/>
  <c r="H272" i="4" s="1"/>
  <c r="I272" i="4" s="1"/>
  <c r="G271" i="4"/>
  <c r="H271" i="4" s="1"/>
  <c r="I271" i="4" s="1"/>
  <c r="G270" i="4"/>
  <c r="H270" i="4" s="1"/>
  <c r="I270" i="4" s="1"/>
  <c r="G269" i="4"/>
  <c r="H269" i="4" s="1"/>
  <c r="I269" i="4" s="1"/>
  <c r="G268" i="4"/>
  <c r="H268" i="4" s="1"/>
  <c r="I268" i="4" s="1"/>
  <c r="G267" i="4"/>
  <c r="H267" i="4" s="1"/>
  <c r="I267" i="4" s="1"/>
  <c r="G266" i="4"/>
  <c r="H266" i="4" s="1"/>
  <c r="I266" i="4" s="1"/>
  <c r="G265" i="4"/>
  <c r="H265" i="4" s="1"/>
  <c r="I265" i="4" s="1"/>
  <c r="G264" i="4"/>
  <c r="H264" i="4" s="1"/>
  <c r="I264" i="4" s="1"/>
  <c r="G263" i="4"/>
  <c r="H263" i="4" s="1"/>
  <c r="I263" i="4" s="1"/>
  <c r="G262" i="4"/>
  <c r="H262" i="4" s="1"/>
  <c r="I262" i="4" s="1"/>
  <c r="G261" i="4"/>
  <c r="H261" i="4" s="1"/>
  <c r="I261" i="4" s="1"/>
  <c r="G260" i="4"/>
  <c r="H260" i="4" s="1"/>
  <c r="I260" i="4" s="1"/>
  <c r="G259" i="4"/>
  <c r="H259" i="4" s="1"/>
  <c r="I259" i="4" s="1"/>
  <c r="G258" i="4"/>
  <c r="H258" i="4" s="1"/>
  <c r="I258" i="4" s="1"/>
  <c r="G257" i="4"/>
  <c r="H257" i="4" s="1"/>
  <c r="I257" i="4" s="1"/>
  <c r="L8" i="4" s="1"/>
  <c r="D6" i="5" s="1"/>
  <c r="E6" i="5" s="1"/>
  <c r="G256" i="4"/>
  <c r="H256" i="4" s="1"/>
  <c r="I256" i="4" s="1"/>
  <c r="G255" i="4"/>
  <c r="H255" i="4" s="1"/>
  <c r="I255" i="4" s="1"/>
  <c r="G254" i="4"/>
  <c r="H254" i="4" s="1"/>
  <c r="I254" i="4" s="1"/>
  <c r="G253" i="4"/>
  <c r="H253" i="4" s="1"/>
  <c r="I253" i="4" s="1"/>
  <c r="G252" i="4"/>
  <c r="H252" i="4" s="1"/>
  <c r="I252" i="4" s="1"/>
  <c r="G251" i="4"/>
  <c r="H251" i="4" s="1"/>
  <c r="I251" i="4" s="1"/>
  <c r="G250" i="4"/>
  <c r="H250" i="4" s="1"/>
  <c r="I250" i="4" s="1"/>
  <c r="G249" i="4"/>
  <c r="H249" i="4" s="1"/>
  <c r="I249" i="4" s="1"/>
  <c r="G248" i="4"/>
  <c r="H248" i="4" s="1"/>
  <c r="I248" i="4" s="1"/>
  <c r="G247" i="4"/>
  <c r="H247" i="4" s="1"/>
  <c r="I247" i="4" s="1"/>
  <c r="G246" i="4"/>
  <c r="H246" i="4" s="1"/>
  <c r="I246" i="4" s="1"/>
  <c r="G245" i="4"/>
  <c r="H245" i="4" s="1"/>
  <c r="I245" i="4" s="1"/>
  <c r="G244" i="4"/>
  <c r="H244" i="4" s="1"/>
  <c r="I244" i="4" s="1"/>
  <c r="G8" i="4"/>
  <c r="H8" i="4" s="1"/>
  <c r="I8" i="4" s="1"/>
  <c r="G7" i="4"/>
  <c r="H7" i="4" s="1"/>
  <c r="I7" i="4" s="1"/>
  <c r="G243" i="4"/>
  <c r="H243" i="4" s="1"/>
  <c r="I243" i="4" s="1"/>
  <c r="G242" i="4"/>
  <c r="H242" i="4" s="1"/>
  <c r="I242" i="4" s="1"/>
  <c r="G241" i="4"/>
  <c r="H241" i="4" s="1"/>
  <c r="I241" i="4" s="1"/>
  <c r="G240" i="4"/>
  <c r="H240" i="4" s="1"/>
  <c r="I240" i="4" s="1"/>
  <c r="G239" i="4"/>
  <c r="H239" i="4" s="1"/>
  <c r="I239" i="4" s="1"/>
  <c r="G238" i="4"/>
  <c r="H238" i="4" s="1"/>
  <c r="I238" i="4" s="1"/>
  <c r="G237" i="4"/>
  <c r="H237" i="4" s="1"/>
  <c r="I237" i="4" s="1"/>
  <c r="G236" i="4"/>
  <c r="H236" i="4" s="1"/>
  <c r="I236" i="4" s="1"/>
  <c r="G235" i="4"/>
  <c r="H235" i="4" s="1"/>
  <c r="I235" i="4" s="1"/>
  <c r="G234" i="4"/>
  <c r="H234" i="4" s="1"/>
  <c r="I234" i="4" s="1"/>
  <c r="G233" i="4"/>
  <c r="H233" i="4" s="1"/>
  <c r="I233" i="4" s="1"/>
  <c r="G232" i="4"/>
  <c r="H232" i="4" s="1"/>
  <c r="I232" i="4" s="1"/>
  <c r="G231" i="4"/>
  <c r="H231" i="4" s="1"/>
  <c r="I231" i="4" s="1"/>
  <c r="G230" i="4"/>
  <c r="H230" i="4" s="1"/>
  <c r="I230" i="4" s="1"/>
  <c r="G229" i="4"/>
  <c r="H229" i="4" s="1"/>
  <c r="I229" i="4" s="1"/>
  <c r="G228" i="4"/>
  <c r="H228" i="4" s="1"/>
  <c r="I228" i="4" s="1"/>
  <c r="G227" i="4"/>
  <c r="H227" i="4" s="1"/>
  <c r="I227" i="4" s="1"/>
  <c r="G226" i="4"/>
  <c r="H226" i="4" s="1"/>
  <c r="I226" i="4" s="1"/>
  <c r="G225" i="4"/>
  <c r="H225" i="4" s="1"/>
  <c r="I225" i="4" s="1"/>
  <c r="G224" i="4"/>
  <c r="H224" i="4" s="1"/>
  <c r="I224" i="4" s="1"/>
  <c r="G223" i="4"/>
  <c r="H223" i="4" s="1"/>
  <c r="I223" i="4" s="1"/>
  <c r="G222" i="4"/>
  <c r="H222" i="4" s="1"/>
  <c r="I222" i="4" s="1"/>
  <c r="G221" i="4"/>
  <c r="H221" i="4" s="1"/>
  <c r="I221" i="4" s="1"/>
  <c r="G220" i="4"/>
  <c r="H220" i="4" s="1"/>
  <c r="I220" i="4" s="1"/>
  <c r="G219" i="4"/>
  <c r="H219" i="4" s="1"/>
  <c r="I219" i="4" s="1"/>
  <c r="G218" i="4"/>
  <c r="H218" i="4" s="1"/>
  <c r="I218" i="4" s="1"/>
  <c r="G217" i="4"/>
  <c r="H217" i="4" s="1"/>
  <c r="I217" i="4" s="1"/>
  <c r="G216" i="4"/>
  <c r="H216" i="4" s="1"/>
  <c r="I216" i="4" s="1"/>
  <c r="G215" i="4"/>
  <c r="H215" i="4" s="1"/>
  <c r="I215" i="4" s="1"/>
  <c r="G214" i="4"/>
  <c r="H214" i="4" s="1"/>
  <c r="I214" i="4" s="1"/>
  <c r="G213" i="4"/>
  <c r="H213" i="4" s="1"/>
  <c r="I213" i="4" s="1"/>
  <c r="G212" i="4"/>
  <c r="H212" i="4" s="1"/>
  <c r="I212" i="4" s="1"/>
  <c r="G211" i="4"/>
  <c r="H211" i="4" s="1"/>
  <c r="I211" i="4" s="1"/>
  <c r="G210" i="4"/>
  <c r="H210" i="4" s="1"/>
  <c r="I210" i="4" s="1"/>
  <c r="G209" i="4"/>
  <c r="H209" i="4" s="1"/>
  <c r="I209" i="4" s="1"/>
  <c r="G208" i="4"/>
  <c r="H208" i="4" s="1"/>
  <c r="I208" i="4" s="1"/>
  <c r="G207" i="4"/>
  <c r="H207" i="4" s="1"/>
  <c r="I207" i="4" s="1"/>
  <c r="G206" i="4"/>
  <c r="H206" i="4" s="1"/>
  <c r="I206" i="4" s="1"/>
  <c r="G205" i="4"/>
  <c r="H205" i="4" s="1"/>
  <c r="I205" i="4" s="1"/>
  <c r="G204" i="4"/>
  <c r="H204" i="4" s="1"/>
  <c r="I204" i="4" s="1"/>
  <c r="G203" i="4"/>
  <c r="H203" i="4" s="1"/>
  <c r="I203" i="4" s="1"/>
  <c r="G202" i="4"/>
  <c r="H202" i="4" s="1"/>
  <c r="I202" i="4" s="1"/>
  <c r="G201" i="4"/>
  <c r="H201" i="4" s="1"/>
  <c r="I201" i="4" s="1"/>
  <c r="G200" i="4"/>
  <c r="H200" i="4" s="1"/>
  <c r="I200" i="4" s="1"/>
  <c r="G199" i="4"/>
  <c r="H199" i="4" s="1"/>
  <c r="I199" i="4" s="1"/>
  <c r="G198" i="4"/>
  <c r="H198" i="4" s="1"/>
  <c r="I198" i="4" s="1"/>
  <c r="G197" i="4"/>
  <c r="H197" i="4" s="1"/>
  <c r="I197" i="4" s="1"/>
  <c r="G196" i="4"/>
  <c r="H196" i="4" s="1"/>
  <c r="I196" i="4" s="1"/>
  <c r="G195" i="4"/>
  <c r="H195" i="4" s="1"/>
  <c r="I195" i="4" s="1"/>
  <c r="G194" i="4"/>
  <c r="H194" i="4" s="1"/>
  <c r="I194" i="4" s="1"/>
  <c r="G193" i="4"/>
  <c r="H193" i="4" s="1"/>
  <c r="I193" i="4" s="1"/>
  <c r="G192" i="4"/>
  <c r="H192" i="4" s="1"/>
  <c r="I192" i="4" s="1"/>
  <c r="G191" i="4"/>
  <c r="H191" i="4" s="1"/>
  <c r="I191" i="4" s="1"/>
  <c r="G190" i="4"/>
  <c r="H190" i="4" s="1"/>
  <c r="I190" i="4" s="1"/>
  <c r="G189" i="4"/>
  <c r="H189" i="4" s="1"/>
  <c r="I189" i="4" s="1"/>
  <c r="G188" i="4"/>
  <c r="H188" i="4" s="1"/>
  <c r="I188" i="4" s="1"/>
  <c r="G187" i="4"/>
  <c r="H187" i="4" s="1"/>
  <c r="I187" i="4" s="1"/>
  <c r="G186" i="4"/>
  <c r="H186" i="4" s="1"/>
  <c r="I186" i="4" s="1"/>
  <c r="G185" i="4"/>
  <c r="H185" i="4" s="1"/>
  <c r="I185" i="4" s="1"/>
  <c r="G184" i="4"/>
  <c r="H184" i="4" s="1"/>
  <c r="I184" i="4" s="1"/>
  <c r="G183" i="4"/>
  <c r="H183" i="4" s="1"/>
  <c r="I183" i="4" s="1"/>
  <c r="G182" i="4"/>
  <c r="H182" i="4" s="1"/>
  <c r="I182" i="4" s="1"/>
  <c r="G181" i="4"/>
  <c r="H181" i="4" s="1"/>
  <c r="I181" i="4" s="1"/>
  <c r="G180" i="4"/>
  <c r="H180" i="4" s="1"/>
  <c r="I180" i="4" s="1"/>
  <c r="G179" i="4"/>
  <c r="H179" i="4" s="1"/>
  <c r="I179" i="4" s="1"/>
  <c r="G178" i="4"/>
  <c r="H178" i="4" s="1"/>
  <c r="I178" i="4" s="1"/>
  <c r="G177" i="4"/>
  <c r="H177" i="4" s="1"/>
  <c r="I177" i="4" s="1"/>
  <c r="G176" i="4"/>
  <c r="H176" i="4" s="1"/>
  <c r="I176" i="4" s="1"/>
  <c r="G175" i="4"/>
  <c r="H175" i="4" s="1"/>
  <c r="I175" i="4" s="1"/>
  <c r="G174" i="4"/>
  <c r="H174" i="4" s="1"/>
  <c r="I174" i="4" s="1"/>
  <c r="G173" i="4"/>
  <c r="H173" i="4" s="1"/>
  <c r="I173" i="4" s="1"/>
  <c r="G172" i="4"/>
  <c r="H172" i="4" s="1"/>
  <c r="I172" i="4" s="1"/>
  <c r="G171" i="4"/>
  <c r="H171" i="4" s="1"/>
  <c r="I171" i="4" s="1"/>
  <c r="G170" i="4"/>
  <c r="H170" i="4" s="1"/>
  <c r="I170" i="4" s="1"/>
  <c r="G169" i="4"/>
  <c r="H169" i="4" s="1"/>
  <c r="I169" i="4" s="1"/>
  <c r="G168" i="4"/>
  <c r="H168" i="4" s="1"/>
  <c r="I168" i="4" s="1"/>
  <c r="G167" i="4"/>
  <c r="H167" i="4" s="1"/>
  <c r="I167" i="4" s="1"/>
  <c r="G166" i="4"/>
  <c r="H166" i="4" s="1"/>
  <c r="I166" i="4" s="1"/>
  <c r="G165" i="4"/>
  <c r="H165" i="4" s="1"/>
  <c r="I165" i="4" s="1"/>
  <c r="G164" i="4"/>
  <c r="H164" i="4" s="1"/>
  <c r="I164" i="4" s="1"/>
  <c r="G163" i="4"/>
  <c r="H163" i="4" s="1"/>
  <c r="I163" i="4" s="1"/>
  <c r="G162" i="4"/>
  <c r="H162" i="4" s="1"/>
  <c r="I162" i="4" s="1"/>
  <c r="G161" i="4"/>
  <c r="H161" i="4" s="1"/>
  <c r="I161" i="4" s="1"/>
  <c r="G160" i="4"/>
  <c r="H160" i="4" s="1"/>
  <c r="I160" i="4" s="1"/>
  <c r="G159" i="4"/>
  <c r="H159" i="4" s="1"/>
  <c r="I159" i="4" s="1"/>
  <c r="G158" i="4"/>
  <c r="H158" i="4" s="1"/>
  <c r="I158" i="4" s="1"/>
  <c r="G157" i="4"/>
  <c r="H157" i="4" s="1"/>
  <c r="I157" i="4" s="1"/>
  <c r="G156" i="4"/>
  <c r="H156" i="4" s="1"/>
  <c r="I156" i="4" s="1"/>
  <c r="G155" i="4"/>
  <c r="H155" i="4" s="1"/>
  <c r="I155" i="4" s="1"/>
  <c r="G154" i="4"/>
  <c r="H154" i="4" s="1"/>
  <c r="I154" i="4" s="1"/>
  <c r="G153" i="4"/>
  <c r="H153" i="4" s="1"/>
  <c r="I153" i="4" s="1"/>
  <c r="G152" i="4"/>
  <c r="H152" i="4" s="1"/>
  <c r="I152" i="4" s="1"/>
  <c r="G151" i="4"/>
  <c r="H151" i="4" s="1"/>
  <c r="I151" i="4" s="1"/>
  <c r="G150" i="4"/>
  <c r="H150" i="4" s="1"/>
  <c r="I150" i="4" s="1"/>
  <c r="G149" i="4"/>
  <c r="H149" i="4" s="1"/>
  <c r="I149" i="4" s="1"/>
  <c r="G148" i="4"/>
  <c r="H148" i="4" s="1"/>
  <c r="I148" i="4" s="1"/>
  <c r="G147" i="4"/>
  <c r="H147" i="4" s="1"/>
  <c r="I147" i="4" s="1"/>
  <c r="G146" i="4"/>
  <c r="H146" i="4" s="1"/>
  <c r="I146" i="4" s="1"/>
  <c r="G145" i="4"/>
  <c r="H145" i="4" s="1"/>
  <c r="I145" i="4" s="1"/>
  <c r="G144" i="4"/>
  <c r="H144" i="4" s="1"/>
  <c r="I144" i="4" s="1"/>
  <c r="G143" i="4"/>
  <c r="H143" i="4" s="1"/>
  <c r="I143" i="4" s="1"/>
  <c r="G142" i="4"/>
  <c r="H142" i="4" s="1"/>
  <c r="I142" i="4" s="1"/>
  <c r="G141" i="4"/>
  <c r="H141" i="4" s="1"/>
  <c r="I141" i="4" s="1"/>
  <c r="G140" i="4"/>
  <c r="H140" i="4" s="1"/>
  <c r="I140" i="4" s="1"/>
  <c r="G139" i="4"/>
  <c r="H139" i="4" s="1"/>
  <c r="I139" i="4" s="1"/>
  <c r="G138" i="4"/>
  <c r="H138" i="4" s="1"/>
  <c r="I138" i="4" s="1"/>
  <c r="G137" i="4"/>
  <c r="H137" i="4" s="1"/>
  <c r="I137" i="4" s="1"/>
  <c r="G136" i="4"/>
  <c r="H136" i="4" s="1"/>
  <c r="I136" i="4" s="1"/>
  <c r="G135" i="4"/>
  <c r="H135" i="4" s="1"/>
  <c r="I135" i="4" s="1"/>
  <c r="G134" i="4"/>
  <c r="H134" i="4" s="1"/>
  <c r="I134" i="4" s="1"/>
  <c r="G133" i="4"/>
  <c r="H133" i="4" s="1"/>
  <c r="I133" i="4" s="1"/>
  <c r="G132" i="4"/>
  <c r="H132" i="4" s="1"/>
  <c r="I132" i="4" s="1"/>
  <c r="G131" i="4"/>
  <c r="H131" i="4" s="1"/>
  <c r="I131" i="4" s="1"/>
  <c r="G130" i="4"/>
  <c r="H130" i="4" s="1"/>
  <c r="I130" i="4" s="1"/>
  <c r="G129" i="4"/>
  <c r="H129" i="4" s="1"/>
  <c r="I129" i="4" s="1"/>
  <c r="G128" i="4"/>
  <c r="H128" i="4" s="1"/>
  <c r="I128" i="4" s="1"/>
  <c r="G127" i="4"/>
  <c r="H127" i="4" s="1"/>
  <c r="I127" i="4" s="1"/>
  <c r="G126" i="4"/>
  <c r="H126" i="4" s="1"/>
  <c r="I126" i="4" s="1"/>
  <c r="G125" i="4"/>
  <c r="H125" i="4" s="1"/>
  <c r="I125" i="4" s="1"/>
  <c r="G124" i="4"/>
  <c r="H124" i="4" s="1"/>
  <c r="I124" i="4" s="1"/>
  <c r="G123" i="4"/>
  <c r="H123" i="4" s="1"/>
  <c r="I123" i="4" s="1"/>
  <c r="G122" i="4"/>
  <c r="H122" i="4" s="1"/>
  <c r="I122" i="4" s="1"/>
  <c r="G121" i="4"/>
  <c r="G120" i="4"/>
  <c r="H120" i="4" s="1"/>
  <c r="I120" i="4" s="1"/>
  <c r="G119" i="4"/>
  <c r="H119" i="4" s="1"/>
  <c r="I119" i="4" s="1"/>
  <c r="G118" i="4"/>
  <c r="H118" i="4" s="1"/>
  <c r="I118" i="4" s="1"/>
  <c r="G117" i="4"/>
  <c r="H117" i="4" s="1"/>
  <c r="I117" i="4" s="1"/>
  <c r="G116" i="4"/>
  <c r="H116" i="4" s="1"/>
  <c r="I116" i="4" s="1"/>
  <c r="G115" i="4"/>
  <c r="H115" i="4" s="1"/>
  <c r="I115" i="4" s="1"/>
  <c r="G114" i="4"/>
  <c r="H114" i="4" s="1"/>
  <c r="I114" i="4" s="1"/>
  <c r="G113" i="4"/>
  <c r="H113" i="4" s="1"/>
  <c r="I113" i="4" s="1"/>
  <c r="G112" i="4"/>
  <c r="H112" i="4" s="1"/>
  <c r="I112" i="4" s="1"/>
  <c r="G111" i="4"/>
  <c r="H111" i="4" s="1"/>
  <c r="I111" i="4" s="1"/>
  <c r="G110" i="4"/>
  <c r="H110" i="4" s="1"/>
  <c r="I110" i="4" s="1"/>
  <c r="G109" i="4"/>
  <c r="H109" i="4" s="1"/>
  <c r="I109" i="4" s="1"/>
  <c r="G108" i="4"/>
  <c r="H108" i="4" s="1"/>
  <c r="I108" i="4" s="1"/>
  <c r="G107" i="4"/>
  <c r="H107" i="4" s="1"/>
  <c r="I107" i="4" s="1"/>
  <c r="G106" i="4"/>
  <c r="H106" i="4" s="1"/>
  <c r="I106" i="4" s="1"/>
  <c r="G105" i="4"/>
  <c r="G104" i="4"/>
  <c r="H104" i="4" s="1"/>
  <c r="I104" i="4" s="1"/>
  <c r="G103" i="4"/>
  <c r="H103" i="4" s="1"/>
  <c r="I103" i="4" s="1"/>
  <c r="G102" i="4"/>
  <c r="H102" i="4" s="1"/>
  <c r="I102" i="4" s="1"/>
  <c r="G101" i="4"/>
  <c r="H101" i="4" s="1"/>
  <c r="I101" i="4" s="1"/>
  <c r="G100" i="4"/>
  <c r="H100" i="4" s="1"/>
  <c r="I100" i="4" s="1"/>
  <c r="G99" i="4"/>
  <c r="H99" i="4" s="1"/>
  <c r="I99" i="4" s="1"/>
  <c r="G98" i="4"/>
  <c r="H98" i="4" s="1"/>
  <c r="I98" i="4" s="1"/>
  <c r="G97" i="4"/>
  <c r="H97" i="4" s="1"/>
  <c r="I97" i="4" s="1"/>
  <c r="G96" i="4"/>
  <c r="H96" i="4" s="1"/>
  <c r="I96" i="4" s="1"/>
  <c r="G95" i="4"/>
  <c r="H95" i="4" s="1"/>
  <c r="I95" i="4" s="1"/>
  <c r="G94" i="4"/>
  <c r="H94" i="4" s="1"/>
  <c r="I94" i="4" s="1"/>
  <c r="G93" i="4"/>
  <c r="H93" i="4" s="1"/>
  <c r="I93" i="4" s="1"/>
  <c r="G92" i="4"/>
  <c r="H92" i="4" s="1"/>
  <c r="I92" i="4" s="1"/>
  <c r="G91" i="4"/>
  <c r="H91" i="4" s="1"/>
  <c r="I91" i="4" s="1"/>
  <c r="G90" i="4"/>
  <c r="H90" i="4" s="1"/>
  <c r="I90" i="4" s="1"/>
  <c r="G89" i="4"/>
  <c r="H89" i="4" s="1"/>
  <c r="I89" i="4" s="1"/>
  <c r="G88" i="4"/>
  <c r="H88" i="4" s="1"/>
  <c r="I88" i="4" s="1"/>
  <c r="G87" i="4"/>
  <c r="H87" i="4" s="1"/>
  <c r="I87" i="4" s="1"/>
  <c r="G86" i="4"/>
  <c r="H86" i="4" s="1"/>
  <c r="I86" i="4" s="1"/>
  <c r="G85" i="4"/>
  <c r="H85" i="4" s="1"/>
  <c r="I85" i="4" s="1"/>
  <c r="G84" i="4"/>
  <c r="H84" i="4" s="1"/>
  <c r="I84" i="4" s="1"/>
  <c r="G83" i="4"/>
  <c r="H83" i="4" s="1"/>
  <c r="I83" i="4" s="1"/>
  <c r="G82" i="4"/>
  <c r="H82" i="4" s="1"/>
  <c r="I82" i="4" s="1"/>
  <c r="G81" i="4"/>
  <c r="H81" i="4" s="1"/>
  <c r="I81" i="4" s="1"/>
  <c r="G80" i="4"/>
  <c r="H80" i="4" s="1"/>
  <c r="I80" i="4" s="1"/>
  <c r="G79" i="4"/>
  <c r="H79" i="4" s="1"/>
  <c r="I79" i="4" s="1"/>
  <c r="G78" i="4"/>
  <c r="H78" i="4" s="1"/>
  <c r="I78" i="4" s="1"/>
  <c r="G77" i="4"/>
  <c r="H77" i="4" s="1"/>
  <c r="I77" i="4" s="1"/>
  <c r="G76" i="4"/>
  <c r="H76" i="4" s="1"/>
  <c r="I76" i="4" s="1"/>
  <c r="G75" i="4"/>
  <c r="H75" i="4" s="1"/>
  <c r="I75" i="4" s="1"/>
  <c r="G74" i="4"/>
  <c r="H74" i="4" s="1"/>
  <c r="I74" i="4" s="1"/>
  <c r="G73" i="4"/>
  <c r="H73" i="4" s="1"/>
  <c r="I73" i="4" s="1"/>
  <c r="G72" i="4"/>
  <c r="H72" i="4" s="1"/>
  <c r="I72" i="4" s="1"/>
  <c r="G71" i="4"/>
  <c r="H71" i="4" s="1"/>
  <c r="I71" i="4" s="1"/>
  <c r="G70" i="4"/>
  <c r="H70" i="4" s="1"/>
  <c r="I70" i="4" s="1"/>
  <c r="G69" i="4"/>
  <c r="H69" i="4" s="1"/>
  <c r="I69" i="4" s="1"/>
  <c r="G68" i="4"/>
  <c r="H68" i="4" s="1"/>
  <c r="I68" i="4" s="1"/>
  <c r="G67" i="4"/>
  <c r="H67" i="4" s="1"/>
  <c r="I67" i="4" s="1"/>
  <c r="G66" i="4"/>
  <c r="H66" i="4" s="1"/>
  <c r="I66" i="4" s="1"/>
  <c r="G65" i="4"/>
  <c r="H65" i="4" s="1"/>
  <c r="I65" i="4" s="1"/>
  <c r="G64" i="4"/>
  <c r="H64" i="4" s="1"/>
  <c r="I64" i="4" s="1"/>
  <c r="G63" i="4"/>
  <c r="H63" i="4" s="1"/>
  <c r="I63" i="4" s="1"/>
  <c r="G62" i="4"/>
  <c r="H62" i="4" s="1"/>
  <c r="I62" i="4" s="1"/>
  <c r="G61" i="4"/>
  <c r="H61" i="4" s="1"/>
  <c r="I61" i="4" s="1"/>
  <c r="G60" i="4"/>
  <c r="H60" i="4" s="1"/>
  <c r="I60" i="4" s="1"/>
  <c r="G59" i="4"/>
  <c r="H59" i="4" s="1"/>
  <c r="I59" i="4" s="1"/>
  <c r="G58" i="4"/>
  <c r="H58" i="4" s="1"/>
  <c r="I58" i="4" s="1"/>
  <c r="G57" i="4"/>
  <c r="H57" i="4" s="1"/>
  <c r="I57" i="4" s="1"/>
  <c r="G56" i="4"/>
  <c r="H56" i="4" s="1"/>
  <c r="I56" i="4" s="1"/>
  <c r="G55" i="4"/>
  <c r="H55" i="4" s="1"/>
  <c r="I55" i="4" s="1"/>
  <c r="G54" i="4"/>
  <c r="H54" i="4" s="1"/>
  <c r="I54" i="4" s="1"/>
  <c r="G53" i="4"/>
  <c r="H53" i="4" s="1"/>
  <c r="I53" i="4" s="1"/>
  <c r="G52" i="4"/>
  <c r="H52" i="4" s="1"/>
  <c r="I52" i="4" s="1"/>
  <c r="G51" i="4"/>
  <c r="H51" i="4" s="1"/>
  <c r="I51" i="4" s="1"/>
  <c r="G50" i="4"/>
  <c r="H50" i="4" s="1"/>
  <c r="I50" i="4" s="1"/>
  <c r="G49" i="4"/>
  <c r="H49" i="4" s="1"/>
  <c r="I49" i="4" s="1"/>
  <c r="G48" i="4"/>
  <c r="H48" i="4" s="1"/>
  <c r="I48" i="4" s="1"/>
  <c r="G47" i="4"/>
  <c r="H47" i="4" s="1"/>
  <c r="I47" i="4" s="1"/>
  <c r="G46" i="4"/>
  <c r="H46" i="4" s="1"/>
  <c r="I46" i="4" s="1"/>
  <c r="G45" i="4"/>
  <c r="H45" i="4" s="1"/>
  <c r="I45" i="4" s="1"/>
  <c r="G44" i="4"/>
  <c r="H44" i="4" s="1"/>
  <c r="I44" i="4" s="1"/>
  <c r="G43" i="4"/>
  <c r="H43" i="4" s="1"/>
  <c r="I43" i="4" s="1"/>
  <c r="G42" i="4"/>
  <c r="H42" i="4" s="1"/>
  <c r="I42" i="4" s="1"/>
  <c r="G41" i="4"/>
  <c r="H41" i="4" s="1"/>
  <c r="I41" i="4" s="1"/>
  <c r="G40" i="4"/>
  <c r="H40" i="4" s="1"/>
  <c r="I40" i="4" s="1"/>
  <c r="G39" i="4"/>
  <c r="H39" i="4" s="1"/>
  <c r="I39" i="4" s="1"/>
  <c r="G38" i="4"/>
  <c r="H38" i="4" s="1"/>
  <c r="I38" i="4" s="1"/>
  <c r="G37" i="4"/>
  <c r="H37" i="4" s="1"/>
  <c r="I37" i="4" s="1"/>
  <c r="G36" i="4"/>
  <c r="H36" i="4" s="1"/>
  <c r="I36" i="4" s="1"/>
  <c r="G35" i="4"/>
  <c r="H35" i="4" s="1"/>
  <c r="I35" i="4" s="1"/>
  <c r="G34" i="4"/>
  <c r="H34" i="4" s="1"/>
  <c r="I34" i="4" s="1"/>
  <c r="G33" i="4"/>
  <c r="H33" i="4" s="1"/>
  <c r="I33" i="4" s="1"/>
  <c r="G32" i="4"/>
  <c r="H32" i="4" s="1"/>
  <c r="I32" i="4" s="1"/>
  <c r="G31" i="4"/>
  <c r="H31" i="4" s="1"/>
  <c r="I31" i="4" s="1"/>
  <c r="G30" i="4"/>
  <c r="H30" i="4" s="1"/>
  <c r="I30" i="4" s="1"/>
  <c r="G29" i="4"/>
  <c r="H29" i="4" s="1"/>
  <c r="I29" i="4" s="1"/>
  <c r="G28" i="4"/>
  <c r="H28" i="4" s="1"/>
  <c r="I28" i="4" s="1"/>
  <c r="G27" i="4"/>
  <c r="H27" i="4" s="1"/>
  <c r="I27" i="4" s="1"/>
  <c r="G26" i="4"/>
  <c r="H26" i="4" s="1"/>
  <c r="I26" i="4" s="1"/>
  <c r="G25" i="4"/>
  <c r="H25" i="4" s="1"/>
  <c r="I25" i="4" s="1"/>
  <c r="G24" i="4"/>
  <c r="H24" i="4" s="1"/>
  <c r="I24" i="4" s="1"/>
  <c r="G23" i="4"/>
  <c r="H23" i="4" s="1"/>
  <c r="I23" i="4" s="1"/>
  <c r="G22" i="4"/>
  <c r="H22" i="4" s="1"/>
  <c r="I22" i="4" s="1"/>
  <c r="G21" i="4"/>
  <c r="H21" i="4" s="1"/>
  <c r="I21" i="4" s="1"/>
  <c r="G20" i="4"/>
  <c r="H20" i="4" s="1"/>
  <c r="I20" i="4" s="1"/>
  <c r="G19" i="4"/>
  <c r="H19" i="4" s="1"/>
  <c r="I19" i="4" s="1"/>
  <c r="G18" i="4"/>
  <c r="H18" i="4" s="1"/>
  <c r="I18" i="4" s="1"/>
  <c r="G17" i="4"/>
  <c r="H17" i="4" s="1"/>
  <c r="I17" i="4" s="1"/>
  <c r="G16" i="4"/>
  <c r="H16" i="4" s="1"/>
  <c r="I16" i="4" s="1"/>
  <c r="G15" i="4"/>
  <c r="H15" i="4" s="1"/>
  <c r="I15" i="4" s="1"/>
  <c r="G14" i="4"/>
  <c r="H14" i="4" s="1"/>
  <c r="I14" i="4" s="1"/>
  <c r="G13" i="4"/>
  <c r="H13" i="4" s="1"/>
  <c r="I13" i="4" s="1"/>
  <c r="G12" i="4"/>
  <c r="H12" i="4" s="1"/>
  <c r="I12" i="4" s="1"/>
  <c r="G11" i="4"/>
  <c r="H11" i="4" s="1"/>
  <c r="I11" i="4" s="1"/>
  <c r="G10" i="4"/>
  <c r="H10" i="4" s="1"/>
  <c r="I10" i="4" s="1"/>
  <c r="G9" i="4"/>
  <c r="H9" i="4" s="1"/>
  <c r="I9" i="4" s="1"/>
  <c r="G801" i="4"/>
  <c r="H801" i="4" s="1"/>
  <c r="I801" i="4" s="1"/>
  <c r="G800" i="4"/>
  <c r="H800" i="4" s="1"/>
  <c r="I800" i="4" s="1"/>
  <c r="G799" i="4"/>
  <c r="H799" i="4" s="1"/>
  <c r="I799" i="4" s="1"/>
  <c r="G798" i="4"/>
  <c r="H798" i="4" s="1"/>
  <c r="I798" i="4" s="1"/>
  <c r="G797" i="4"/>
  <c r="H797" i="4" s="1"/>
  <c r="I797" i="4" s="1"/>
  <c r="G796" i="4"/>
  <c r="H796" i="4" s="1"/>
  <c r="I796" i="4" s="1"/>
  <c r="G795" i="4"/>
  <c r="H795" i="4" s="1"/>
  <c r="I795" i="4" s="1"/>
  <c r="G794" i="4"/>
  <c r="H794" i="4" s="1"/>
  <c r="I794" i="4" s="1"/>
  <c r="G793" i="4"/>
  <c r="H793" i="4" s="1"/>
  <c r="I793" i="4" s="1"/>
  <c r="G792" i="4"/>
  <c r="H792" i="4" s="1"/>
  <c r="I792" i="4" s="1"/>
  <c r="G791" i="4"/>
  <c r="H791" i="4" s="1"/>
  <c r="I791" i="4" s="1"/>
  <c r="G790" i="4"/>
  <c r="H790" i="4" s="1"/>
  <c r="I790" i="4" s="1"/>
  <c r="G789" i="4"/>
  <c r="H789" i="4" s="1"/>
  <c r="I789" i="4" s="1"/>
  <c r="G788" i="4"/>
  <c r="H788" i="4" s="1"/>
  <c r="I788" i="4" s="1"/>
  <c r="G787" i="4"/>
  <c r="H787" i="4" s="1"/>
  <c r="I787" i="4" s="1"/>
  <c r="G786" i="4"/>
  <c r="H786" i="4" s="1"/>
  <c r="I786" i="4" s="1"/>
  <c r="G785" i="4"/>
  <c r="H785" i="4" s="1"/>
  <c r="I785" i="4" s="1"/>
  <c r="G784" i="4"/>
  <c r="H784" i="4" s="1"/>
  <c r="I784" i="4" s="1"/>
  <c r="G783" i="4"/>
  <c r="H783" i="4" s="1"/>
  <c r="I783" i="4" s="1"/>
  <c r="G782" i="4"/>
  <c r="H782" i="4" s="1"/>
  <c r="I782" i="4" s="1"/>
  <c r="G781" i="4"/>
  <c r="H781" i="4" s="1"/>
  <c r="I781" i="4" s="1"/>
  <c r="G780" i="4"/>
  <c r="H780" i="4" s="1"/>
  <c r="I780" i="4" s="1"/>
  <c r="G779" i="4"/>
  <c r="H779" i="4" s="1"/>
  <c r="I779" i="4" s="1"/>
  <c r="G778" i="4"/>
  <c r="H778" i="4" s="1"/>
  <c r="I778" i="4" s="1"/>
  <c r="G777" i="4"/>
  <c r="H777" i="4" s="1"/>
  <c r="I777" i="4" s="1"/>
  <c r="G776" i="4"/>
  <c r="H776" i="4" s="1"/>
  <c r="I776" i="4" s="1"/>
  <c r="G775" i="4"/>
  <c r="H775" i="4" s="1"/>
  <c r="I775" i="4" s="1"/>
  <c r="G774" i="4"/>
  <c r="H774" i="4" s="1"/>
  <c r="I774" i="4" s="1"/>
  <c r="G773" i="4"/>
  <c r="H773" i="4" s="1"/>
  <c r="I773" i="4" s="1"/>
  <c r="G772" i="4"/>
  <c r="H772" i="4" s="1"/>
  <c r="I772" i="4" s="1"/>
  <c r="G771" i="4"/>
  <c r="H771" i="4" s="1"/>
  <c r="I771" i="4" s="1"/>
  <c r="G770" i="4"/>
  <c r="H770" i="4" s="1"/>
  <c r="I770" i="4" s="1"/>
  <c r="G769" i="4"/>
  <c r="H769" i="4" s="1"/>
  <c r="I769" i="4" s="1"/>
  <c r="G768" i="4"/>
  <c r="H768" i="4" s="1"/>
  <c r="I768" i="4" s="1"/>
  <c r="G767" i="4"/>
  <c r="H767" i="4" s="1"/>
  <c r="I767" i="4" s="1"/>
  <c r="G766" i="4"/>
  <c r="H766" i="4" s="1"/>
  <c r="I766" i="4" s="1"/>
  <c r="G765" i="4"/>
  <c r="H765" i="4" s="1"/>
  <c r="I765" i="4" s="1"/>
  <c r="G764" i="4"/>
  <c r="H764" i="4" s="1"/>
  <c r="I764" i="4" s="1"/>
  <c r="G763" i="4"/>
  <c r="H763" i="4" s="1"/>
  <c r="I763" i="4" s="1"/>
  <c r="G762" i="4"/>
  <c r="H762" i="4" s="1"/>
  <c r="I762" i="4" s="1"/>
  <c r="G761" i="4"/>
  <c r="H761" i="4" s="1"/>
  <c r="I761" i="4" s="1"/>
  <c r="G760" i="4"/>
  <c r="H760" i="4" s="1"/>
  <c r="I760" i="4" s="1"/>
  <c r="G759" i="4"/>
  <c r="H759" i="4" s="1"/>
  <c r="I759" i="4" s="1"/>
  <c r="G758" i="4"/>
  <c r="H758" i="4" s="1"/>
  <c r="I758" i="4" s="1"/>
  <c r="G757" i="4"/>
  <c r="H757" i="4" s="1"/>
  <c r="I757" i="4" s="1"/>
  <c r="G756" i="4"/>
  <c r="H756" i="4" s="1"/>
  <c r="I756" i="4" s="1"/>
  <c r="G755" i="4"/>
  <c r="H755" i="4" s="1"/>
  <c r="I755" i="4" s="1"/>
  <c r="G754" i="4"/>
  <c r="H754" i="4" s="1"/>
  <c r="I754" i="4" s="1"/>
  <c r="G753" i="4"/>
  <c r="H753" i="4" s="1"/>
  <c r="I753" i="4" s="1"/>
  <c r="G752" i="4"/>
  <c r="H752" i="4" s="1"/>
  <c r="I752" i="4" s="1"/>
  <c r="G751" i="4"/>
  <c r="H751" i="4" s="1"/>
  <c r="I751" i="4" s="1"/>
  <c r="G750" i="4"/>
  <c r="H750" i="4" s="1"/>
  <c r="I750" i="4" s="1"/>
  <c r="G749" i="4"/>
  <c r="H749" i="4" s="1"/>
  <c r="I749" i="4" s="1"/>
  <c r="G748" i="4"/>
  <c r="H748" i="4" s="1"/>
  <c r="I748" i="4" s="1"/>
  <c r="G747" i="4"/>
  <c r="H747" i="4" s="1"/>
  <c r="I747" i="4" s="1"/>
  <c r="G746" i="4"/>
  <c r="H746" i="4" s="1"/>
  <c r="I746" i="4" s="1"/>
  <c r="G745" i="4"/>
  <c r="H745" i="4" s="1"/>
  <c r="I745" i="4" s="1"/>
  <c r="G744" i="4"/>
  <c r="H744" i="4" s="1"/>
  <c r="I744" i="4" s="1"/>
  <c r="G743" i="4"/>
  <c r="H743" i="4" s="1"/>
  <c r="I743" i="4" s="1"/>
  <c r="G742" i="4"/>
  <c r="H742" i="4" s="1"/>
  <c r="I742" i="4" s="1"/>
  <c r="G741" i="4"/>
  <c r="H741" i="4" s="1"/>
  <c r="I741" i="4" s="1"/>
  <c r="G740" i="4"/>
  <c r="H740" i="4" s="1"/>
  <c r="I740" i="4" s="1"/>
  <c r="G739" i="4"/>
  <c r="H739" i="4" s="1"/>
  <c r="I739" i="4" s="1"/>
  <c r="G738" i="4"/>
  <c r="H738" i="4" s="1"/>
  <c r="I738" i="4" s="1"/>
  <c r="G737" i="4"/>
  <c r="H737" i="4" s="1"/>
  <c r="I737" i="4" s="1"/>
  <c r="G736" i="4"/>
  <c r="H736" i="4" s="1"/>
  <c r="I736" i="4" s="1"/>
  <c r="G735" i="4"/>
  <c r="H735" i="4" s="1"/>
  <c r="I735" i="4" s="1"/>
  <c r="G734" i="4"/>
  <c r="H734" i="4" s="1"/>
  <c r="I734" i="4" s="1"/>
  <c r="G733" i="4"/>
  <c r="H733" i="4" s="1"/>
  <c r="I733" i="4" s="1"/>
  <c r="G732" i="4"/>
  <c r="H732" i="4" s="1"/>
  <c r="I732" i="4" s="1"/>
  <c r="G731" i="4"/>
  <c r="H731" i="4" s="1"/>
  <c r="I731" i="4" s="1"/>
  <c r="G730" i="4"/>
  <c r="H730" i="4" s="1"/>
  <c r="I730" i="4" s="1"/>
  <c r="G729" i="4"/>
  <c r="H729" i="4" s="1"/>
  <c r="I729" i="4" s="1"/>
  <c r="G728" i="4"/>
  <c r="H728" i="4" s="1"/>
  <c r="I728" i="4" s="1"/>
  <c r="G727" i="4"/>
  <c r="H727" i="4" s="1"/>
  <c r="I727" i="4" s="1"/>
  <c r="G726" i="4"/>
  <c r="H726" i="4" s="1"/>
  <c r="I726" i="4" s="1"/>
  <c r="G725" i="4"/>
  <c r="H725" i="4" s="1"/>
  <c r="I725" i="4" s="1"/>
  <c r="G724" i="4"/>
  <c r="H724" i="4" s="1"/>
  <c r="I724" i="4" s="1"/>
  <c r="G723" i="4"/>
  <c r="H723" i="4" s="1"/>
  <c r="I723" i="4" s="1"/>
  <c r="G722" i="4"/>
  <c r="H722" i="4" s="1"/>
  <c r="I722" i="4" s="1"/>
  <c r="G721" i="4"/>
  <c r="H721" i="4" s="1"/>
  <c r="I721" i="4" s="1"/>
  <c r="G720" i="4"/>
  <c r="H720" i="4" s="1"/>
  <c r="I720" i="4" s="1"/>
  <c r="G719" i="4"/>
  <c r="H719" i="4" s="1"/>
  <c r="I719" i="4" s="1"/>
  <c r="G718" i="4"/>
  <c r="H718" i="4" s="1"/>
  <c r="I718" i="4" s="1"/>
  <c r="G717" i="4"/>
  <c r="H717" i="4" s="1"/>
  <c r="I717" i="4" s="1"/>
  <c r="G716" i="4"/>
  <c r="H716" i="4" s="1"/>
  <c r="I716" i="4" s="1"/>
  <c r="G715" i="4"/>
  <c r="H715" i="4" s="1"/>
  <c r="I715" i="4" s="1"/>
  <c r="G714" i="4"/>
  <c r="H714" i="4" s="1"/>
  <c r="I714" i="4" s="1"/>
  <c r="G713" i="4"/>
  <c r="H713" i="4" s="1"/>
  <c r="I713" i="4" s="1"/>
  <c r="G712" i="4"/>
  <c r="H712" i="4" s="1"/>
  <c r="I712" i="4" s="1"/>
  <c r="G711" i="4"/>
  <c r="H711" i="4" s="1"/>
  <c r="I711" i="4" s="1"/>
  <c r="G710" i="4"/>
  <c r="H710" i="4" s="1"/>
  <c r="I710" i="4" s="1"/>
  <c r="G709" i="4"/>
  <c r="H709" i="4" s="1"/>
  <c r="I709" i="4" s="1"/>
  <c r="G708" i="4"/>
  <c r="H708" i="4" s="1"/>
  <c r="I708" i="4" s="1"/>
  <c r="G707" i="4"/>
  <c r="H707" i="4" s="1"/>
  <c r="I707" i="4" s="1"/>
  <c r="G706" i="4"/>
  <c r="H706" i="4" s="1"/>
  <c r="I706" i="4" s="1"/>
  <c r="G705" i="4"/>
  <c r="H705" i="4" s="1"/>
  <c r="I705" i="4" s="1"/>
  <c r="G704" i="4"/>
  <c r="H704" i="4" s="1"/>
  <c r="I704" i="4" s="1"/>
  <c r="G703" i="4"/>
  <c r="H703" i="4" s="1"/>
  <c r="I703" i="4" s="1"/>
  <c r="G702" i="4"/>
  <c r="H702" i="4" s="1"/>
  <c r="I702" i="4" s="1"/>
  <c r="G701" i="4"/>
  <c r="H701" i="4" s="1"/>
  <c r="I701" i="4" s="1"/>
  <c r="G700" i="4"/>
  <c r="H700" i="4" s="1"/>
  <c r="I700" i="4" s="1"/>
  <c r="G699" i="4"/>
  <c r="H699" i="4" s="1"/>
  <c r="I699" i="4" s="1"/>
  <c r="G698" i="4"/>
  <c r="H698" i="4" s="1"/>
  <c r="I698" i="4" s="1"/>
  <c r="G697" i="4"/>
  <c r="H697" i="4" s="1"/>
  <c r="I697" i="4" s="1"/>
  <c r="G696" i="4"/>
  <c r="H696" i="4" s="1"/>
  <c r="I696" i="4" s="1"/>
  <c r="G695" i="4"/>
  <c r="H695" i="4" s="1"/>
  <c r="I695" i="4" s="1"/>
  <c r="G694" i="4"/>
  <c r="H694" i="4" s="1"/>
  <c r="I694" i="4" s="1"/>
  <c r="G693" i="4"/>
  <c r="H693" i="4" s="1"/>
  <c r="I693" i="4" s="1"/>
  <c r="G692" i="4"/>
  <c r="H692" i="4" s="1"/>
  <c r="I692" i="4" s="1"/>
  <c r="G691" i="4"/>
  <c r="H691" i="4" s="1"/>
  <c r="I691" i="4" s="1"/>
  <c r="G690" i="4"/>
  <c r="H690" i="4" s="1"/>
  <c r="I690" i="4" s="1"/>
  <c r="G689" i="4"/>
  <c r="H689" i="4" s="1"/>
  <c r="I689" i="4" s="1"/>
  <c r="G688" i="4"/>
  <c r="H688" i="4" s="1"/>
  <c r="I688" i="4" s="1"/>
  <c r="G687" i="4"/>
  <c r="H687" i="4" s="1"/>
  <c r="I687" i="4" s="1"/>
  <c r="G686" i="4"/>
  <c r="H686" i="4" s="1"/>
  <c r="I686" i="4" s="1"/>
  <c r="G685" i="4"/>
  <c r="H685" i="4" s="1"/>
  <c r="I685" i="4" s="1"/>
  <c r="G684" i="4"/>
  <c r="H684" i="4" s="1"/>
  <c r="I684" i="4" s="1"/>
  <c r="G683" i="4"/>
  <c r="H683" i="4" s="1"/>
  <c r="I683" i="4" s="1"/>
  <c r="G682" i="4"/>
  <c r="H682" i="4" s="1"/>
  <c r="I682" i="4" s="1"/>
  <c r="G681" i="4"/>
  <c r="H681" i="4" s="1"/>
  <c r="I681" i="4" s="1"/>
  <c r="G680" i="4"/>
  <c r="H680" i="4" s="1"/>
  <c r="I680" i="4" s="1"/>
  <c r="G679" i="4"/>
  <c r="H679" i="4" s="1"/>
  <c r="I679" i="4" s="1"/>
  <c r="G678" i="4"/>
  <c r="H678" i="4" s="1"/>
  <c r="I678" i="4" s="1"/>
  <c r="G677" i="4"/>
  <c r="H677" i="4" s="1"/>
  <c r="I677" i="4" s="1"/>
  <c r="G676" i="4"/>
  <c r="H676" i="4" s="1"/>
  <c r="I676" i="4" s="1"/>
  <c r="G675" i="4"/>
  <c r="H675" i="4" s="1"/>
  <c r="I675" i="4" s="1"/>
  <c r="G674" i="4"/>
  <c r="H674" i="4" s="1"/>
  <c r="I674" i="4" s="1"/>
  <c r="G673" i="4"/>
  <c r="H673" i="4" s="1"/>
  <c r="I673" i="4" s="1"/>
  <c r="G672" i="4"/>
  <c r="H672" i="4" s="1"/>
  <c r="I672" i="4" s="1"/>
  <c r="G671" i="4"/>
  <c r="H671" i="4" s="1"/>
  <c r="I671" i="4" s="1"/>
  <c r="G670" i="4"/>
  <c r="H670" i="4" s="1"/>
  <c r="I670" i="4" s="1"/>
  <c r="G669" i="4"/>
  <c r="H669" i="4" s="1"/>
  <c r="I669" i="4" s="1"/>
  <c r="G668" i="4"/>
  <c r="H668" i="4" s="1"/>
  <c r="I668" i="4" s="1"/>
  <c r="G667" i="4"/>
  <c r="H667" i="4" s="1"/>
  <c r="I667" i="4" s="1"/>
  <c r="G666" i="4"/>
  <c r="H666" i="4" s="1"/>
  <c r="I666" i="4" s="1"/>
  <c r="G665" i="4"/>
  <c r="H665" i="4" s="1"/>
  <c r="I665" i="4" s="1"/>
  <c r="G664" i="4"/>
  <c r="H664" i="4" s="1"/>
  <c r="I664" i="4" s="1"/>
  <c r="G663" i="4"/>
  <c r="H663" i="4" s="1"/>
  <c r="I663" i="4" s="1"/>
  <c r="G662" i="4"/>
  <c r="H662" i="4" s="1"/>
  <c r="I662" i="4" s="1"/>
  <c r="G661" i="4"/>
  <c r="H661" i="4" s="1"/>
  <c r="I661" i="4" s="1"/>
  <c r="G660" i="4"/>
  <c r="H660" i="4" s="1"/>
  <c r="I660" i="4" s="1"/>
  <c r="G659" i="4"/>
  <c r="H659" i="4" s="1"/>
  <c r="I659" i="4" s="1"/>
  <c r="G658" i="4"/>
  <c r="H658" i="4" s="1"/>
  <c r="I658" i="4" s="1"/>
  <c r="G657" i="4"/>
  <c r="H657" i="4" s="1"/>
  <c r="I657" i="4" s="1"/>
  <c r="G656" i="4"/>
  <c r="H656" i="4" s="1"/>
  <c r="I656" i="4" s="1"/>
  <c r="G655" i="4"/>
  <c r="H655" i="4" s="1"/>
  <c r="I655" i="4" s="1"/>
  <c r="G654" i="4"/>
  <c r="H654" i="4" s="1"/>
  <c r="I654" i="4" s="1"/>
  <c r="G653" i="4"/>
  <c r="H653" i="4" s="1"/>
  <c r="I653" i="4" s="1"/>
  <c r="G652" i="4"/>
  <c r="H652" i="4" s="1"/>
  <c r="I652" i="4" s="1"/>
  <c r="G651" i="4"/>
  <c r="H651" i="4" s="1"/>
  <c r="I651" i="4" s="1"/>
  <c r="G650" i="4"/>
  <c r="H650" i="4" s="1"/>
  <c r="I650" i="4" s="1"/>
  <c r="G649" i="4"/>
  <c r="H649" i="4" s="1"/>
  <c r="I649" i="4" s="1"/>
  <c r="G648" i="4"/>
  <c r="H648" i="4" s="1"/>
  <c r="I648" i="4" s="1"/>
  <c r="G647" i="4"/>
  <c r="H647" i="4" s="1"/>
  <c r="I647" i="4" s="1"/>
  <c r="G646" i="4"/>
  <c r="H646" i="4" s="1"/>
  <c r="I646" i="4" s="1"/>
  <c r="G645" i="4"/>
  <c r="H645" i="4" s="1"/>
  <c r="I645" i="4" s="1"/>
  <c r="G644" i="4"/>
  <c r="H644" i="4" s="1"/>
  <c r="I644" i="4" s="1"/>
  <c r="G643" i="4"/>
  <c r="H643" i="4" s="1"/>
  <c r="I643" i="4" s="1"/>
  <c r="G642" i="4"/>
  <c r="H642" i="4" s="1"/>
  <c r="I642" i="4" s="1"/>
  <c r="G641" i="4"/>
  <c r="H641" i="4" s="1"/>
  <c r="I641" i="4" s="1"/>
  <c r="G640" i="4"/>
  <c r="H640" i="4" s="1"/>
  <c r="I640" i="4" s="1"/>
  <c r="G639" i="4"/>
  <c r="H639" i="4" s="1"/>
  <c r="I639" i="4" s="1"/>
  <c r="G638" i="4"/>
  <c r="H638" i="4" s="1"/>
  <c r="I638" i="4" s="1"/>
  <c r="G637" i="4"/>
  <c r="H637" i="4" s="1"/>
  <c r="I637" i="4" s="1"/>
  <c r="G636" i="4"/>
  <c r="H636" i="4" s="1"/>
  <c r="I636" i="4" s="1"/>
  <c r="G635" i="4"/>
  <c r="H635" i="4" s="1"/>
  <c r="I635" i="4" s="1"/>
  <c r="G634" i="4"/>
  <c r="H634" i="4" s="1"/>
  <c r="I634" i="4" s="1"/>
  <c r="G633" i="4"/>
  <c r="H633" i="4" s="1"/>
  <c r="I633" i="4" s="1"/>
  <c r="G632" i="4"/>
  <c r="H632" i="4" s="1"/>
  <c r="I632" i="4" s="1"/>
  <c r="G631" i="4"/>
  <c r="H631" i="4" s="1"/>
  <c r="I631" i="4" s="1"/>
  <c r="G630" i="4"/>
  <c r="H630" i="4" s="1"/>
  <c r="I630" i="4" s="1"/>
  <c r="G629" i="4"/>
  <c r="H629" i="4" s="1"/>
  <c r="I629" i="4" s="1"/>
  <c r="G628" i="4"/>
  <c r="H628" i="4" s="1"/>
  <c r="I628" i="4" s="1"/>
  <c r="G627" i="4"/>
  <c r="H627" i="4" s="1"/>
  <c r="I627" i="4" s="1"/>
  <c r="G626" i="4"/>
  <c r="H626" i="4" s="1"/>
  <c r="I626" i="4" s="1"/>
  <c r="G625" i="4"/>
  <c r="H625" i="4" s="1"/>
  <c r="I625" i="4" s="1"/>
  <c r="G624" i="4"/>
  <c r="H624" i="4" s="1"/>
  <c r="I624" i="4" s="1"/>
  <c r="G623" i="4"/>
  <c r="H623" i="4" s="1"/>
  <c r="I623" i="4" s="1"/>
  <c r="G622" i="4"/>
  <c r="H622" i="4" s="1"/>
  <c r="I622" i="4" s="1"/>
  <c r="G621" i="4"/>
  <c r="H621" i="4" s="1"/>
  <c r="I621" i="4" s="1"/>
  <c r="G620" i="4"/>
  <c r="H620" i="4" s="1"/>
  <c r="I620" i="4" s="1"/>
  <c r="G619" i="4"/>
  <c r="H619" i="4" s="1"/>
  <c r="I619" i="4" s="1"/>
  <c r="G618" i="4"/>
  <c r="H618" i="4" s="1"/>
  <c r="I618" i="4" s="1"/>
  <c r="G617" i="4"/>
  <c r="H617" i="4" s="1"/>
  <c r="I617" i="4" s="1"/>
  <c r="G616" i="4"/>
  <c r="H616" i="4" s="1"/>
  <c r="I616" i="4" s="1"/>
  <c r="G615" i="4"/>
  <c r="H615" i="4" s="1"/>
  <c r="I615" i="4" s="1"/>
  <c r="G614" i="4"/>
  <c r="H614" i="4" s="1"/>
  <c r="I614" i="4" s="1"/>
  <c r="G613" i="4"/>
  <c r="H613" i="4" s="1"/>
  <c r="I613" i="4" s="1"/>
  <c r="G612" i="4"/>
  <c r="H612" i="4" s="1"/>
  <c r="I612" i="4" s="1"/>
  <c r="G611" i="4"/>
  <c r="H611" i="4" s="1"/>
  <c r="I611" i="4" s="1"/>
  <c r="G610" i="4"/>
  <c r="H610" i="4" s="1"/>
  <c r="I610" i="4" s="1"/>
  <c r="G609" i="4"/>
  <c r="H609" i="4" s="1"/>
  <c r="I609" i="4" s="1"/>
  <c r="G608" i="4"/>
  <c r="H608" i="4" s="1"/>
  <c r="I608" i="4" s="1"/>
  <c r="G607" i="4"/>
  <c r="H607" i="4" s="1"/>
  <c r="I607" i="4" s="1"/>
  <c r="G606" i="4"/>
  <c r="H606" i="4" s="1"/>
  <c r="I606" i="4" s="1"/>
  <c r="G605" i="4"/>
  <c r="H605" i="4" s="1"/>
  <c r="I605" i="4" s="1"/>
  <c r="G604" i="4"/>
  <c r="H604" i="4" s="1"/>
  <c r="I604" i="4" s="1"/>
  <c r="G603" i="4"/>
  <c r="H603" i="4" s="1"/>
  <c r="I603" i="4" s="1"/>
  <c r="G602" i="4"/>
  <c r="H602" i="4" s="1"/>
  <c r="I602" i="4" s="1"/>
  <c r="G601" i="4"/>
  <c r="H601" i="4" s="1"/>
  <c r="I601" i="4" s="1"/>
  <c r="G600" i="4"/>
  <c r="H600" i="4" s="1"/>
  <c r="I600" i="4" s="1"/>
  <c r="G599" i="4"/>
  <c r="H599" i="4" s="1"/>
  <c r="I599" i="4" s="1"/>
  <c r="G598" i="4"/>
  <c r="H598" i="4" s="1"/>
  <c r="I598" i="4" s="1"/>
  <c r="G597" i="4"/>
  <c r="H597" i="4" s="1"/>
  <c r="I597" i="4" s="1"/>
  <c r="G596" i="4"/>
  <c r="H596" i="4" s="1"/>
  <c r="I596" i="4" s="1"/>
  <c r="G595" i="4"/>
  <c r="H595" i="4" s="1"/>
  <c r="I595" i="4" s="1"/>
  <c r="G594" i="4"/>
  <c r="H594" i="4" s="1"/>
  <c r="I594" i="4" s="1"/>
  <c r="G593" i="4"/>
  <c r="H593" i="4" s="1"/>
  <c r="I593" i="4" s="1"/>
  <c r="G592" i="4"/>
  <c r="H592" i="4" s="1"/>
  <c r="I592" i="4" s="1"/>
  <c r="G591" i="4"/>
  <c r="H591" i="4" s="1"/>
  <c r="I591" i="4" s="1"/>
  <c r="G590" i="4"/>
  <c r="H590" i="4" s="1"/>
  <c r="I590" i="4" s="1"/>
  <c r="G589" i="4"/>
  <c r="H589" i="4" s="1"/>
  <c r="I589" i="4" s="1"/>
  <c r="G588" i="4"/>
  <c r="H588" i="4" s="1"/>
  <c r="I588" i="4" s="1"/>
  <c r="G587" i="4"/>
  <c r="H587" i="4" s="1"/>
  <c r="I587" i="4" s="1"/>
  <c r="G586" i="4"/>
  <c r="H586" i="4" s="1"/>
  <c r="I586" i="4" s="1"/>
  <c r="G585" i="4"/>
  <c r="H585" i="4" s="1"/>
  <c r="I585" i="4" s="1"/>
  <c r="G584" i="4"/>
  <c r="H584" i="4" s="1"/>
  <c r="I584" i="4" s="1"/>
  <c r="G583" i="4"/>
  <c r="H583" i="4" s="1"/>
  <c r="I583" i="4" s="1"/>
  <c r="G582" i="4"/>
  <c r="H582" i="4" s="1"/>
  <c r="I582" i="4" s="1"/>
  <c r="G581" i="4"/>
  <c r="H581" i="4" s="1"/>
  <c r="I581" i="4" s="1"/>
  <c r="G580" i="4"/>
  <c r="H580" i="4" s="1"/>
  <c r="I580" i="4" s="1"/>
  <c r="G579" i="4"/>
  <c r="H579" i="4" s="1"/>
  <c r="I579" i="4" s="1"/>
  <c r="G578" i="4"/>
  <c r="H578" i="4" s="1"/>
  <c r="I578" i="4" s="1"/>
  <c r="G577" i="4"/>
  <c r="H577" i="4" s="1"/>
  <c r="I577" i="4" s="1"/>
  <c r="G576" i="4"/>
  <c r="H576" i="4" s="1"/>
  <c r="I576" i="4" s="1"/>
  <c r="G575" i="4"/>
  <c r="H575" i="4" s="1"/>
  <c r="I575" i="4" s="1"/>
  <c r="G574" i="4"/>
  <c r="H574" i="4" s="1"/>
  <c r="I574" i="4" s="1"/>
  <c r="G573" i="4"/>
  <c r="H573" i="4" s="1"/>
  <c r="I573" i="4" s="1"/>
  <c r="G572" i="4"/>
  <c r="H572" i="4" s="1"/>
  <c r="I572" i="4" s="1"/>
  <c r="G571" i="4"/>
  <c r="H571" i="4" s="1"/>
  <c r="I571" i="4" s="1"/>
  <c r="G570" i="4"/>
  <c r="H570" i="4" s="1"/>
  <c r="I570" i="4" s="1"/>
  <c r="G569" i="4"/>
  <c r="H569" i="4" s="1"/>
  <c r="I569" i="4" s="1"/>
  <c r="G568" i="4"/>
  <c r="H568" i="4" s="1"/>
  <c r="I568" i="4" s="1"/>
  <c r="G567" i="4"/>
  <c r="H567" i="4" s="1"/>
  <c r="I567" i="4" s="1"/>
  <c r="G566" i="4"/>
  <c r="H566" i="4" s="1"/>
  <c r="I566" i="4" s="1"/>
  <c r="G565" i="4"/>
  <c r="H565" i="4" s="1"/>
  <c r="I565" i="4" s="1"/>
  <c r="G564" i="4"/>
  <c r="H564" i="4" s="1"/>
  <c r="I564" i="4" s="1"/>
  <c r="G563" i="4"/>
  <c r="H563" i="4" s="1"/>
  <c r="I563" i="4" s="1"/>
  <c r="G562" i="4"/>
  <c r="H562" i="4" s="1"/>
  <c r="I562" i="4" s="1"/>
  <c r="G561" i="4"/>
  <c r="H561" i="4" s="1"/>
  <c r="I561" i="4" s="1"/>
  <c r="G560" i="4"/>
  <c r="H560" i="4" s="1"/>
  <c r="I560" i="4" s="1"/>
  <c r="G559" i="4"/>
  <c r="H559" i="4" s="1"/>
  <c r="I559" i="4" s="1"/>
  <c r="G558" i="4"/>
  <c r="H558" i="4" s="1"/>
  <c r="I558" i="4" s="1"/>
  <c r="G557" i="4"/>
  <c r="H557" i="4" s="1"/>
  <c r="I557" i="4" s="1"/>
  <c r="G556" i="4"/>
  <c r="H556" i="4" s="1"/>
  <c r="I556" i="4" s="1"/>
  <c r="G555" i="4"/>
  <c r="H555" i="4" s="1"/>
  <c r="I555" i="4" s="1"/>
  <c r="G554" i="4"/>
  <c r="H554" i="4" s="1"/>
  <c r="I554" i="4" s="1"/>
  <c r="G553" i="4"/>
  <c r="H553" i="4" s="1"/>
  <c r="I553" i="4" s="1"/>
  <c r="G552" i="4"/>
  <c r="H552" i="4" s="1"/>
  <c r="I552" i="4" s="1"/>
  <c r="G551" i="4"/>
  <c r="H551" i="4" s="1"/>
  <c r="I551" i="4" s="1"/>
  <c r="G550" i="4"/>
  <c r="H550" i="4" s="1"/>
  <c r="I550" i="4" s="1"/>
  <c r="G549" i="4"/>
  <c r="H549" i="4" s="1"/>
  <c r="I549" i="4" s="1"/>
  <c r="G548" i="4"/>
  <c r="H548" i="4" s="1"/>
  <c r="I548" i="4" s="1"/>
  <c r="G547" i="4"/>
  <c r="H547" i="4" s="1"/>
  <c r="I547" i="4" s="1"/>
  <c r="G546" i="4"/>
  <c r="H546" i="4" s="1"/>
  <c r="I546" i="4" s="1"/>
  <c r="G545" i="4"/>
  <c r="H545" i="4" s="1"/>
  <c r="I545" i="4" s="1"/>
  <c r="G544" i="4"/>
  <c r="H544" i="4" s="1"/>
  <c r="I544" i="4" s="1"/>
  <c r="G543" i="4"/>
  <c r="H543" i="4" s="1"/>
  <c r="I543" i="4" s="1"/>
  <c r="G542" i="4"/>
  <c r="H542" i="4" s="1"/>
  <c r="I542" i="4" s="1"/>
  <c r="G541" i="4"/>
  <c r="H541" i="4" s="1"/>
  <c r="I541" i="4" s="1"/>
  <c r="G540" i="4"/>
  <c r="H540" i="4" s="1"/>
  <c r="I540" i="4" s="1"/>
  <c r="G539" i="4"/>
  <c r="H539" i="4" s="1"/>
  <c r="I539" i="4" s="1"/>
  <c r="G538" i="4"/>
  <c r="H538" i="4" s="1"/>
  <c r="I538" i="4" s="1"/>
  <c r="G537" i="4"/>
  <c r="H537" i="4" s="1"/>
  <c r="I537" i="4" s="1"/>
  <c r="G536" i="4"/>
  <c r="H536" i="4" s="1"/>
  <c r="I536" i="4" s="1"/>
  <c r="G535" i="4"/>
  <c r="H535" i="4" s="1"/>
  <c r="I535" i="4" s="1"/>
  <c r="G534" i="4"/>
  <c r="H534" i="4" s="1"/>
  <c r="I534" i="4" s="1"/>
  <c r="G533" i="4"/>
  <c r="H533" i="4" s="1"/>
  <c r="I533" i="4" s="1"/>
  <c r="G532" i="4"/>
  <c r="H532" i="4" s="1"/>
  <c r="I532" i="4" s="1"/>
  <c r="G531" i="4"/>
  <c r="H531" i="4" s="1"/>
  <c r="I531" i="4" s="1"/>
  <c r="G530" i="4"/>
  <c r="H530" i="4" s="1"/>
  <c r="I530" i="4" s="1"/>
  <c r="G529" i="4"/>
  <c r="H529" i="4" s="1"/>
  <c r="I529" i="4" s="1"/>
  <c r="G528" i="4"/>
  <c r="H528" i="4" s="1"/>
  <c r="I528" i="4" s="1"/>
  <c r="G527" i="4"/>
  <c r="H527" i="4" s="1"/>
  <c r="I527" i="4" s="1"/>
  <c r="G526" i="4"/>
  <c r="H526" i="4" s="1"/>
  <c r="I526" i="4" s="1"/>
  <c r="G525" i="4"/>
  <c r="H525" i="4" s="1"/>
  <c r="I525" i="4" s="1"/>
  <c r="G524" i="4"/>
  <c r="H524" i="4" s="1"/>
  <c r="I524" i="4" s="1"/>
  <c r="G6" i="4"/>
  <c r="H6" i="4" s="1"/>
  <c r="I6" i="4" s="1"/>
  <c r="L8" i="2"/>
  <c r="D4" i="5" s="1"/>
  <c r="E4" i="5" s="1"/>
  <c r="B8" i="5" l="1"/>
  <c r="B10" i="5" s="1"/>
  <c r="B9" i="5"/>
  <c r="B11" i="5" l="1"/>
  <c r="F4" i="5"/>
  <c r="F5" i="5"/>
  <c r="F6" i="5"/>
</calcChain>
</file>

<file path=xl/sharedStrings.xml><?xml version="1.0" encoding="utf-8"?>
<sst xmlns="http://schemas.openxmlformats.org/spreadsheetml/2006/main" count="103" uniqueCount="71">
  <si>
    <t>Boltzmann-Matano Analysis — Co/Al Diffusion Couples</t>
  </si>
  <si>
    <t>WORKBOOK STRUCTURE</t>
  </si>
  <si>
    <t xml:space="preserve">  1100C, 1200C, 1300C  —  one sheet per temperature with all calculations</t>
  </si>
  <si>
    <t xml:space="preserve">  Arrhenius             —  collects D_mean from each sheet and fits Q and D0</t>
  </si>
  <si>
    <t>COLUMN LAYOUT (identical on every temperature sheet)</t>
  </si>
  <si>
    <t xml:space="preserve">  Col A   x (μm)                  Position in micrometres (converted from metres)</t>
  </si>
  <si>
    <t xml:space="preserve">  Col B   Wt% Al                  Raw EPMA concentration</t>
  </si>
  <si>
    <t xml:space="preserve">  Col C   c − c_min               Concentration shifted so the Co-rich end = 0</t>
  </si>
  <si>
    <t xml:space="preserve">  Col D   x·(c−c_min)             Used internally to compute the Matano plane</t>
  </si>
  <si>
    <t xml:space="preserve">  Col E   Cum. ∫(c−c_min)dx       Running trapezoid sum from left boundary</t>
  </si>
  <si>
    <t xml:space="preserve">  Col F   dc/dx  (Wt%/μm)         Local concentration slope (central difference)</t>
  </si>
  <si>
    <t xml:space="preserve">  Col G   BM integral  ∫x dc      = (x − xM)·(c−c_min) − cumulative integral</t>
  </si>
  <si>
    <t xml:space="preserve">  Col H   D̃ (m²/s)               Interdiffusion coefficient at this point</t>
  </si>
  <si>
    <t xml:space="preserve">  Col I   D̃ in range             H filtered to Wt% Al ∈ [0.5, 2.5]</t>
  </si>
  <si>
    <t>KEY FORMULAS (row 3 as example)</t>
  </si>
  <si>
    <t xml:space="preserve">  C3  =B3-$B$2                                 c_min is fixed at the first data point</t>
  </si>
  <si>
    <t xml:space="preserve">  D3  =A3*C3</t>
  </si>
  <si>
    <t xml:space="preserve">  E2  =0   (boundary condition at left edge)</t>
  </si>
  <si>
    <t xml:space="preserve">  E3  =E2+(C2+C3)/2*(A3-A2)                   Trapezoid rule — accumulates left to right</t>
  </si>
  <si>
    <t xml:space="preserve">  F2  =(B3-B2)/(A3-A2)                         Forward difference at first point</t>
  </si>
  <si>
    <t xml:space="preserve">  F3  =(B4-B2)/(A4-A2)                         Central difference (interior points)</t>
  </si>
  <si>
    <t xml:space="preserve">  G3  =(A3-$L$5)*C3-E3                         $L$5 is the Matano plane xM</t>
  </si>
  <si>
    <t xml:space="preserve">  H3  =-G3/(2*$L$4*F3)*1E-12                   $L$4 is anneal time in seconds</t>
  </si>
  <si>
    <t xml:space="preserve">        The *1E-12 converts μm²/s to m²/s</t>
  </si>
  <si>
    <t xml:space="preserve">  I3  =IF(AND(B3&gt;=0.5,B3&lt;=2.5,H3&gt;0),H3,"")   Filter valid concentration range</t>
  </si>
  <si>
    <t>MATANO PLANE xM (parameter block, cell L5 on each sheet)</t>
  </si>
  <si>
    <t xml:space="preserve">  xM = [∫ x·(c−c_min) dx] / [∫ (c−c_min) dx]</t>
  </si>
  <si>
    <t xml:space="preserve">  Both integrals are computed with SUMPRODUCT using the trapezoid rule.</t>
  </si>
  <si>
    <t xml:space="preserve">  The formula is already in cells M5 (numerator) and M6 (denominator).</t>
  </si>
  <si>
    <t xml:space="preserve">  L5 = M5/M6  (shown in red — the value you need for G column formulas)</t>
  </si>
  <si>
    <t>ARRHENIUS SHEET</t>
  </si>
  <si>
    <t xml:space="preserve">  Reads D_mean via AVERAGEIFS from each temperature sheet automatically.</t>
  </si>
  <si>
    <t xml:space="preserve">  ln(D_mean) and 1/T are computed, then SLOPE() and INTERCEPT() give:</t>
  </si>
  <si>
    <t xml:space="preserve">    Q  = -SLOPE × 8.314 / 1000   [kJ/mol]</t>
  </si>
  <si>
    <t xml:space="preserve">    D0 = EXP(INTERCEPT)           [m²/s]</t>
  </si>
  <si>
    <t xml:space="preserve">  To plot: select columns C and E (1/T and ln D_mean) → Insert → Scatter.</t>
  </si>
  <si>
    <t>x (μm)</t>
  </si>
  <si>
    <t>Wt% Al</t>
  </si>
  <si>
    <t>c − c_min</t>
  </si>
  <si>
    <t>x·(c−c_min)</t>
  </si>
  <si>
    <t>Cum ∫(c−c_min)dx</t>
  </si>
  <si>
    <t>dc/dx (Wt%/μm)</t>
  </si>
  <si>
    <t>BM integral</t>
  </si>
  <si>
    <t>D̃ (m²/s)</t>
  </si>
  <si>
    <t>D̃ [0.5–2.5]</t>
  </si>
  <si>
    <t>Parameters — 1100°C</t>
  </si>
  <si>
    <t>Temperature (°C)</t>
  </si>
  <si>
    <t>Anneal time (h)</t>
  </si>
  <si>
    <t>Anneal time t (s)</t>
  </si>
  <si>
    <t>Matano plane xM (μm)</t>
  </si>
  <si>
    <t>c_min (Wt% Al)</t>
  </si>
  <si>
    <t>D̄ in [0.5, 2.5] (m²/s)</t>
  </si>
  <si>
    <t>← used by Arrhenius sheet</t>
  </si>
  <si>
    <t>Parameters — 1200°C</t>
  </si>
  <si>
    <t>Parameters — 1300°C</t>
  </si>
  <si>
    <t>Arrhenius Analysis — Co/Al Interdiffusion</t>
  </si>
  <si>
    <t>T (°C)</t>
  </si>
  <si>
    <t>T (K)</t>
  </si>
  <si>
    <t>1/T (K⁻¹)</t>
  </si>
  <si>
    <t>D̄ (m²/s)</t>
  </si>
  <si>
    <t>ln(D̄)</t>
  </si>
  <si>
    <t>Fit ln(D̄)</t>
  </si>
  <si>
    <t>Slope  (= −Q/R)</t>
  </si>
  <si>
    <t>K</t>
  </si>
  <si>
    <t>Intercept (= ln D₀)</t>
  </si>
  <si>
    <t>—</t>
  </si>
  <si>
    <t>Q  (kJ/mol)</t>
  </si>
  <si>
    <t>kJ/mol</t>
  </si>
  <si>
    <t>D₀  (m²/s)</t>
  </si>
  <si>
    <t>m²/s</t>
  </si>
  <si>
    <t>Chart tip: select C4:C6 and E4:E6 (hold Ctrl) → Insert → Scatter. Right-click data → Add Trendline → Linear → tick "Display equation".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</si>
</sst>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164" formatCode="0.0"/>
    <numFmt numFmtId="165" formatCode="0.0000"/>
    <numFmt numFmtId="166" formatCode="0.000000"/>
    <numFmt numFmtId="167" formatCode="0.000E+00"/>
    <numFmt numFmtId="168" formatCode="0.0000000"/>
    <numFmt numFmtId="169" formatCode="0.00000"/>
  </numFmts>
  <fonts count="11" x14ac:knownFonts="1">
    <font>
      <sz val="11"/>
      <color theme="1"/>
      <name val="Calibri"/>
      <family val="2"/>
      <scheme val="minor"/>
    </font>
    <font>
      <b/>
      <sz val="14"/>
      <name val="Arial"/>
      <family val="2"/>
    </font>
    <font>
      <sz val="10"/>
      <name val="Arial"/>
      <family val="2"/>
    </font>
    <font>
      <b/>
      <sz val="11"/>
      <name val="Arial"/>
      <family val="2"/>
    </font>
    <font>
      <b/>
      <sz val="10"/>
      <color rgb="FFFFFFFF"/>
      <name val="Arial"/>
      <family val="2"/>
    </font>
    <font>
      <b/>
      <sz val="10"/>
      <name val="Arial"/>
      <family val="2"/>
    </font>
    <font>
      <b/>
      <sz val="10"/>
      <color rgb="FFC00000"/>
      <name val="Arial"/>
      <family val="2"/>
    </font>
    <font>
      <i/>
      <sz val="9"/>
      <color rgb="FF888888"/>
      <name val="Arial"/>
      <family val="2"/>
    </font>
    <font>
      <b/>
      <sz val="13"/>
      <color rgb="FFFFFFFF"/>
      <name val="Arial"/>
      <family val="2"/>
    </font>
    <font>
      <sz val="10"/>
      <color rgb="FF006600"/>
      <name val="Arial"/>
      <family val="2"/>
    </font>
    <font>
      <i/>
      <sz val="9"/>
      <color rgb="FF555555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rgb="FF1F4E79"/>
      </patternFill>
    </fill>
    <fill>
      <patternFill patternType="solid">
        <fgColor rgb="FFFFF2CC"/>
      </patternFill>
    </fill>
    <fill>
      <patternFill patternType="solid">
        <fgColor rgb="FFFCE4D6"/>
      </patternFill>
    </fill>
    <fill>
      <patternFill patternType="solid">
        <fgColor rgb="FFE2EFDA"/>
      </patternFill>
    </fill>
  </fills>
  <borders count="2">
    <border>
      <left/>
      <right/>
      <top/>
      <bottom/>
      <diagonal/>
    </border>
    <border>
      <left style="thin">
        <color rgb="FFBBBBBB"/>
      </left>
      <right style="thin">
        <color rgb="FFBBBBBB"/>
      </right>
      <top style="thin">
        <color rgb="FFBBBBBB"/>
      </top>
      <bottom style="thin">
        <color rgb="FFBBBBBB"/>
      </bottom>
      <diagonal/>
    </border>
  </borders>
  <cellStyleXfs count="1">
    <xf numFmtId="0" fontId="0" fillId="0" borderId="0"/>
  </cellStyleXfs>
  <cellXfs count="31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0" fontId="4" fillId="2" borderId="1" xfId="0" applyFont="1" applyFill="1" applyBorder="1" applyAlignment="1">
      <alignment horizontal="center" wrapText="1"/>
    </xf>
    <xf numFmtId="165" fontId="2" fillId="0" borderId="1" xfId="0" applyNumberFormat="1" applyFont="1" applyBorder="1" applyAlignment="1">
      <alignment horizontal="right"/>
    </xf>
    <xf numFmtId="166" fontId="2" fillId="0" borderId="1" xfId="0" applyNumberFormat="1" applyFont="1" applyBorder="1" applyAlignment="1">
      <alignment horizontal="right"/>
    </xf>
    <xf numFmtId="167" fontId="2" fillId="5" borderId="1" xfId="0" applyNumberFormat="1" applyFont="1" applyFill="1" applyBorder="1" applyAlignment="1">
      <alignment horizontal="right"/>
    </xf>
    <xf numFmtId="167" fontId="2" fillId="0" borderId="1" xfId="0" applyNumberFormat="1" applyFont="1" applyBorder="1" applyAlignment="1">
      <alignment horizontal="right"/>
    </xf>
    <xf numFmtId="0" fontId="5" fillId="0" borderId="0" xfId="0" applyFont="1" applyAlignment="1">
      <alignment horizontal="left"/>
    </xf>
    <xf numFmtId="1" fontId="5" fillId="3" borderId="1" xfId="0" applyNumberFormat="1" applyFont="1" applyFill="1" applyBorder="1" applyAlignment="1">
      <alignment horizontal="right"/>
    </xf>
    <xf numFmtId="164" fontId="5" fillId="3" borderId="1" xfId="0" applyNumberFormat="1" applyFont="1" applyFill="1" applyBorder="1" applyAlignment="1">
      <alignment horizontal="right"/>
    </xf>
    <xf numFmtId="165" fontId="6" fillId="4" borderId="1" xfId="0" applyNumberFormat="1" applyFont="1" applyFill="1" applyBorder="1" applyAlignment="1">
      <alignment horizontal="right"/>
    </xf>
    <xf numFmtId="2" fontId="2" fillId="0" borderId="0" xfId="0" applyNumberFormat="1" applyFont="1"/>
    <xf numFmtId="166" fontId="5" fillId="3" borderId="1" xfId="0" applyNumberFormat="1" applyFont="1" applyFill="1" applyBorder="1" applyAlignment="1">
      <alignment horizontal="right"/>
    </xf>
    <xf numFmtId="167" fontId="6" fillId="0" borderId="1" xfId="0" applyNumberFormat="1" applyFont="1" applyBorder="1"/>
    <xf numFmtId="0" fontId="7" fillId="0" borderId="0" xfId="0" applyFont="1"/>
    <xf numFmtId="1" fontId="2" fillId="0" borderId="1" xfId="0" applyNumberFormat="1" applyFont="1" applyBorder="1" applyAlignment="1">
      <alignment horizontal="right"/>
    </xf>
    <xf numFmtId="2" fontId="2" fillId="0" borderId="1" xfId="0" applyNumberFormat="1" applyFont="1" applyBorder="1" applyAlignment="1">
      <alignment horizontal="right"/>
    </xf>
    <xf numFmtId="168" fontId="2" fillId="0" borderId="1" xfId="0" applyNumberFormat="1" applyFont="1" applyBorder="1" applyAlignment="1">
      <alignment horizontal="right"/>
    </xf>
    <xf numFmtId="167" fontId="9" fillId="0" borderId="1" xfId="0" applyNumberFormat="1" applyFont="1" applyBorder="1" applyAlignment="1">
      <alignment horizontal="right"/>
    </xf>
    <xf numFmtId="169" fontId="2" fillId="0" borderId="1" xfId="0" applyNumberFormat="1" applyFont="1" applyBorder="1" applyAlignment="1">
      <alignment horizontal="right"/>
    </xf>
    <xf numFmtId="0" fontId="5" fillId="0" borderId="1" xfId="0" applyFont="1" applyBorder="1" applyAlignment="1">
      <alignment horizontal="left"/>
    </xf>
    <xf numFmtId="164" fontId="6" fillId="0" borderId="1" xfId="0" applyNumberFormat="1" applyFont="1" applyBorder="1" applyAlignment="1">
      <alignment horizontal="right"/>
    </xf>
    <xf numFmtId="0" fontId="2" fillId="0" borderId="0" xfId="0" applyFont="1" applyAlignment="1">
      <alignment horizontal="left"/>
    </xf>
    <xf numFmtId="165" fontId="6" fillId="0" borderId="1" xfId="0" applyNumberFormat="1" applyFont="1" applyBorder="1" applyAlignment="1">
      <alignment horizontal="right"/>
    </xf>
    <xf numFmtId="167" fontId="6" fillId="0" borderId="1" xfId="0" applyNumberFormat="1" applyFont="1" applyBorder="1" applyAlignment="1">
      <alignment horizontal="right"/>
    </xf>
    <xf numFmtId="0" fontId="4" fillId="2" borderId="0" xfId="0" applyFont="1" applyFill="1" applyAlignment="1">
      <alignment horizontal="center"/>
    </xf>
    <xf numFmtId="0" fontId="0" fillId="0" borderId="0" xfId="0"/>
    <xf numFmtId="0" fontId="10" fillId="0" borderId="0" xfId="0" applyFont="1"/>
    <xf numFmtId="0" fontId="8" fillId="2" borderId="0" xfId="0" applyFont="1" applyFill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41"/>
  <sheetViews>
    <sheetView workbookViewId="0"/>
  </sheetViews>
  <sheetFormatPr baseColWidth="10" defaultColWidth="8.83203125" defaultRowHeight="15" x14ac:dyDescent="0.2"/>
  <cols>
    <col min="1" max="1" width="110" customWidth="1"/>
  </cols>
  <sheetData>
    <row r="1" spans="1:1" ht="18" x14ac:dyDescent="0.2">
      <c r="A1" s="1" t="s">
        <v>0</v>
      </c>
    </row>
    <row r="2" spans="1:1" x14ac:dyDescent="0.2">
      <c r="A2" s="2"/>
    </row>
    <row r="3" spans="1:1" x14ac:dyDescent="0.2">
      <c r="A3" s="3" t="s">
        <v>1</v>
      </c>
    </row>
    <row r="4" spans="1:1" x14ac:dyDescent="0.2">
      <c r="A4" s="2" t="s">
        <v>2</v>
      </c>
    </row>
    <row r="5" spans="1:1" x14ac:dyDescent="0.2">
      <c r="A5" s="2" t="s">
        <v>3</v>
      </c>
    </row>
    <row r="6" spans="1:1" x14ac:dyDescent="0.2">
      <c r="A6" s="2"/>
    </row>
    <row r="7" spans="1:1" x14ac:dyDescent="0.2">
      <c r="A7" s="3" t="s">
        <v>4</v>
      </c>
    </row>
    <row r="8" spans="1:1" x14ac:dyDescent="0.2">
      <c r="A8" s="2" t="s">
        <v>5</v>
      </c>
    </row>
    <row r="9" spans="1:1" x14ac:dyDescent="0.2">
      <c r="A9" s="2" t="s">
        <v>6</v>
      </c>
    </row>
    <row r="10" spans="1:1" x14ac:dyDescent="0.2">
      <c r="A10" s="2" t="s">
        <v>7</v>
      </c>
    </row>
    <row r="11" spans="1:1" x14ac:dyDescent="0.2">
      <c r="A11" s="2" t="s">
        <v>8</v>
      </c>
    </row>
    <row r="12" spans="1:1" x14ac:dyDescent="0.2">
      <c r="A12" s="2" t="s">
        <v>9</v>
      </c>
    </row>
    <row r="13" spans="1:1" x14ac:dyDescent="0.2">
      <c r="A13" s="2" t="s">
        <v>10</v>
      </c>
    </row>
    <row r="14" spans="1:1" x14ac:dyDescent="0.2">
      <c r="A14" s="2" t="s">
        <v>11</v>
      </c>
    </row>
    <row r="15" spans="1:1" x14ac:dyDescent="0.2">
      <c r="A15" s="2" t="s">
        <v>12</v>
      </c>
    </row>
    <row r="16" spans="1:1" x14ac:dyDescent="0.2">
      <c r="A16" s="2" t="s">
        <v>13</v>
      </c>
    </row>
    <row r="17" spans="1:1" x14ac:dyDescent="0.2">
      <c r="A17" s="2"/>
    </row>
    <row r="18" spans="1:1" x14ac:dyDescent="0.2">
      <c r="A18" s="3" t="s">
        <v>14</v>
      </c>
    </row>
    <row r="19" spans="1:1" x14ac:dyDescent="0.2">
      <c r="A19" s="2" t="s">
        <v>15</v>
      </c>
    </row>
    <row r="20" spans="1:1" x14ac:dyDescent="0.2">
      <c r="A20" s="2" t="s">
        <v>16</v>
      </c>
    </row>
    <row r="21" spans="1:1" x14ac:dyDescent="0.2">
      <c r="A21" s="2" t="s">
        <v>17</v>
      </c>
    </row>
    <row r="22" spans="1:1" x14ac:dyDescent="0.2">
      <c r="A22" s="2" t="s">
        <v>18</v>
      </c>
    </row>
    <row r="23" spans="1:1" x14ac:dyDescent="0.2">
      <c r="A23" s="2" t="s">
        <v>19</v>
      </c>
    </row>
    <row r="24" spans="1:1" x14ac:dyDescent="0.2">
      <c r="A24" s="2" t="s">
        <v>20</v>
      </c>
    </row>
    <row r="25" spans="1:1" x14ac:dyDescent="0.2">
      <c r="A25" s="2" t="s">
        <v>21</v>
      </c>
    </row>
    <row r="26" spans="1:1" x14ac:dyDescent="0.2">
      <c r="A26" s="2" t="s">
        <v>22</v>
      </c>
    </row>
    <row r="27" spans="1:1" x14ac:dyDescent="0.2">
      <c r="A27" s="2" t="s">
        <v>23</v>
      </c>
    </row>
    <row r="28" spans="1:1" x14ac:dyDescent="0.2">
      <c r="A28" s="2" t="s">
        <v>24</v>
      </c>
    </row>
    <row r="29" spans="1:1" x14ac:dyDescent="0.2">
      <c r="A29" s="2"/>
    </row>
    <row r="30" spans="1:1" x14ac:dyDescent="0.2">
      <c r="A30" s="3" t="s">
        <v>25</v>
      </c>
    </row>
    <row r="31" spans="1:1" x14ac:dyDescent="0.2">
      <c r="A31" s="2" t="s">
        <v>26</v>
      </c>
    </row>
    <row r="32" spans="1:1" x14ac:dyDescent="0.2">
      <c r="A32" s="2" t="s">
        <v>27</v>
      </c>
    </row>
    <row r="33" spans="1:1" x14ac:dyDescent="0.2">
      <c r="A33" s="2" t="s">
        <v>28</v>
      </c>
    </row>
    <row r="34" spans="1:1" x14ac:dyDescent="0.2">
      <c r="A34" s="2" t="s">
        <v>29</v>
      </c>
    </row>
    <row r="35" spans="1:1" x14ac:dyDescent="0.2">
      <c r="A35" s="2"/>
    </row>
    <row r="36" spans="1:1" x14ac:dyDescent="0.2">
      <c r="A36" s="3" t="s">
        <v>30</v>
      </c>
    </row>
    <row r="37" spans="1:1" x14ac:dyDescent="0.2">
      <c r="A37" s="2" t="s">
        <v>31</v>
      </c>
    </row>
    <row r="38" spans="1:1" x14ac:dyDescent="0.2">
      <c r="A38" s="2" t="s">
        <v>32</v>
      </c>
    </row>
    <row r="39" spans="1:1" x14ac:dyDescent="0.2">
      <c r="A39" s="2" t="s">
        <v>33</v>
      </c>
    </row>
    <row r="40" spans="1:1" x14ac:dyDescent="0.2">
      <c r="A40" s="2" t="s">
        <v>34</v>
      </c>
    </row>
    <row r="41" spans="1:1" x14ac:dyDescent="0.2">
      <c r="A41" s="2" t="s">
        <v>35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M1001"/>
  <sheetViews>
    <sheetView workbookViewId="0">
      <pane ySplit="1" topLeftCell="A2" activePane="bottomLeft" state="frozen"/>
      <selection pane="bottomLeft"/>
    </sheetView>
  </sheetViews>
  <sheetFormatPr baseColWidth="10" defaultColWidth="8.83203125" defaultRowHeight="15" x14ac:dyDescent="0.2"/>
  <cols>
    <col min="1" max="1" width="10" customWidth="1"/>
    <col min="2" max="3" width="12" customWidth="1"/>
    <col min="4" max="4" width="14" customWidth="1"/>
    <col min="5" max="5" width="16" customWidth="1"/>
    <col min="6" max="6" width="14" customWidth="1"/>
    <col min="7" max="7" width="16" customWidth="1"/>
    <col min="8" max="9" width="14" customWidth="1"/>
    <col min="11" max="14" width="20" customWidth="1"/>
  </cols>
  <sheetData>
    <row r="1" spans="1:13" x14ac:dyDescent="0.2">
      <c r="A1" s="4" t="s">
        <v>36</v>
      </c>
      <c r="B1" s="4" t="s">
        <v>37</v>
      </c>
      <c r="C1" s="4" t="s">
        <v>38</v>
      </c>
      <c r="D1" s="4" t="s">
        <v>39</v>
      </c>
      <c r="E1" s="4" t="s">
        <v>40</v>
      </c>
      <c r="F1" s="4" t="s">
        <v>41</v>
      </c>
      <c r="G1" s="4" t="s">
        <v>42</v>
      </c>
      <c r="H1" s="4" t="s">
        <v>43</v>
      </c>
      <c r="I1" s="4" t="s">
        <v>44</v>
      </c>
      <c r="K1" s="27" t="s">
        <v>45</v>
      </c>
      <c r="L1" s="28"/>
      <c r="M1" s="28"/>
    </row>
    <row r="2" spans="1:13" x14ac:dyDescent="0.2">
      <c r="A2" s="5">
        <v>1</v>
      </c>
      <c r="B2" s="6">
        <v>9.0999999999999998E-2</v>
      </c>
      <c r="C2" s="6">
        <f t="shared" ref="C2:C65" si="0">B2-$B$2</f>
        <v>0</v>
      </c>
      <c r="D2" s="6">
        <f t="shared" ref="D2:D65" si="1">A2*C2</f>
        <v>0</v>
      </c>
      <c r="E2" s="6">
        <v>0</v>
      </c>
      <c r="F2" s="6">
        <f>(B3-B2)/(A3-A2)</f>
        <v>5.6670000000000054E-3</v>
      </c>
      <c r="G2" s="6">
        <f t="shared" ref="G2:G65" si="2">(A2-$L$5)*C2-E2</f>
        <v>0</v>
      </c>
      <c r="H2" s="7">
        <f t="shared" ref="H2:H65" si="3">IF(ABS(F2)&lt;0.000000001,"",-(G2)/(2*$L$4*F2)*0.000000000001)</f>
        <v>0</v>
      </c>
      <c r="I2" s="8" t="str">
        <f t="shared" ref="I2:I65" si="4">IF(AND(B2&gt;=0.5,B2&lt;=2.5,ISNUMBER(H2),H2&gt;0),H2,"")</f>
        <v/>
      </c>
      <c r="K2" s="9" t="s">
        <v>46</v>
      </c>
      <c r="L2" s="10">
        <v>1100</v>
      </c>
    </row>
    <row r="3" spans="1:13" x14ac:dyDescent="0.2">
      <c r="A3" s="5">
        <v>2</v>
      </c>
      <c r="B3" s="6">
        <v>9.6667000000000003E-2</v>
      </c>
      <c r="C3" s="6">
        <f t="shared" si="0"/>
        <v>5.6670000000000054E-3</v>
      </c>
      <c r="D3" s="6">
        <f t="shared" si="1"/>
        <v>1.1334000000000011E-2</v>
      </c>
      <c r="E3" s="6">
        <f t="shared" ref="E3:E66" si="5">E2+(C2+C3)/2*(A3-A2)</f>
        <v>2.8335000000000027E-3</v>
      </c>
      <c r="F3" s="6">
        <f t="shared" ref="F3:F66" si="6">(B4-B2)/(A4-A2)</f>
        <v>1.0000000000000009E-3</v>
      </c>
      <c r="G3" s="6">
        <f t="shared" si="2"/>
        <v>-4.2284100728933085</v>
      </c>
      <c r="H3" s="7">
        <f t="shared" si="3"/>
        <v>2.9217869492076455E-15</v>
      </c>
      <c r="I3" s="8" t="str">
        <f t="shared" si="4"/>
        <v/>
      </c>
      <c r="K3" s="9" t="s">
        <v>47</v>
      </c>
      <c r="L3" s="11">
        <v>201</v>
      </c>
    </row>
    <row r="4" spans="1:13" x14ac:dyDescent="0.2">
      <c r="A4" s="5">
        <v>3</v>
      </c>
      <c r="B4" s="6">
        <v>9.2999999999999999E-2</v>
      </c>
      <c r="C4" s="6">
        <f t="shared" si="0"/>
        <v>2.0000000000000018E-3</v>
      </c>
      <c r="D4" s="6">
        <f t="shared" si="1"/>
        <v>6.0000000000000053E-3</v>
      </c>
      <c r="E4" s="6">
        <f t="shared" si="5"/>
        <v>6.6670000000000063E-3</v>
      </c>
      <c r="F4" s="6">
        <f t="shared" si="6"/>
        <v>-2.0480000000000012E-3</v>
      </c>
      <c r="G4" s="6">
        <f t="shared" si="2"/>
        <v>-1.4959592438303539</v>
      </c>
      <c r="H4" s="7">
        <f t="shared" si="3"/>
        <v>-5.0473248308909585E-16</v>
      </c>
      <c r="I4" s="8" t="str">
        <f t="shared" si="4"/>
        <v/>
      </c>
      <c r="K4" s="9" t="s">
        <v>48</v>
      </c>
      <c r="L4" s="10">
        <v>723600</v>
      </c>
    </row>
    <row r="5" spans="1:13" x14ac:dyDescent="0.2">
      <c r="A5" s="5">
        <v>4</v>
      </c>
      <c r="B5" s="6">
        <v>9.2571000000000001E-2</v>
      </c>
      <c r="C5" s="6">
        <f t="shared" si="0"/>
        <v>1.5710000000000029E-3</v>
      </c>
      <c r="D5" s="6">
        <f t="shared" si="1"/>
        <v>6.2840000000000118E-3</v>
      </c>
      <c r="E5" s="6">
        <f t="shared" si="5"/>
        <v>8.4525000000000086E-3</v>
      </c>
      <c r="F5" s="6">
        <f t="shared" si="6"/>
        <v>-2.2199999999999998E-4</v>
      </c>
      <c r="G5" s="6">
        <f t="shared" si="2"/>
        <v>-1.176720557528744</v>
      </c>
      <c r="H5" s="7">
        <f t="shared" si="3"/>
        <v>-3.662619577066943E-15</v>
      </c>
      <c r="I5" s="8" t="str">
        <f t="shared" si="4"/>
        <v/>
      </c>
      <c r="K5" s="9" t="s">
        <v>49</v>
      </c>
      <c r="L5" s="12">
        <f>M5/M6</f>
        <v>747.64612191517631</v>
      </c>
      <c r="M5" s="13">
        <f>SUMPRODUCT((A2:A1000+A3:A1001)/2*(C2:C1000+C3:C1001)/2*(A3:A1001-A2:A1000))</f>
        <v>1039167.3034030001</v>
      </c>
    </row>
    <row r="6" spans="1:13" x14ac:dyDescent="0.2">
      <c r="A6" s="5">
        <v>5</v>
      </c>
      <c r="B6" s="6">
        <v>9.2555999999999999E-2</v>
      </c>
      <c r="C6" s="6">
        <f t="shared" si="0"/>
        <v>1.5560000000000018E-3</v>
      </c>
      <c r="D6" s="6">
        <f t="shared" si="1"/>
        <v>7.7800000000000091E-3</v>
      </c>
      <c r="E6" s="6">
        <f t="shared" si="5"/>
        <v>1.0016000000000011E-2</v>
      </c>
      <c r="F6" s="6">
        <f t="shared" si="6"/>
        <v>-1.1945000000000011E-3</v>
      </c>
      <c r="G6" s="6">
        <f t="shared" si="2"/>
        <v>-1.1655733657000158</v>
      </c>
      <c r="H6" s="7">
        <f t="shared" si="3"/>
        <v>-6.7425613531570937E-16</v>
      </c>
      <c r="I6" s="8" t="str">
        <f t="shared" si="4"/>
        <v/>
      </c>
      <c r="K6" s="9" t="s">
        <v>50</v>
      </c>
      <c r="L6" s="14">
        <v>9.0999999999999998E-2</v>
      </c>
      <c r="M6" s="13">
        <f>SUMPRODUCT((C2:C1000+C3:C1001)/2*(A3:A1001-A2:A1000))</f>
        <v>1389.9186700000005</v>
      </c>
    </row>
    <row r="7" spans="1:13" x14ac:dyDescent="0.2">
      <c r="A7" s="5">
        <v>6</v>
      </c>
      <c r="B7" s="6">
        <v>9.0181999999999998E-2</v>
      </c>
      <c r="C7" s="6">
        <f t="shared" si="0"/>
        <v>-8.1799999999999928E-4</v>
      </c>
      <c r="D7" s="6">
        <f t="shared" si="1"/>
        <v>-4.9079999999999957E-3</v>
      </c>
      <c r="E7" s="6">
        <f t="shared" si="5"/>
        <v>1.0385000000000012E-2</v>
      </c>
      <c r="F7" s="6">
        <f t="shared" si="6"/>
        <v>-1.7010000000000011E-3</v>
      </c>
      <c r="G7" s="6">
        <f t="shared" si="2"/>
        <v>0.59628152772661369</v>
      </c>
      <c r="H7" s="7">
        <f t="shared" si="3"/>
        <v>2.4222473420937205E-16</v>
      </c>
      <c r="I7" s="8" t="str">
        <f t="shared" si="4"/>
        <v/>
      </c>
    </row>
    <row r="8" spans="1:13" x14ac:dyDescent="0.2">
      <c r="A8" s="5">
        <v>7</v>
      </c>
      <c r="B8" s="6">
        <v>8.9153999999999997E-2</v>
      </c>
      <c r="C8" s="6">
        <f t="shared" si="0"/>
        <v>-1.8460000000000004E-3</v>
      </c>
      <c r="D8" s="6">
        <f t="shared" si="1"/>
        <v>-1.2922000000000003E-2</v>
      </c>
      <c r="E8" s="6">
        <f t="shared" si="5"/>
        <v>9.0530000000000124E-3</v>
      </c>
      <c r="F8" s="6">
        <f t="shared" si="6"/>
        <v>-2.4499999999996747E-5</v>
      </c>
      <c r="G8" s="6">
        <f t="shared" si="2"/>
        <v>1.3581797410554157</v>
      </c>
      <c r="H8" s="7">
        <f t="shared" si="3"/>
        <v>3.8305630042970971E-14</v>
      </c>
      <c r="I8" s="8" t="str">
        <f t="shared" si="4"/>
        <v/>
      </c>
      <c r="K8" s="9" t="s">
        <v>51</v>
      </c>
      <c r="L8" s="15">
        <f>AVERAGEIFS(I2:I1001,B2:B1001,"&gt;="&amp;0.5,B2:B1001,"&lt;="&amp;2.5,I2:I1001,"&gt;"&amp;0)</f>
        <v>2.912596872611899E-14</v>
      </c>
    </row>
    <row r="9" spans="1:13" x14ac:dyDescent="0.2">
      <c r="A9" s="5">
        <v>8</v>
      </c>
      <c r="B9" s="6">
        <v>9.0133000000000005E-2</v>
      </c>
      <c r="C9" s="6">
        <f t="shared" si="0"/>
        <v>-8.6699999999999278E-4</v>
      </c>
      <c r="D9" s="6">
        <f t="shared" si="1"/>
        <v>-6.9359999999999422E-3</v>
      </c>
      <c r="E9" s="6">
        <f t="shared" si="5"/>
        <v>7.6965000000000158E-3</v>
      </c>
      <c r="F9" s="6">
        <f t="shared" si="6"/>
        <v>-3.4150000000000152E-4</v>
      </c>
      <c r="G9" s="6">
        <f t="shared" si="2"/>
        <v>0.6335766877004525</v>
      </c>
      <c r="H9" s="7">
        <f t="shared" si="3"/>
        <v>1.2819760958111057E-15</v>
      </c>
      <c r="I9" s="8" t="str">
        <f t="shared" si="4"/>
        <v/>
      </c>
      <c r="K9" s="16" t="s">
        <v>52</v>
      </c>
    </row>
    <row r="10" spans="1:13" x14ac:dyDescent="0.2">
      <c r="A10" s="5">
        <v>9</v>
      </c>
      <c r="B10" s="6">
        <v>8.8470999999999994E-2</v>
      </c>
      <c r="C10" s="6">
        <f t="shared" si="0"/>
        <v>-2.5290000000000035E-3</v>
      </c>
      <c r="D10" s="6">
        <f t="shared" si="1"/>
        <v>-2.2761000000000031E-2</v>
      </c>
      <c r="E10" s="6">
        <f t="shared" si="5"/>
        <v>5.9985000000000177E-3</v>
      </c>
      <c r="F10" s="6">
        <f t="shared" si="6"/>
        <v>-2.5050000000000072E-4</v>
      </c>
      <c r="G10" s="6">
        <f t="shared" si="2"/>
        <v>1.8620375423234834</v>
      </c>
      <c r="H10" s="7">
        <f t="shared" si="3"/>
        <v>5.1363208969663704E-15</v>
      </c>
      <c r="I10" s="8" t="str">
        <f t="shared" si="4"/>
        <v/>
      </c>
    </row>
    <row r="11" spans="1:13" x14ac:dyDescent="0.2">
      <c r="A11" s="5">
        <v>10</v>
      </c>
      <c r="B11" s="6">
        <v>8.9632000000000003E-2</v>
      </c>
      <c r="C11" s="6">
        <f t="shared" si="0"/>
        <v>-1.3679999999999942E-3</v>
      </c>
      <c r="D11" s="6">
        <f t="shared" si="1"/>
        <v>-1.3679999999999942E-2</v>
      </c>
      <c r="E11" s="6">
        <f t="shared" si="5"/>
        <v>4.0500000000000189E-3</v>
      </c>
      <c r="F11" s="6">
        <f t="shared" si="6"/>
        <v>5.5000000000000188E-4</v>
      </c>
      <c r="G11" s="6">
        <f t="shared" si="2"/>
        <v>1.0050498947799569</v>
      </c>
      <c r="H11" s="7">
        <f t="shared" si="3"/>
        <v>-1.2626889476606279E-15</v>
      </c>
      <c r="I11" s="8" t="str">
        <f t="shared" si="4"/>
        <v/>
      </c>
    </row>
    <row r="12" spans="1:13" x14ac:dyDescent="0.2">
      <c r="A12" s="5">
        <v>11</v>
      </c>
      <c r="B12" s="6">
        <v>8.9570999999999998E-2</v>
      </c>
      <c r="C12" s="6">
        <f t="shared" si="0"/>
        <v>-1.4289999999999997E-3</v>
      </c>
      <c r="D12" s="6">
        <f t="shared" si="1"/>
        <v>-1.5718999999999997E-2</v>
      </c>
      <c r="E12" s="6">
        <f t="shared" si="5"/>
        <v>2.6515000000000219E-3</v>
      </c>
      <c r="F12" s="6">
        <f t="shared" si="6"/>
        <v>-1.5550000000000008E-3</v>
      </c>
      <c r="G12" s="6">
        <f t="shared" si="2"/>
        <v>1.0500158082167868</v>
      </c>
      <c r="H12" s="7">
        <f t="shared" si="3"/>
        <v>4.6659157242404726E-16</v>
      </c>
      <c r="I12" s="8" t="str">
        <f t="shared" si="4"/>
        <v/>
      </c>
    </row>
    <row r="13" spans="1:13" x14ac:dyDescent="0.2">
      <c r="A13" s="5">
        <v>12</v>
      </c>
      <c r="B13" s="6">
        <v>8.6522000000000002E-2</v>
      </c>
      <c r="C13" s="6">
        <f t="shared" si="0"/>
        <v>-4.4779999999999959E-3</v>
      </c>
      <c r="D13" s="6">
        <f t="shared" si="1"/>
        <v>-5.373599999999995E-2</v>
      </c>
      <c r="E13" s="6">
        <f t="shared" si="5"/>
        <v>-3.019999999999759E-4</v>
      </c>
      <c r="F13" s="6">
        <f t="shared" si="6"/>
        <v>-1.6655000000000003E-3</v>
      </c>
      <c r="G13" s="6">
        <f t="shared" si="2"/>
        <v>3.2945253339361567</v>
      </c>
      <c r="H13" s="7">
        <f t="shared" si="3"/>
        <v>1.3668462342944189E-15</v>
      </c>
      <c r="I13" s="8" t="str">
        <f t="shared" si="4"/>
        <v/>
      </c>
    </row>
    <row r="14" spans="1:13" x14ac:dyDescent="0.2">
      <c r="A14" s="5">
        <v>13</v>
      </c>
      <c r="B14" s="6">
        <v>8.6239999999999997E-2</v>
      </c>
      <c r="C14" s="6">
        <f t="shared" si="0"/>
        <v>-4.7600000000000003E-3</v>
      </c>
      <c r="D14" s="6">
        <f t="shared" si="1"/>
        <v>-6.1880000000000004E-2</v>
      </c>
      <c r="E14" s="6">
        <f t="shared" si="5"/>
        <v>-4.920999999999974E-3</v>
      </c>
      <c r="F14" s="6">
        <f t="shared" si="6"/>
        <v>-1.4645000000000005E-3</v>
      </c>
      <c r="G14" s="6">
        <f t="shared" si="2"/>
        <v>3.5018365403162393</v>
      </c>
      <c r="H14" s="7">
        <f t="shared" si="3"/>
        <v>1.6522582925421816E-15</v>
      </c>
      <c r="I14" s="8" t="str">
        <f t="shared" si="4"/>
        <v/>
      </c>
    </row>
    <row r="15" spans="1:13" x14ac:dyDescent="0.2">
      <c r="A15" s="5">
        <v>14</v>
      </c>
      <c r="B15" s="6">
        <v>8.3593000000000001E-2</v>
      </c>
      <c r="C15" s="6">
        <f t="shared" si="0"/>
        <v>-7.4069999999999969E-3</v>
      </c>
      <c r="D15" s="6">
        <f t="shared" si="1"/>
        <v>-0.10369799999999996</v>
      </c>
      <c r="E15" s="6">
        <f t="shared" si="5"/>
        <v>-1.1004499999999973E-2</v>
      </c>
      <c r="F15" s="6">
        <f t="shared" si="6"/>
        <v>-1.8094999999999986E-3</v>
      </c>
      <c r="G15" s="6">
        <f t="shared" si="2"/>
        <v>5.4451213250257089</v>
      </c>
      <c r="H15" s="7">
        <f t="shared" si="3"/>
        <v>2.079315637062039E-15</v>
      </c>
      <c r="I15" s="8" t="str">
        <f t="shared" si="4"/>
        <v/>
      </c>
    </row>
    <row r="16" spans="1:13" x14ac:dyDescent="0.2">
      <c r="A16" s="5">
        <v>15</v>
      </c>
      <c r="B16" s="6">
        <v>8.2621E-2</v>
      </c>
      <c r="C16" s="6">
        <f t="shared" si="0"/>
        <v>-8.3789999999999976E-3</v>
      </c>
      <c r="D16" s="6">
        <f t="shared" si="1"/>
        <v>-0.12568499999999996</v>
      </c>
      <c r="E16" s="6">
        <f t="shared" si="5"/>
        <v>-1.889749999999997E-2</v>
      </c>
      <c r="F16" s="6">
        <f t="shared" si="6"/>
        <v>-8.2900000000000335E-4</v>
      </c>
      <c r="G16" s="6">
        <f t="shared" si="2"/>
        <v>6.1577393555272604</v>
      </c>
      <c r="H16" s="7">
        <f t="shared" si="3"/>
        <v>5.1326094326711458E-15</v>
      </c>
      <c r="I16" s="8" t="str">
        <f t="shared" si="4"/>
        <v/>
      </c>
    </row>
    <row r="17" spans="1:9" x14ac:dyDescent="0.2">
      <c r="A17" s="5">
        <v>16</v>
      </c>
      <c r="B17" s="6">
        <v>8.1934999999999994E-2</v>
      </c>
      <c r="C17" s="6">
        <f t="shared" si="0"/>
        <v>-9.0650000000000036E-3</v>
      </c>
      <c r="D17" s="6">
        <f t="shared" si="1"/>
        <v>-0.14504000000000006</v>
      </c>
      <c r="E17" s="6">
        <f t="shared" si="5"/>
        <v>-2.761949999999997E-2</v>
      </c>
      <c r="F17" s="6">
        <f t="shared" si="6"/>
        <v>-7.1949999999999792E-4</v>
      </c>
      <c r="G17" s="6">
        <f t="shared" si="2"/>
        <v>6.6599915951610758</v>
      </c>
      <c r="H17" s="7">
        <f t="shared" si="3"/>
        <v>6.3960865074299338E-15</v>
      </c>
      <c r="I17" s="8" t="str">
        <f t="shared" si="4"/>
        <v/>
      </c>
    </row>
    <row r="18" spans="1:9" x14ac:dyDescent="0.2">
      <c r="A18" s="5">
        <v>17</v>
      </c>
      <c r="B18" s="6">
        <v>8.1182000000000004E-2</v>
      </c>
      <c r="C18" s="6">
        <f t="shared" si="0"/>
        <v>-9.8179999999999934E-3</v>
      </c>
      <c r="D18" s="6">
        <f t="shared" si="1"/>
        <v>-0.16690599999999989</v>
      </c>
      <c r="E18" s="6">
        <f t="shared" si="5"/>
        <v>-3.7060999999999969E-2</v>
      </c>
      <c r="F18" s="6">
        <f t="shared" si="6"/>
        <v>-5.2449999999999719E-4</v>
      </c>
      <c r="G18" s="6">
        <f t="shared" si="2"/>
        <v>7.2105446249631955</v>
      </c>
      <c r="H18" s="7">
        <f t="shared" si="3"/>
        <v>9.4993529136480954E-15</v>
      </c>
      <c r="I18" s="8" t="str">
        <f t="shared" si="4"/>
        <v/>
      </c>
    </row>
    <row r="19" spans="1:9" x14ac:dyDescent="0.2">
      <c r="A19" s="5">
        <v>18</v>
      </c>
      <c r="B19" s="6">
        <v>8.0886E-2</v>
      </c>
      <c r="C19" s="6">
        <f t="shared" si="0"/>
        <v>-1.0113999999999998E-2</v>
      </c>
      <c r="D19" s="6">
        <f t="shared" si="1"/>
        <v>-0.18205199999999996</v>
      </c>
      <c r="E19" s="6">
        <f t="shared" si="5"/>
        <v>-4.7026999999999965E-2</v>
      </c>
      <c r="F19" s="6">
        <f t="shared" si="6"/>
        <v>-3.4800000000000109E-4</v>
      </c>
      <c r="G19" s="6">
        <f t="shared" si="2"/>
        <v>7.4266678770500913</v>
      </c>
      <c r="H19" s="7">
        <f t="shared" si="3"/>
        <v>1.474640661048618E-14</v>
      </c>
      <c r="I19" s="8" t="str">
        <f t="shared" si="4"/>
        <v/>
      </c>
    </row>
    <row r="20" spans="1:9" x14ac:dyDescent="0.2">
      <c r="A20" s="5">
        <v>19</v>
      </c>
      <c r="B20" s="6">
        <v>8.0486000000000002E-2</v>
      </c>
      <c r="C20" s="6">
        <f t="shared" si="0"/>
        <v>-1.0513999999999996E-2</v>
      </c>
      <c r="D20" s="6">
        <f t="shared" si="1"/>
        <v>-0.19976599999999992</v>
      </c>
      <c r="E20" s="6">
        <f t="shared" si="5"/>
        <v>-5.7340999999999961E-2</v>
      </c>
      <c r="F20" s="6">
        <f t="shared" si="6"/>
        <v>-3.9150000000000296E-4</v>
      </c>
      <c r="G20" s="6">
        <f t="shared" si="2"/>
        <v>7.718326325816161</v>
      </c>
      <c r="H20" s="7">
        <f t="shared" si="3"/>
        <v>1.3622688187090837E-14</v>
      </c>
      <c r="I20" s="8" t="str">
        <f t="shared" si="4"/>
        <v/>
      </c>
    </row>
    <row r="21" spans="1:9" x14ac:dyDescent="0.2">
      <c r="A21" s="5">
        <v>20</v>
      </c>
      <c r="B21" s="6">
        <v>8.0102999999999994E-2</v>
      </c>
      <c r="C21" s="6">
        <f t="shared" si="0"/>
        <v>-1.0897000000000004E-2</v>
      </c>
      <c r="D21" s="6">
        <f t="shared" si="1"/>
        <v>-0.21794000000000008</v>
      </c>
      <c r="E21" s="6">
        <f t="shared" si="5"/>
        <v>-6.8046499999999954E-2</v>
      </c>
      <c r="F21" s="6">
        <f t="shared" si="6"/>
        <v>-7.2500000000003118E-5</v>
      </c>
      <c r="G21" s="6">
        <f t="shared" si="2"/>
        <v>7.9972062905096797</v>
      </c>
      <c r="H21" s="7">
        <f t="shared" si="3"/>
        <v>7.6220490369125022E-14</v>
      </c>
      <c r="I21" s="8" t="str">
        <f t="shared" si="4"/>
        <v/>
      </c>
    </row>
    <row r="22" spans="1:9" x14ac:dyDescent="0.2">
      <c r="A22" s="5">
        <v>21</v>
      </c>
      <c r="B22" s="6">
        <v>8.0340999999999996E-2</v>
      </c>
      <c r="C22" s="6">
        <f t="shared" si="0"/>
        <v>-1.0659000000000002E-2</v>
      </c>
      <c r="D22" s="6">
        <f t="shared" si="1"/>
        <v>-0.22383900000000004</v>
      </c>
      <c r="E22" s="6">
        <f t="shared" si="5"/>
        <v>-7.8824499999999964E-2</v>
      </c>
      <c r="F22" s="6">
        <f t="shared" si="6"/>
        <v>-8.6499999999996302E-5</v>
      </c>
      <c r="G22" s="6">
        <f t="shared" si="2"/>
        <v>7.8241455134938649</v>
      </c>
      <c r="H22" s="7">
        <f t="shared" si="3"/>
        <v>6.2501761531889368E-14</v>
      </c>
      <c r="I22" s="8" t="str">
        <f t="shared" si="4"/>
        <v/>
      </c>
    </row>
    <row r="23" spans="1:9" x14ac:dyDescent="0.2">
      <c r="A23" s="5">
        <v>22</v>
      </c>
      <c r="B23" s="6">
        <v>7.9930000000000001E-2</v>
      </c>
      <c r="C23" s="6">
        <f t="shared" si="0"/>
        <v>-1.1069999999999997E-2</v>
      </c>
      <c r="D23" s="6">
        <f t="shared" si="1"/>
        <v>-0.24353999999999992</v>
      </c>
      <c r="E23" s="6">
        <f t="shared" si="5"/>
        <v>-8.9688999999999963E-2</v>
      </c>
      <c r="F23" s="6">
        <f t="shared" si="6"/>
        <v>-3.7049999999999583E-4</v>
      </c>
      <c r="G23" s="6">
        <f t="shared" si="2"/>
        <v>8.1225915696009992</v>
      </c>
      <c r="H23" s="7">
        <f t="shared" si="3"/>
        <v>1.5148786673919894E-14</v>
      </c>
      <c r="I23" s="8" t="str">
        <f t="shared" si="4"/>
        <v/>
      </c>
    </row>
    <row r="24" spans="1:9" x14ac:dyDescent="0.2">
      <c r="A24" s="5">
        <v>23</v>
      </c>
      <c r="B24" s="6">
        <v>7.9600000000000004E-2</v>
      </c>
      <c r="C24" s="6">
        <f t="shared" si="0"/>
        <v>-1.1399999999999993E-2</v>
      </c>
      <c r="D24" s="6">
        <f t="shared" si="1"/>
        <v>-0.26219999999999988</v>
      </c>
      <c r="E24" s="6">
        <f t="shared" si="5"/>
        <v>-0.10092399999999996</v>
      </c>
      <c r="F24" s="6">
        <f t="shared" si="6"/>
        <v>3.5000000000000309E-5</v>
      </c>
      <c r="G24" s="6">
        <f t="shared" si="2"/>
        <v>8.361889789833004</v>
      </c>
      <c r="H24" s="7">
        <f t="shared" si="3"/>
        <v>-1.6508508627167594E-13</v>
      </c>
      <c r="I24" s="8" t="str">
        <f t="shared" si="4"/>
        <v/>
      </c>
    </row>
    <row r="25" spans="1:9" x14ac:dyDescent="0.2">
      <c r="A25" s="5">
        <v>24</v>
      </c>
      <c r="B25" s="6">
        <v>0.08</v>
      </c>
      <c r="C25" s="6">
        <f t="shared" si="0"/>
        <v>-1.0999999999999996E-2</v>
      </c>
      <c r="D25" s="6">
        <f t="shared" si="1"/>
        <v>-0.2639999999999999</v>
      </c>
      <c r="E25" s="6">
        <f t="shared" si="5"/>
        <v>-0.11212399999999995</v>
      </c>
      <c r="F25" s="6">
        <f t="shared" si="6"/>
        <v>3.9399999999999852E-4</v>
      </c>
      <c r="G25" s="6">
        <f t="shared" si="2"/>
        <v>8.0722313410669368</v>
      </c>
      <c r="H25" s="7">
        <f t="shared" si="3"/>
        <v>-1.4156921506867394E-14</v>
      </c>
      <c r="I25" s="8" t="str">
        <f t="shared" si="4"/>
        <v/>
      </c>
    </row>
    <row r="26" spans="1:9" x14ac:dyDescent="0.2">
      <c r="A26" s="5">
        <v>25</v>
      </c>
      <c r="B26" s="6">
        <v>8.0388000000000001E-2</v>
      </c>
      <c r="C26" s="6">
        <f t="shared" si="0"/>
        <v>-1.0611999999999996E-2</v>
      </c>
      <c r="D26" s="6">
        <f t="shared" si="1"/>
        <v>-0.26529999999999992</v>
      </c>
      <c r="E26" s="6">
        <f t="shared" si="5"/>
        <v>-0.12292999999999994</v>
      </c>
      <c r="F26" s="6">
        <f t="shared" si="6"/>
        <v>-9.8000000000000864E-5</v>
      </c>
      <c r="G26" s="6">
        <f t="shared" si="2"/>
        <v>7.7916506457638484</v>
      </c>
      <c r="H26" s="7">
        <f t="shared" si="3"/>
        <v>5.4938252655118535E-14</v>
      </c>
      <c r="I26" s="8" t="str">
        <f t="shared" si="4"/>
        <v/>
      </c>
    </row>
    <row r="27" spans="1:9" x14ac:dyDescent="0.2">
      <c r="A27" s="5">
        <v>26</v>
      </c>
      <c r="B27" s="6">
        <v>7.9804E-2</v>
      </c>
      <c r="C27" s="6">
        <f t="shared" si="0"/>
        <v>-1.1195999999999998E-2</v>
      </c>
      <c r="D27" s="6">
        <f t="shared" si="1"/>
        <v>-0.29109599999999991</v>
      </c>
      <c r="E27" s="6">
        <f t="shared" si="5"/>
        <v>-0.13383399999999995</v>
      </c>
      <c r="F27" s="6">
        <f t="shared" si="6"/>
        <v>-3.0700000000000172E-4</v>
      </c>
      <c r="G27" s="6">
        <f t="shared" si="2"/>
        <v>8.2133839809623126</v>
      </c>
      <c r="H27" s="7">
        <f t="shared" si="3"/>
        <v>1.8486521385477304E-14</v>
      </c>
      <c r="I27" s="8" t="str">
        <f t="shared" si="4"/>
        <v/>
      </c>
    </row>
    <row r="28" spans="1:9" x14ac:dyDescent="0.2">
      <c r="A28" s="5">
        <v>27</v>
      </c>
      <c r="B28" s="6">
        <v>7.9773999999999998E-2</v>
      </c>
      <c r="C28" s="6">
        <f t="shared" si="0"/>
        <v>-1.1226E-2</v>
      </c>
      <c r="D28" s="6">
        <f t="shared" si="1"/>
        <v>-0.30310199999999998</v>
      </c>
      <c r="E28" s="6">
        <f t="shared" si="5"/>
        <v>-0.14504499999999995</v>
      </c>
      <c r="F28" s="6">
        <f t="shared" si="6"/>
        <v>-5.6500000000000994E-5</v>
      </c>
      <c r="G28" s="6">
        <f t="shared" si="2"/>
        <v>8.2350183646197692</v>
      </c>
      <c r="H28" s="7">
        <f t="shared" si="3"/>
        <v>1.0071347251720287E-13</v>
      </c>
      <c r="I28" s="8" t="str">
        <f t="shared" si="4"/>
        <v/>
      </c>
    </row>
    <row r="29" spans="1:9" x14ac:dyDescent="0.2">
      <c r="A29" s="5">
        <v>28</v>
      </c>
      <c r="B29" s="6">
        <v>7.9690999999999998E-2</v>
      </c>
      <c r="C29" s="6">
        <f t="shared" si="0"/>
        <v>-1.1309E-2</v>
      </c>
      <c r="D29" s="6">
        <f t="shared" si="1"/>
        <v>-0.31665199999999999</v>
      </c>
      <c r="E29" s="6">
        <f t="shared" si="5"/>
        <v>-0.15631249999999997</v>
      </c>
      <c r="F29" s="6">
        <f t="shared" si="6"/>
        <v>3.3999999999999309E-5</v>
      </c>
      <c r="G29" s="6">
        <f t="shared" si="2"/>
        <v>8.2947904927387288</v>
      </c>
      <c r="H29" s="7">
        <f t="shared" si="3"/>
        <v>-1.6857685617539138E-13</v>
      </c>
      <c r="I29" s="8" t="str">
        <f t="shared" si="4"/>
        <v/>
      </c>
    </row>
    <row r="30" spans="1:9" x14ac:dyDescent="0.2">
      <c r="A30" s="5">
        <v>29</v>
      </c>
      <c r="B30" s="6">
        <v>7.9841999999999996E-2</v>
      </c>
      <c r="C30" s="6">
        <f t="shared" si="0"/>
        <v>-1.1158000000000001E-2</v>
      </c>
      <c r="D30" s="6">
        <f t="shared" si="1"/>
        <v>-0.32358200000000004</v>
      </c>
      <c r="E30" s="6">
        <f t="shared" si="5"/>
        <v>-0.16754599999999997</v>
      </c>
      <c r="F30" s="6">
        <f t="shared" si="6"/>
        <v>3.6000000000001309E-5</v>
      </c>
      <c r="G30" s="6">
        <f t="shared" si="2"/>
        <v>8.1861994283295374</v>
      </c>
      <c r="H30" s="7">
        <f t="shared" si="3"/>
        <v>-1.5712716180534901E-13</v>
      </c>
      <c r="I30" s="8" t="str">
        <f t="shared" si="4"/>
        <v/>
      </c>
    </row>
    <row r="31" spans="1:9" x14ac:dyDescent="0.2">
      <c r="A31" s="5">
        <v>30</v>
      </c>
      <c r="B31" s="6">
        <v>7.9763000000000001E-2</v>
      </c>
      <c r="C31" s="6">
        <f t="shared" si="0"/>
        <v>-1.1236999999999997E-2</v>
      </c>
      <c r="D31" s="6">
        <f t="shared" si="1"/>
        <v>-0.33710999999999991</v>
      </c>
      <c r="E31" s="6">
        <f t="shared" si="5"/>
        <v>-0.17874349999999997</v>
      </c>
      <c r="F31" s="6">
        <f t="shared" si="6"/>
        <v>4.6000000000004371E-5</v>
      </c>
      <c r="G31" s="6">
        <f t="shared" si="2"/>
        <v>8.2429329719608333</v>
      </c>
      <c r="H31" s="7">
        <f t="shared" si="3"/>
        <v>-1.2382130669058166E-13</v>
      </c>
      <c r="I31" s="8" t="str">
        <f t="shared" si="4"/>
        <v/>
      </c>
    </row>
    <row r="32" spans="1:9" x14ac:dyDescent="0.2">
      <c r="A32" s="5">
        <v>31</v>
      </c>
      <c r="B32" s="6">
        <v>7.9934000000000005E-2</v>
      </c>
      <c r="C32" s="6">
        <f t="shared" si="0"/>
        <v>-1.1065999999999993E-2</v>
      </c>
      <c r="D32" s="6">
        <f t="shared" si="1"/>
        <v>-0.34304599999999974</v>
      </c>
      <c r="E32" s="6">
        <f t="shared" si="5"/>
        <v>-0.18989499999999998</v>
      </c>
      <c r="F32" s="6">
        <f t="shared" si="6"/>
        <v>4.6999999999998432E-5</v>
      </c>
      <c r="G32" s="6">
        <f t="shared" si="2"/>
        <v>8.1203009851133352</v>
      </c>
      <c r="H32" s="7">
        <f t="shared" si="3"/>
        <v>-1.1938388708222491E-13</v>
      </c>
      <c r="I32" s="8" t="str">
        <f t="shared" si="4"/>
        <v/>
      </c>
    </row>
    <row r="33" spans="1:9" x14ac:dyDescent="0.2">
      <c r="A33" s="5">
        <v>32</v>
      </c>
      <c r="B33" s="6">
        <v>7.9856999999999997E-2</v>
      </c>
      <c r="C33" s="6">
        <f t="shared" si="0"/>
        <v>-1.1143E-2</v>
      </c>
      <c r="D33" s="6">
        <f t="shared" si="1"/>
        <v>-0.356576</v>
      </c>
      <c r="E33" s="6">
        <f t="shared" si="5"/>
        <v>-0.20099949999999997</v>
      </c>
      <c r="F33" s="6">
        <f t="shared" si="6"/>
        <v>-2.5950000000000278E-4</v>
      </c>
      <c r="G33" s="6">
        <f t="shared" si="2"/>
        <v>8.1754442365008089</v>
      </c>
      <c r="H33" s="7">
        <f t="shared" si="3"/>
        <v>2.1769349134494305E-14</v>
      </c>
      <c r="I33" s="8" t="str">
        <f t="shared" si="4"/>
        <v/>
      </c>
    </row>
    <row r="34" spans="1:9" x14ac:dyDescent="0.2">
      <c r="A34" s="5">
        <v>33</v>
      </c>
      <c r="B34" s="6">
        <v>7.9414999999999999E-2</v>
      </c>
      <c r="C34" s="6">
        <f t="shared" si="0"/>
        <v>-1.1584999999999998E-2</v>
      </c>
      <c r="D34" s="6">
        <f t="shared" si="1"/>
        <v>-0.38230499999999995</v>
      </c>
      <c r="E34" s="6">
        <f t="shared" si="5"/>
        <v>-0.21236349999999998</v>
      </c>
      <c r="F34" s="6">
        <f t="shared" si="6"/>
        <v>-1.0749999999999649E-4</v>
      </c>
      <c r="G34" s="6">
        <f t="shared" si="2"/>
        <v>8.4915388223873158</v>
      </c>
      <c r="H34" s="7">
        <f t="shared" si="3"/>
        <v>5.458199199344102E-14</v>
      </c>
      <c r="I34" s="8" t="str">
        <f t="shared" si="4"/>
        <v/>
      </c>
    </row>
    <row r="35" spans="1:9" x14ac:dyDescent="0.2">
      <c r="A35" s="5">
        <v>34</v>
      </c>
      <c r="B35" s="6">
        <v>7.9642000000000004E-2</v>
      </c>
      <c r="C35" s="6">
        <f t="shared" si="0"/>
        <v>-1.1357999999999993E-2</v>
      </c>
      <c r="D35" s="6">
        <f t="shared" si="1"/>
        <v>-0.38617199999999974</v>
      </c>
      <c r="E35" s="6">
        <f t="shared" si="5"/>
        <v>-0.22383499999999998</v>
      </c>
      <c r="F35" s="6">
        <f t="shared" si="6"/>
        <v>1.4050000000000173E-4</v>
      </c>
      <c r="G35" s="6">
        <f t="shared" si="2"/>
        <v>8.3294276527125675</v>
      </c>
      <c r="H35" s="7">
        <f t="shared" si="3"/>
        <v>-4.096474749971212E-14</v>
      </c>
      <c r="I35" s="8" t="str">
        <f t="shared" si="4"/>
        <v/>
      </c>
    </row>
    <row r="36" spans="1:9" x14ac:dyDescent="0.2">
      <c r="A36" s="5">
        <v>35</v>
      </c>
      <c r="B36" s="6">
        <v>7.9696000000000003E-2</v>
      </c>
      <c r="C36" s="6">
        <f t="shared" si="0"/>
        <v>-1.1303999999999995E-2</v>
      </c>
      <c r="D36" s="6">
        <f t="shared" si="1"/>
        <v>-0.39563999999999983</v>
      </c>
      <c r="E36" s="6">
        <f t="shared" si="5"/>
        <v>-0.23516599999999999</v>
      </c>
      <c r="F36" s="6">
        <f t="shared" si="6"/>
        <v>-2.4000000000003185E-5</v>
      </c>
      <c r="G36" s="6">
        <f t="shared" si="2"/>
        <v>8.2909177621291494</v>
      </c>
      <c r="H36" s="7">
        <f t="shared" si="3"/>
        <v>2.3870571224111069E-13</v>
      </c>
      <c r="I36" s="8" t="str">
        <f t="shared" si="4"/>
        <v/>
      </c>
    </row>
    <row r="37" spans="1:9" x14ac:dyDescent="0.2">
      <c r="A37" s="5">
        <v>36</v>
      </c>
      <c r="B37" s="6">
        <v>7.9593999999999998E-2</v>
      </c>
      <c r="C37" s="6">
        <f t="shared" si="0"/>
        <v>-1.1405999999999999E-2</v>
      </c>
      <c r="D37" s="6">
        <f t="shared" si="1"/>
        <v>-0.41061599999999998</v>
      </c>
      <c r="E37" s="6">
        <f t="shared" si="5"/>
        <v>-0.24652099999999999</v>
      </c>
      <c r="F37" s="6">
        <f t="shared" si="6"/>
        <v>1.3049999999999867E-4</v>
      </c>
      <c r="G37" s="6">
        <f t="shared" si="2"/>
        <v>8.3635566665645005</v>
      </c>
      <c r="H37" s="7">
        <f t="shared" si="3"/>
        <v>-4.4284519646152934E-14</v>
      </c>
      <c r="I37" s="8" t="str">
        <f t="shared" si="4"/>
        <v/>
      </c>
    </row>
    <row r="38" spans="1:9" x14ac:dyDescent="0.2">
      <c r="A38" s="5">
        <v>37</v>
      </c>
      <c r="B38" s="6">
        <v>7.9957E-2</v>
      </c>
      <c r="C38" s="6">
        <f t="shared" si="0"/>
        <v>-1.1042999999999997E-2</v>
      </c>
      <c r="D38" s="6">
        <f t="shared" si="1"/>
        <v>-0.40859099999999993</v>
      </c>
      <c r="E38" s="6">
        <f t="shared" si="5"/>
        <v>-0.25774549999999996</v>
      </c>
      <c r="F38" s="6">
        <f t="shared" si="6"/>
        <v>-2.5349999999999678E-4</v>
      </c>
      <c r="G38" s="6">
        <f t="shared" si="2"/>
        <v>8.1054106243092896</v>
      </c>
      <c r="H38" s="7">
        <f t="shared" si="3"/>
        <v>2.2093702603325121E-14</v>
      </c>
      <c r="I38" s="8" t="str">
        <f t="shared" si="4"/>
        <v/>
      </c>
    </row>
    <row r="39" spans="1:9" x14ac:dyDescent="0.2">
      <c r="A39" s="5">
        <v>38</v>
      </c>
      <c r="B39" s="6">
        <v>7.9087000000000005E-2</v>
      </c>
      <c r="C39" s="6">
        <f t="shared" si="0"/>
        <v>-1.1912999999999993E-2</v>
      </c>
      <c r="D39" s="6">
        <f t="shared" si="1"/>
        <v>-0.45269399999999971</v>
      </c>
      <c r="E39" s="6">
        <f t="shared" si="5"/>
        <v>-0.26922349999999995</v>
      </c>
      <c r="F39" s="6">
        <f t="shared" si="6"/>
        <v>-6.3799999999999968E-4</v>
      </c>
      <c r="G39" s="6">
        <f t="shared" si="2"/>
        <v>8.7232377503754908</v>
      </c>
      <c r="H39" s="7">
        <f t="shared" si="3"/>
        <v>9.4477518260052646E-15</v>
      </c>
      <c r="I39" s="8" t="str">
        <f t="shared" si="4"/>
        <v/>
      </c>
    </row>
    <row r="40" spans="1:9" x14ac:dyDescent="0.2">
      <c r="A40" s="5">
        <v>39</v>
      </c>
      <c r="B40" s="6">
        <v>7.8681000000000001E-2</v>
      </c>
      <c r="C40" s="6">
        <f t="shared" si="0"/>
        <v>-1.2318999999999997E-2</v>
      </c>
      <c r="D40" s="6">
        <f t="shared" si="1"/>
        <v>-0.4804409999999999</v>
      </c>
      <c r="E40" s="6">
        <f t="shared" si="5"/>
        <v>-0.28133949999999996</v>
      </c>
      <c r="F40" s="6">
        <f t="shared" si="6"/>
        <v>-1.5199999999999936E-4</v>
      </c>
      <c r="G40" s="6">
        <f t="shared" si="2"/>
        <v>9.0111510758730535</v>
      </c>
      <c r="H40" s="7">
        <f t="shared" si="3"/>
        <v>4.0964544400953435E-14</v>
      </c>
      <c r="I40" s="8" t="str">
        <f t="shared" si="4"/>
        <v/>
      </c>
    </row>
    <row r="41" spans="1:9" x14ac:dyDescent="0.2">
      <c r="A41" s="5">
        <v>40</v>
      </c>
      <c r="B41" s="6">
        <v>7.8783000000000006E-2</v>
      </c>
      <c r="C41" s="6">
        <f t="shared" si="0"/>
        <v>-1.2216999999999992E-2</v>
      </c>
      <c r="D41" s="6">
        <f t="shared" si="1"/>
        <v>-0.48867999999999967</v>
      </c>
      <c r="E41" s="6">
        <f t="shared" si="5"/>
        <v>-0.29360749999999997</v>
      </c>
      <c r="F41" s="6">
        <f t="shared" si="6"/>
        <v>-9.4000000000003803E-5</v>
      </c>
      <c r="G41" s="6">
        <f t="shared" si="2"/>
        <v>8.9389201714377027</v>
      </c>
      <c r="H41" s="7">
        <f t="shared" si="3"/>
        <v>6.5709573964084279E-14</v>
      </c>
      <c r="I41" s="8" t="str">
        <f t="shared" si="4"/>
        <v/>
      </c>
    </row>
    <row r="42" spans="1:9" x14ac:dyDescent="0.2">
      <c r="A42" s="5">
        <v>41</v>
      </c>
      <c r="B42" s="6">
        <v>7.8492999999999993E-2</v>
      </c>
      <c r="C42" s="6">
        <f t="shared" si="0"/>
        <v>-1.2507000000000004E-2</v>
      </c>
      <c r="D42" s="6">
        <f t="shared" si="1"/>
        <v>-0.51278700000000021</v>
      </c>
      <c r="E42" s="6">
        <f t="shared" si="5"/>
        <v>-0.30596949999999995</v>
      </c>
      <c r="F42" s="6">
        <f t="shared" si="6"/>
        <v>-3.9150000000000296E-4</v>
      </c>
      <c r="G42" s="6">
        <f t="shared" si="2"/>
        <v>9.1439925467931129</v>
      </c>
      <c r="H42" s="7">
        <f t="shared" si="3"/>
        <v>1.6138959923655887E-14</v>
      </c>
      <c r="I42" s="8" t="str">
        <f t="shared" si="4"/>
        <v/>
      </c>
    </row>
    <row r="43" spans="1:9" x14ac:dyDescent="0.2">
      <c r="A43" s="5">
        <v>42</v>
      </c>
      <c r="B43" s="6">
        <v>7.8E-2</v>
      </c>
      <c r="C43" s="6">
        <f t="shared" si="0"/>
        <v>-1.2999999999999998E-2</v>
      </c>
      <c r="D43" s="6">
        <f t="shared" si="1"/>
        <v>-0.54599999999999993</v>
      </c>
      <c r="E43" s="6">
        <f t="shared" si="5"/>
        <v>-0.31872299999999998</v>
      </c>
      <c r="F43" s="6">
        <f t="shared" si="6"/>
        <v>-4.129999999999967E-4</v>
      </c>
      <c r="G43" s="6">
        <f t="shared" si="2"/>
        <v>9.4921225848972899</v>
      </c>
      <c r="H43" s="7">
        <f t="shared" si="3"/>
        <v>1.5881251840236143E-14</v>
      </c>
      <c r="I43" s="8" t="str">
        <f t="shared" si="4"/>
        <v/>
      </c>
    </row>
    <row r="44" spans="1:9" x14ac:dyDescent="0.2">
      <c r="A44" s="5">
        <v>43</v>
      </c>
      <c r="B44" s="6">
        <v>7.7667E-2</v>
      </c>
      <c r="C44" s="6">
        <f t="shared" si="0"/>
        <v>-1.3332999999999998E-2</v>
      </c>
      <c r="D44" s="6">
        <f t="shared" si="1"/>
        <v>-0.57331899999999991</v>
      </c>
      <c r="E44" s="6">
        <f t="shared" si="5"/>
        <v>-0.33188949999999995</v>
      </c>
      <c r="F44" s="6">
        <f t="shared" si="6"/>
        <v>-4.4199999999999795E-4</v>
      </c>
      <c r="G44" s="6">
        <f t="shared" si="2"/>
        <v>9.726936243495043</v>
      </c>
      <c r="H44" s="7">
        <f t="shared" si="3"/>
        <v>1.5206359234957517E-14</v>
      </c>
      <c r="I44" s="8" t="str">
        <f t="shared" si="4"/>
        <v/>
      </c>
    </row>
    <row r="45" spans="1:9" x14ac:dyDescent="0.2">
      <c r="A45" s="5">
        <v>44</v>
      </c>
      <c r="B45" s="6">
        <v>7.7116000000000004E-2</v>
      </c>
      <c r="C45" s="6">
        <f t="shared" si="0"/>
        <v>-1.3883999999999994E-2</v>
      </c>
      <c r="D45" s="6">
        <f t="shared" si="1"/>
        <v>-0.61089599999999966</v>
      </c>
      <c r="E45" s="6">
        <f t="shared" si="5"/>
        <v>-0.34549799999999997</v>
      </c>
      <c r="F45" s="6">
        <f t="shared" si="6"/>
        <v>-4.6399999999999914E-4</v>
      </c>
      <c r="G45" s="6">
        <f t="shared" si="2"/>
        <v>10.114920756670303</v>
      </c>
      <c r="H45" s="7">
        <f t="shared" si="3"/>
        <v>1.5063155184134288E-14</v>
      </c>
      <c r="I45" s="8" t="str">
        <f t="shared" si="4"/>
        <v/>
      </c>
    </row>
    <row r="46" spans="1:9" x14ac:dyDescent="0.2">
      <c r="A46" s="5">
        <v>45</v>
      </c>
      <c r="B46" s="6">
        <v>7.6739000000000002E-2</v>
      </c>
      <c r="C46" s="6">
        <f t="shared" si="0"/>
        <v>-1.4260999999999996E-2</v>
      </c>
      <c r="D46" s="6">
        <f t="shared" si="1"/>
        <v>-0.64174499999999979</v>
      </c>
      <c r="E46" s="6">
        <f t="shared" si="5"/>
        <v>-0.35957049999999996</v>
      </c>
      <c r="F46" s="6">
        <f t="shared" si="6"/>
        <v>-2.390000000000031E-4</v>
      </c>
      <c r="G46" s="6">
        <f t="shared" si="2"/>
        <v>10.380006844632327</v>
      </c>
      <c r="H46" s="7">
        <f t="shared" si="3"/>
        <v>3.0010358610920847E-14</v>
      </c>
      <c r="I46" s="8" t="str">
        <f t="shared" si="4"/>
        <v/>
      </c>
    </row>
    <row r="47" spans="1:9" x14ac:dyDescent="0.2">
      <c r="A47" s="5">
        <v>46</v>
      </c>
      <c r="B47" s="6">
        <v>7.6637999999999998E-2</v>
      </c>
      <c r="C47" s="6">
        <f t="shared" si="0"/>
        <v>-1.4362E-2</v>
      </c>
      <c r="D47" s="6">
        <f t="shared" si="1"/>
        <v>-0.66065200000000002</v>
      </c>
      <c r="E47" s="6">
        <f t="shared" si="5"/>
        <v>-0.37388199999999994</v>
      </c>
      <c r="F47" s="6">
        <f t="shared" si="6"/>
        <v>8.6999999999996802E-5</v>
      </c>
      <c r="G47" s="6">
        <f t="shared" si="2"/>
        <v>10.450923602945762</v>
      </c>
      <c r="H47" s="7">
        <f t="shared" si="3"/>
        <v>-8.3005499346706325E-14</v>
      </c>
      <c r="I47" s="8" t="str">
        <f t="shared" si="4"/>
        <v/>
      </c>
    </row>
    <row r="48" spans="1:9" x14ac:dyDescent="0.2">
      <c r="A48" s="5">
        <v>47</v>
      </c>
      <c r="B48" s="6">
        <v>7.6912999999999995E-2</v>
      </c>
      <c r="C48" s="6">
        <f t="shared" si="0"/>
        <v>-1.4087000000000002E-2</v>
      </c>
      <c r="D48" s="6">
        <f t="shared" si="1"/>
        <v>-0.66208900000000015</v>
      </c>
      <c r="E48" s="6">
        <f t="shared" si="5"/>
        <v>-0.38810649999999991</v>
      </c>
      <c r="F48" s="6">
        <f t="shared" si="6"/>
        <v>1.5199999999999936E-4</v>
      </c>
      <c r="G48" s="6">
        <f t="shared" si="2"/>
        <v>10.25810841941909</v>
      </c>
      <c r="H48" s="7">
        <f t="shared" si="3"/>
        <v>-4.6633191950604855E-14</v>
      </c>
      <c r="I48" s="8" t="str">
        <f t="shared" si="4"/>
        <v/>
      </c>
    </row>
    <row r="49" spans="1:9" x14ac:dyDescent="0.2">
      <c r="A49" s="5">
        <v>48</v>
      </c>
      <c r="B49" s="6">
        <v>7.6941999999999997E-2</v>
      </c>
      <c r="C49" s="6">
        <f t="shared" si="0"/>
        <v>-1.4058000000000001E-2</v>
      </c>
      <c r="D49" s="6">
        <f t="shared" si="1"/>
        <v>-0.67478400000000005</v>
      </c>
      <c r="E49" s="6">
        <f t="shared" si="5"/>
        <v>-0.4021789999999999</v>
      </c>
      <c r="F49" s="6">
        <f t="shared" si="6"/>
        <v>-1.7400000000000054E-4</v>
      </c>
      <c r="G49" s="6">
        <f t="shared" si="2"/>
        <v>10.237804181883549</v>
      </c>
      <c r="H49" s="7">
        <f t="shared" si="3"/>
        <v>4.0656408974776176E-14</v>
      </c>
      <c r="I49" s="8" t="str">
        <f t="shared" si="4"/>
        <v/>
      </c>
    </row>
    <row r="50" spans="1:9" x14ac:dyDescent="0.2">
      <c r="A50" s="5">
        <v>49</v>
      </c>
      <c r="B50" s="6">
        <v>7.6564999999999994E-2</v>
      </c>
      <c r="C50" s="6">
        <f t="shared" si="0"/>
        <v>-1.4435000000000003E-2</v>
      </c>
      <c r="D50" s="6">
        <f t="shared" si="1"/>
        <v>-0.70731500000000014</v>
      </c>
      <c r="E50" s="6">
        <f t="shared" si="5"/>
        <v>-0.41642549999999989</v>
      </c>
      <c r="F50" s="6">
        <f t="shared" si="6"/>
        <v>-4.2049999999999726E-4</v>
      </c>
      <c r="G50" s="6">
        <f t="shared" si="2"/>
        <v>10.501382269845571</v>
      </c>
      <c r="H50" s="7">
        <f t="shared" si="3"/>
        <v>1.7256468137982367E-14</v>
      </c>
      <c r="I50" s="8" t="str">
        <f t="shared" si="4"/>
        <v/>
      </c>
    </row>
    <row r="51" spans="1:9" x14ac:dyDescent="0.2">
      <c r="A51" s="5">
        <v>50</v>
      </c>
      <c r="B51" s="6">
        <v>7.6101000000000002E-2</v>
      </c>
      <c r="C51" s="6">
        <f t="shared" si="0"/>
        <v>-1.4898999999999996E-2</v>
      </c>
      <c r="D51" s="6">
        <f t="shared" si="1"/>
        <v>-0.74494999999999978</v>
      </c>
      <c r="E51" s="6">
        <f t="shared" si="5"/>
        <v>-0.43109249999999988</v>
      </c>
      <c r="F51" s="6">
        <f t="shared" si="6"/>
        <v>-1.2299999999999811E-4</v>
      </c>
      <c r="G51" s="6">
        <f t="shared" si="2"/>
        <v>10.825322070414209</v>
      </c>
      <c r="H51" s="7">
        <f t="shared" si="3"/>
        <v>6.0814502860664923E-14</v>
      </c>
      <c r="I51" s="8" t="str">
        <f t="shared" si="4"/>
        <v/>
      </c>
    </row>
    <row r="52" spans="1:9" x14ac:dyDescent="0.2">
      <c r="A52" s="5">
        <v>51</v>
      </c>
      <c r="B52" s="6">
        <v>7.6318999999999998E-2</v>
      </c>
      <c r="C52" s="6">
        <f t="shared" si="0"/>
        <v>-1.4681E-2</v>
      </c>
      <c r="D52" s="6">
        <f t="shared" si="1"/>
        <v>-0.74873100000000004</v>
      </c>
      <c r="E52" s="6">
        <f t="shared" si="5"/>
        <v>-0.44588249999999985</v>
      </c>
      <c r="F52" s="6">
        <f t="shared" si="6"/>
        <v>2.7549999999999797E-4</v>
      </c>
      <c r="G52" s="6">
        <f t="shared" si="2"/>
        <v>10.673344215836703</v>
      </c>
      <c r="H52" s="7">
        <f t="shared" si="3"/>
        <v>-2.6770122506635963E-14</v>
      </c>
      <c r="I52" s="8" t="str">
        <f t="shared" si="4"/>
        <v/>
      </c>
    </row>
    <row r="53" spans="1:9" x14ac:dyDescent="0.2">
      <c r="A53" s="5">
        <v>52</v>
      </c>
      <c r="B53" s="6">
        <v>7.6651999999999998E-2</v>
      </c>
      <c r="C53" s="6">
        <f t="shared" si="0"/>
        <v>-1.4348E-2</v>
      </c>
      <c r="D53" s="6">
        <f t="shared" si="1"/>
        <v>-0.74609599999999998</v>
      </c>
      <c r="E53" s="6">
        <f t="shared" si="5"/>
        <v>-0.46039699999999983</v>
      </c>
      <c r="F53" s="6">
        <f t="shared" si="6"/>
        <v>8.7000000000003741E-5</v>
      </c>
      <c r="G53" s="6">
        <f t="shared" si="2"/>
        <v>10.441527557238949</v>
      </c>
      <c r="H53" s="7">
        <f t="shared" si="3"/>
        <v>-8.2930872118005905E-14</v>
      </c>
      <c r="I53" s="8" t="str">
        <f t="shared" si="4"/>
        <v/>
      </c>
    </row>
    <row r="54" spans="1:9" x14ac:dyDescent="0.2">
      <c r="A54" s="5">
        <v>53</v>
      </c>
      <c r="B54" s="6">
        <v>7.6493000000000005E-2</v>
      </c>
      <c r="C54" s="6">
        <f t="shared" si="0"/>
        <v>-1.4506999999999992E-2</v>
      </c>
      <c r="D54" s="6">
        <f t="shared" si="1"/>
        <v>-0.76887099999999964</v>
      </c>
      <c r="E54" s="6">
        <f t="shared" si="5"/>
        <v>-0.47482449999999982</v>
      </c>
      <c r="F54" s="6">
        <f t="shared" si="6"/>
        <v>-2.7549999999999797E-4</v>
      </c>
      <c r="G54" s="6">
        <f t="shared" si="2"/>
        <v>10.552055790623458</v>
      </c>
      <c r="H54" s="7">
        <f t="shared" si="3"/>
        <v>2.6465915508722609E-14</v>
      </c>
      <c r="I54" s="8" t="str">
        <f t="shared" si="4"/>
        <v/>
      </c>
    </row>
    <row r="55" spans="1:9" x14ac:dyDescent="0.2">
      <c r="A55" s="5">
        <v>54</v>
      </c>
      <c r="B55" s="6">
        <v>7.6101000000000002E-2</v>
      </c>
      <c r="C55" s="6">
        <f t="shared" si="0"/>
        <v>-1.4898999999999996E-2</v>
      </c>
      <c r="D55" s="6">
        <f t="shared" si="1"/>
        <v>-0.80454599999999976</v>
      </c>
      <c r="E55" s="6">
        <f t="shared" si="5"/>
        <v>-0.48952749999999978</v>
      </c>
      <c r="F55" s="6">
        <f t="shared" si="6"/>
        <v>-1.3800000000000617E-4</v>
      </c>
      <c r="G55" s="6">
        <f t="shared" si="2"/>
        <v>10.824161070414208</v>
      </c>
      <c r="H55" s="7">
        <f t="shared" si="3"/>
        <v>5.4198417485908435E-14</v>
      </c>
      <c r="I55" s="8" t="str">
        <f t="shared" si="4"/>
        <v/>
      </c>
    </row>
    <row r="56" spans="1:9" x14ac:dyDescent="0.2">
      <c r="A56" s="5">
        <v>55</v>
      </c>
      <c r="B56" s="6">
        <v>7.6216999999999993E-2</v>
      </c>
      <c r="C56" s="6">
        <f t="shared" si="0"/>
        <v>-1.4783000000000004E-2</v>
      </c>
      <c r="D56" s="6">
        <f t="shared" si="1"/>
        <v>-0.81306500000000026</v>
      </c>
      <c r="E56" s="6">
        <f t="shared" si="5"/>
        <v>-0.50436849999999978</v>
      </c>
      <c r="F56" s="6">
        <f t="shared" si="6"/>
        <v>1.8850000000000117E-4</v>
      </c>
      <c r="G56" s="6">
        <f t="shared" si="2"/>
        <v>10.743756120272055</v>
      </c>
      <c r="H56" s="7">
        <f t="shared" si="3"/>
        <v>-3.9383674466863983E-14</v>
      </c>
      <c r="I56" s="8" t="str">
        <f t="shared" si="4"/>
        <v/>
      </c>
    </row>
    <row r="57" spans="1:9" x14ac:dyDescent="0.2">
      <c r="A57" s="5">
        <v>56</v>
      </c>
      <c r="B57" s="6">
        <v>7.6478000000000004E-2</v>
      </c>
      <c r="C57" s="6">
        <f t="shared" si="0"/>
        <v>-1.4521999999999993E-2</v>
      </c>
      <c r="D57" s="6">
        <f t="shared" si="1"/>
        <v>-0.81323199999999962</v>
      </c>
      <c r="E57" s="6">
        <f t="shared" si="5"/>
        <v>-0.51902099999999973</v>
      </c>
      <c r="F57" s="6">
        <f t="shared" si="6"/>
        <v>5.5800000000000294E-4</v>
      </c>
      <c r="G57" s="6">
        <f t="shared" si="2"/>
        <v>10.563105982452186</v>
      </c>
      <c r="H57" s="7">
        <f t="shared" si="3"/>
        <v>-1.3080636718899691E-14</v>
      </c>
      <c r="I57" s="8" t="str">
        <f t="shared" si="4"/>
        <v/>
      </c>
    </row>
    <row r="58" spans="1:9" x14ac:dyDescent="0.2">
      <c r="A58" s="5">
        <v>57</v>
      </c>
      <c r="B58" s="6">
        <v>7.7332999999999999E-2</v>
      </c>
      <c r="C58" s="6">
        <f t="shared" si="0"/>
        <v>-1.3666999999999999E-2</v>
      </c>
      <c r="D58" s="6">
        <f t="shared" si="1"/>
        <v>-0.77901899999999991</v>
      </c>
      <c r="E58" s="6">
        <f t="shared" si="5"/>
        <v>-0.53311549999999974</v>
      </c>
      <c r="F58" s="6">
        <f t="shared" si="6"/>
        <v>3.9849999999999608E-4</v>
      </c>
      <c r="G58" s="6">
        <f t="shared" si="2"/>
        <v>9.9721760482147133</v>
      </c>
      <c r="H58" s="7">
        <f t="shared" si="3"/>
        <v>-1.7291515460850654E-14</v>
      </c>
      <c r="I58" s="8" t="str">
        <f t="shared" si="4"/>
        <v/>
      </c>
    </row>
    <row r="59" spans="1:9" x14ac:dyDescent="0.2">
      <c r="A59" s="5">
        <v>58</v>
      </c>
      <c r="B59" s="6">
        <v>7.7274999999999996E-2</v>
      </c>
      <c r="C59" s="6">
        <f t="shared" si="0"/>
        <v>-1.3725000000000001E-2</v>
      </c>
      <c r="D59" s="6">
        <f t="shared" si="1"/>
        <v>-0.79605000000000004</v>
      </c>
      <c r="E59" s="6">
        <f t="shared" si="5"/>
        <v>-0.54681149999999978</v>
      </c>
      <c r="F59" s="6">
        <f t="shared" si="6"/>
        <v>-3.6000000000001309E-5</v>
      </c>
      <c r="G59" s="6">
        <f t="shared" si="2"/>
        <v>10.012204523285796</v>
      </c>
      <c r="H59" s="7">
        <f t="shared" si="3"/>
        <v>1.9217578241672486E-13</v>
      </c>
      <c r="I59" s="8" t="str">
        <f t="shared" si="4"/>
        <v/>
      </c>
    </row>
    <row r="60" spans="1:9" x14ac:dyDescent="0.2">
      <c r="A60" s="5">
        <v>59</v>
      </c>
      <c r="B60" s="6">
        <v>7.7260999999999996E-2</v>
      </c>
      <c r="C60" s="6">
        <f t="shared" si="0"/>
        <v>-1.3739000000000001E-2</v>
      </c>
      <c r="D60" s="6">
        <f t="shared" si="1"/>
        <v>-0.81060100000000013</v>
      </c>
      <c r="E60" s="6">
        <f t="shared" si="5"/>
        <v>-0.56054349999999975</v>
      </c>
      <c r="F60" s="6">
        <f t="shared" si="6"/>
        <v>5.8000000000002494E-5</v>
      </c>
      <c r="G60" s="6">
        <f t="shared" si="2"/>
        <v>10.021852568992609</v>
      </c>
      <c r="H60" s="7">
        <f t="shared" si="3"/>
        <v>-1.1939646319399383E-13</v>
      </c>
      <c r="I60" s="8" t="str">
        <f t="shared" si="4"/>
        <v/>
      </c>
    </row>
    <row r="61" spans="1:9" x14ac:dyDescent="0.2">
      <c r="A61" s="5">
        <v>60</v>
      </c>
      <c r="B61" s="6">
        <v>7.7391000000000001E-2</v>
      </c>
      <c r="C61" s="6">
        <f t="shared" si="0"/>
        <v>-1.3608999999999996E-2</v>
      </c>
      <c r="D61" s="6">
        <f t="shared" si="1"/>
        <v>-0.81653999999999982</v>
      </c>
      <c r="E61" s="6">
        <f t="shared" si="5"/>
        <v>-0.57421749999999971</v>
      </c>
      <c r="F61" s="6">
        <f t="shared" si="6"/>
        <v>2.9699999999999865E-4</v>
      </c>
      <c r="G61" s="6">
        <f t="shared" si="2"/>
        <v>9.9323935731436315</v>
      </c>
      <c r="H61" s="7">
        <f t="shared" si="3"/>
        <v>-2.3108348951891488E-14</v>
      </c>
      <c r="I61" s="8" t="str">
        <f t="shared" si="4"/>
        <v/>
      </c>
    </row>
    <row r="62" spans="1:9" x14ac:dyDescent="0.2">
      <c r="A62" s="5">
        <v>61</v>
      </c>
      <c r="B62" s="6">
        <v>7.7854999999999994E-2</v>
      </c>
      <c r="C62" s="6">
        <f t="shared" si="0"/>
        <v>-1.3145000000000004E-2</v>
      </c>
      <c r="D62" s="6">
        <f t="shared" si="1"/>
        <v>-0.80184500000000025</v>
      </c>
      <c r="E62" s="6">
        <f t="shared" si="5"/>
        <v>-0.58759449999999969</v>
      </c>
      <c r="F62" s="6">
        <f t="shared" si="6"/>
        <v>4.2049999999999726E-4</v>
      </c>
      <c r="G62" s="6">
        <f t="shared" si="2"/>
        <v>9.6135577725749943</v>
      </c>
      <c r="H62" s="7">
        <f t="shared" si="3"/>
        <v>-1.5797544469118039E-14</v>
      </c>
      <c r="I62" s="8" t="str">
        <f t="shared" si="4"/>
        <v/>
      </c>
    </row>
    <row r="63" spans="1:9" x14ac:dyDescent="0.2">
      <c r="A63" s="5">
        <v>62</v>
      </c>
      <c r="B63" s="6">
        <v>7.8231999999999996E-2</v>
      </c>
      <c r="C63" s="6">
        <f t="shared" si="0"/>
        <v>-1.2768000000000002E-2</v>
      </c>
      <c r="D63" s="6">
        <f t="shared" si="1"/>
        <v>-0.7916160000000001</v>
      </c>
      <c r="E63" s="6">
        <f t="shared" si="5"/>
        <v>-0.60055099999999972</v>
      </c>
      <c r="F63" s="6">
        <f t="shared" si="6"/>
        <v>1.1600000000000499E-4</v>
      </c>
      <c r="G63" s="6">
        <f t="shared" si="2"/>
        <v>9.3548806846129722</v>
      </c>
      <c r="H63" s="7">
        <f t="shared" si="3"/>
        <v>-5.5725209468775434E-14</v>
      </c>
      <c r="I63" s="8" t="str">
        <f t="shared" si="4"/>
        <v/>
      </c>
    </row>
    <row r="64" spans="1:9" x14ac:dyDescent="0.2">
      <c r="A64" s="5">
        <v>63</v>
      </c>
      <c r="B64" s="6">
        <v>7.8087000000000004E-2</v>
      </c>
      <c r="C64" s="6">
        <f t="shared" si="0"/>
        <v>-1.2912999999999994E-2</v>
      </c>
      <c r="D64" s="6">
        <f t="shared" si="1"/>
        <v>-0.81351899999999966</v>
      </c>
      <c r="E64" s="6">
        <f t="shared" si="5"/>
        <v>-0.61339149999999976</v>
      </c>
      <c r="F64" s="6">
        <f t="shared" si="6"/>
        <v>1.3049999999999867E-4</v>
      </c>
      <c r="G64" s="6">
        <f t="shared" si="2"/>
        <v>9.4542268722906684</v>
      </c>
      <c r="H64" s="7">
        <f t="shared" si="3"/>
        <v>-5.0059551499054136E-14</v>
      </c>
      <c r="I64" s="8" t="str">
        <f t="shared" si="4"/>
        <v/>
      </c>
    </row>
    <row r="65" spans="1:9" x14ac:dyDescent="0.2">
      <c r="A65" s="5">
        <v>64</v>
      </c>
      <c r="B65" s="6">
        <v>7.8492999999999993E-2</v>
      </c>
      <c r="C65" s="6">
        <f t="shared" si="0"/>
        <v>-1.2507000000000004E-2</v>
      </c>
      <c r="D65" s="6">
        <f t="shared" si="1"/>
        <v>-0.80044800000000027</v>
      </c>
      <c r="E65" s="6">
        <f t="shared" si="5"/>
        <v>-0.62610149999999976</v>
      </c>
      <c r="F65" s="6">
        <f t="shared" si="6"/>
        <v>2.9699999999999865E-4</v>
      </c>
      <c r="G65" s="6">
        <f t="shared" si="2"/>
        <v>9.1764635467931122</v>
      </c>
      <c r="H65" s="7">
        <f t="shared" si="3"/>
        <v>-2.1349629394165426E-14</v>
      </c>
      <c r="I65" s="8" t="str">
        <f t="shared" si="4"/>
        <v/>
      </c>
    </row>
    <row r="66" spans="1:9" x14ac:dyDescent="0.2">
      <c r="A66" s="5">
        <v>65</v>
      </c>
      <c r="B66" s="6">
        <v>7.8681000000000001E-2</v>
      </c>
      <c r="C66" s="6">
        <f t="shared" ref="C66:C129" si="7">B66-$B$2</f>
        <v>-1.2318999999999997E-2</v>
      </c>
      <c r="D66" s="6">
        <f t="shared" ref="D66:D129" si="8">A66*C66</f>
        <v>-0.80073499999999975</v>
      </c>
      <c r="E66" s="6">
        <f t="shared" si="5"/>
        <v>-0.63851449999999976</v>
      </c>
      <c r="F66" s="6">
        <f t="shared" si="6"/>
        <v>-3.649999999999487E-5</v>
      </c>
      <c r="G66" s="6">
        <f t="shared" ref="G66:G129" si="9">(A66-$L$5)*C66-E66</f>
        <v>9.0480320758730546</v>
      </c>
      <c r="H66" s="7">
        <f t="shared" ref="H66:H129" si="10">IF(ABS(F66)&lt;0.000000001,"",-(G66)/(2*$L$4*F66)*0.000000000001)</f>
        <v>1.7129027760501763E-13</v>
      </c>
      <c r="I66" s="8" t="str">
        <f t="shared" ref="I66:I129" si="11">IF(AND(B66&gt;=0.5,B66&lt;=2.5,ISNUMBER(H66),H66&gt;0),H66,"")</f>
        <v/>
      </c>
    </row>
    <row r="67" spans="1:9" x14ac:dyDescent="0.2">
      <c r="A67" s="5">
        <v>66</v>
      </c>
      <c r="B67" s="6">
        <v>7.8420000000000004E-2</v>
      </c>
      <c r="C67" s="6">
        <f t="shared" si="7"/>
        <v>-1.2579999999999994E-2</v>
      </c>
      <c r="D67" s="6">
        <f t="shared" si="8"/>
        <v>-0.83027999999999957</v>
      </c>
      <c r="E67" s="6">
        <f t="shared" ref="E67:E130" si="12">E66+(C66+C67)/2*(A67-A66)</f>
        <v>-0.65096399999999977</v>
      </c>
      <c r="F67" s="6">
        <f t="shared" ref="F67:F130" si="13">(B68-B66)/(A68-A66)</f>
        <v>2.8999999999999859E-4</v>
      </c>
      <c r="G67" s="6">
        <f t="shared" si="9"/>
        <v>9.2260722136929143</v>
      </c>
      <c r="H67" s="7">
        <f t="shared" si="10"/>
        <v>-2.1983168958114025E-14</v>
      </c>
      <c r="I67" s="8" t="str">
        <f t="shared" si="11"/>
        <v/>
      </c>
    </row>
    <row r="68" spans="1:9" x14ac:dyDescent="0.2">
      <c r="A68" s="5">
        <v>67</v>
      </c>
      <c r="B68" s="6">
        <v>7.9260999999999998E-2</v>
      </c>
      <c r="C68" s="6">
        <f t="shared" si="7"/>
        <v>-1.1738999999999999E-2</v>
      </c>
      <c r="D68" s="6">
        <f t="shared" si="8"/>
        <v>-0.78651300000000002</v>
      </c>
      <c r="E68" s="6">
        <f t="shared" si="12"/>
        <v>-0.66312349999999975</v>
      </c>
      <c r="F68" s="6">
        <f t="shared" si="13"/>
        <v>5.0750000000000101E-4</v>
      </c>
      <c r="G68" s="6">
        <f t="shared" si="9"/>
        <v>8.6532283251622548</v>
      </c>
      <c r="H68" s="7">
        <f t="shared" si="10"/>
        <v>-1.1781851995036092E-14</v>
      </c>
      <c r="I68" s="8" t="str">
        <f t="shared" si="11"/>
        <v/>
      </c>
    </row>
    <row r="69" spans="1:9" x14ac:dyDescent="0.2">
      <c r="A69" s="5">
        <v>68</v>
      </c>
      <c r="B69" s="6">
        <v>7.9435000000000006E-2</v>
      </c>
      <c r="C69" s="6">
        <f t="shared" si="7"/>
        <v>-1.1564999999999992E-2</v>
      </c>
      <c r="D69" s="6">
        <f t="shared" si="8"/>
        <v>-0.78641999999999945</v>
      </c>
      <c r="E69" s="6">
        <f t="shared" si="12"/>
        <v>-0.67477549999999975</v>
      </c>
      <c r="F69" s="6">
        <f t="shared" si="13"/>
        <v>1.3749999999999873E-4</v>
      </c>
      <c r="G69" s="6">
        <f t="shared" si="9"/>
        <v>8.5348828999490074</v>
      </c>
      <c r="H69" s="7">
        <f t="shared" si="10"/>
        <v>-4.2891014121056766E-14</v>
      </c>
      <c r="I69" s="8" t="str">
        <f t="shared" si="11"/>
        <v/>
      </c>
    </row>
    <row r="70" spans="1:9" x14ac:dyDescent="0.2">
      <c r="A70" s="5">
        <v>69</v>
      </c>
      <c r="B70" s="6">
        <v>7.9535999999999996E-2</v>
      </c>
      <c r="C70" s="6">
        <f t="shared" si="7"/>
        <v>-1.1464000000000002E-2</v>
      </c>
      <c r="D70" s="6">
        <f t="shared" si="8"/>
        <v>-0.79101600000000016</v>
      </c>
      <c r="E70" s="6">
        <f t="shared" si="12"/>
        <v>-0.68628999999999973</v>
      </c>
      <c r="F70" s="6">
        <f t="shared" si="13"/>
        <v>5.7999999999995555E-5</v>
      </c>
      <c r="G70" s="6">
        <f t="shared" si="9"/>
        <v>8.466289141635583</v>
      </c>
      <c r="H70" s="7">
        <f t="shared" si="10"/>
        <v>-1.0086408405334715E-13</v>
      </c>
      <c r="I70" s="8" t="str">
        <f t="shared" si="11"/>
        <v/>
      </c>
    </row>
    <row r="71" spans="1:9" x14ac:dyDescent="0.2">
      <c r="A71" s="5">
        <v>70</v>
      </c>
      <c r="B71" s="6">
        <v>7.9550999999999997E-2</v>
      </c>
      <c r="C71" s="6">
        <f t="shared" si="7"/>
        <v>-1.1449000000000001E-2</v>
      </c>
      <c r="D71" s="6">
        <f t="shared" si="8"/>
        <v>-0.80143000000000009</v>
      </c>
      <c r="E71" s="6">
        <f t="shared" si="12"/>
        <v>-0.69774649999999971</v>
      </c>
      <c r="F71" s="6">
        <f t="shared" si="13"/>
        <v>0</v>
      </c>
      <c r="G71" s="6">
        <f t="shared" si="9"/>
        <v>8.4561169498068534</v>
      </c>
      <c r="H71" s="7" t="str">
        <f t="shared" si="10"/>
        <v/>
      </c>
      <c r="I71" s="8" t="str">
        <f t="shared" si="11"/>
        <v/>
      </c>
    </row>
    <row r="72" spans="1:9" x14ac:dyDescent="0.2">
      <c r="A72" s="5">
        <v>71</v>
      </c>
      <c r="B72" s="6">
        <v>7.9535999999999996E-2</v>
      </c>
      <c r="C72" s="6">
        <f t="shared" si="7"/>
        <v>-1.1464000000000002E-2</v>
      </c>
      <c r="D72" s="6">
        <f t="shared" si="8"/>
        <v>-0.81394400000000011</v>
      </c>
      <c r="E72" s="6">
        <f t="shared" si="12"/>
        <v>-0.70920299999999969</v>
      </c>
      <c r="F72" s="6">
        <f t="shared" si="13"/>
        <v>-6.5499999999996117E-5</v>
      </c>
      <c r="G72" s="6">
        <f t="shared" si="9"/>
        <v>8.4662741416355818</v>
      </c>
      <c r="H72" s="7">
        <f t="shared" si="10"/>
        <v>8.9314603209947755E-14</v>
      </c>
      <c r="I72" s="8" t="str">
        <f t="shared" si="11"/>
        <v/>
      </c>
    </row>
    <row r="73" spans="1:9" x14ac:dyDescent="0.2">
      <c r="A73" s="5">
        <v>72</v>
      </c>
      <c r="B73" s="6">
        <v>7.9420000000000004E-2</v>
      </c>
      <c r="C73" s="6">
        <f t="shared" si="7"/>
        <v>-1.1579999999999993E-2</v>
      </c>
      <c r="D73" s="6">
        <f t="shared" si="8"/>
        <v>-0.8337599999999995</v>
      </c>
      <c r="E73" s="6">
        <f t="shared" si="12"/>
        <v>-0.72072499999999973</v>
      </c>
      <c r="F73" s="6">
        <f t="shared" si="13"/>
        <v>-1.9550000000000123E-4</v>
      </c>
      <c r="G73" s="6">
        <f t="shared" si="9"/>
        <v>8.5447070917777364</v>
      </c>
      <c r="H73" s="7">
        <f t="shared" si="10"/>
        <v>3.0201037621560007E-14</v>
      </c>
      <c r="I73" s="8" t="str">
        <f t="shared" si="11"/>
        <v/>
      </c>
    </row>
    <row r="74" spans="1:9" x14ac:dyDescent="0.2">
      <c r="A74" s="5">
        <v>73</v>
      </c>
      <c r="B74" s="6">
        <v>7.9144999999999993E-2</v>
      </c>
      <c r="C74" s="6">
        <f t="shared" si="7"/>
        <v>-1.1855000000000004E-2</v>
      </c>
      <c r="D74" s="6">
        <f t="shared" si="8"/>
        <v>-0.86541500000000027</v>
      </c>
      <c r="E74" s="6">
        <f t="shared" si="12"/>
        <v>-0.73244249999999977</v>
      </c>
      <c r="F74" s="6">
        <f t="shared" si="13"/>
        <v>-3.0400000000000565E-4</v>
      </c>
      <c r="G74" s="6">
        <f t="shared" si="9"/>
        <v>8.7303722753044184</v>
      </c>
      <c r="H74" s="7">
        <f t="shared" si="10"/>
        <v>1.9844064298628058E-14</v>
      </c>
      <c r="I74" s="8" t="str">
        <f t="shared" si="11"/>
        <v/>
      </c>
    </row>
    <row r="75" spans="1:9" x14ac:dyDescent="0.2">
      <c r="A75" s="5">
        <v>74</v>
      </c>
      <c r="B75" s="6">
        <v>7.8811999999999993E-2</v>
      </c>
      <c r="C75" s="6">
        <f t="shared" si="7"/>
        <v>-1.2188000000000004E-2</v>
      </c>
      <c r="D75" s="6">
        <f t="shared" si="8"/>
        <v>-0.90191200000000027</v>
      </c>
      <c r="E75" s="6">
        <f t="shared" si="12"/>
        <v>-0.74446399999999979</v>
      </c>
      <c r="F75" s="6">
        <f t="shared" si="13"/>
        <v>-2.6099999999999735E-4</v>
      </c>
      <c r="G75" s="6">
        <f t="shared" si="9"/>
        <v>8.9548629339021701</v>
      </c>
      <c r="H75" s="7">
        <f t="shared" si="10"/>
        <v>2.3707725034634888E-14</v>
      </c>
      <c r="I75" s="8" t="str">
        <f t="shared" si="11"/>
        <v/>
      </c>
    </row>
    <row r="76" spans="1:9" x14ac:dyDescent="0.2">
      <c r="A76" s="5">
        <v>75</v>
      </c>
      <c r="B76" s="6">
        <v>7.8622999999999998E-2</v>
      </c>
      <c r="C76" s="6">
        <f t="shared" si="7"/>
        <v>-1.2376999999999999E-2</v>
      </c>
      <c r="D76" s="6">
        <f t="shared" si="8"/>
        <v>-0.92827499999999996</v>
      </c>
      <c r="E76" s="6">
        <f t="shared" si="12"/>
        <v>-0.75674649999999977</v>
      </c>
      <c r="F76" s="6">
        <f t="shared" si="13"/>
        <v>-3.649999999999487E-5</v>
      </c>
      <c r="G76" s="6">
        <f t="shared" si="9"/>
        <v>9.0820875509441361</v>
      </c>
      <c r="H76" s="7">
        <f t="shared" si="10"/>
        <v>1.7193498926496536E-13</v>
      </c>
      <c r="I76" s="8" t="str">
        <f t="shared" si="11"/>
        <v/>
      </c>
    </row>
    <row r="77" spans="1:9" x14ac:dyDescent="0.2">
      <c r="A77" s="5">
        <v>76</v>
      </c>
      <c r="B77" s="6">
        <v>7.8739000000000003E-2</v>
      </c>
      <c r="C77" s="6">
        <f t="shared" si="7"/>
        <v>-1.2260999999999994E-2</v>
      </c>
      <c r="D77" s="6">
        <f t="shared" si="8"/>
        <v>-0.93183599999999955</v>
      </c>
      <c r="E77" s="6">
        <f t="shared" si="12"/>
        <v>-0.76906549999999974</v>
      </c>
      <c r="F77" s="6">
        <f t="shared" si="13"/>
        <v>1.5949999999999992E-4</v>
      </c>
      <c r="G77" s="6">
        <f t="shared" si="9"/>
        <v>9.0041186008019736</v>
      </c>
      <c r="H77" s="7">
        <f t="shared" si="10"/>
        <v>-3.9007845658515063E-14</v>
      </c>
      <c r="I77" s="8" t="str">
        <f t="shared" si="11"/>
        <v/>
      </c>
    </row>
    <row r="78" spans="1:9" x14ac:dyDescent="0.2">
      <c r="A78" s="5">
        <v>77</v>
      </c>
      <c r="B78" s="6">
        <v>7.8941999999999998E-2</v>
      </c>
      <c r="C78" s="6">
        <f t="shared" si="7"/>
        <v>-1.2057999999999999E-2</v>
      </c>
      <c r="D78" s="6">
        <f t="shared" si="8"/>
        <v>-0.9284659999999999</v>
      </c>
      <c r="E78" s="6">
        <f t="shared" si="12"/>
        <v>-0.78122499999999973</v>
      </c>
      <c r="F78" s="6">
        <f t="shared" si="13"/>
        <v>1.5949999999999992E-4</v>
      </c>
      <c r="G78" s="6">
        <f t="shared" si="9"/>
        <v>8.867875938053194</v>
      </c>
      <c r="H78" s="7">
        <f t="shared" si="10"/>
        <v>-3.8417612122482327E-14</v>
      </c>
      <c r="I78" s="8" t="str">
        <f t="shared" si="11"/>
        <v/>
      </c>
    </row>
    <row r="79" spans="1:9" x14ac:dyDescent="0.2">
      <c r="A79" s="5">
        <v>78</v>
      </c>
      <c r="B79" s="6">
        <v>7.9058000000000003E-2</v>
      </c>
      <c r="C79" s="6">
        <f t="shared" si="7"/>
        <v>-1.1941999999999994E-2</v>
      </c>
      <c r="D79" s="6">
        <f t="shared" si="8"/>
        <v>-0.93147599999999953</v>
      </c>
      <c r="E79" s="6">
        <f t="shared" si="12"/>
        <v>-0.79322499999999974</v>
      </c>
      <c r="F79" s="6">
        <f t="shared" si="13"/>
        <v>1.3049999999999867E-4</v>
      </c>
      <c r="G79" s="6">
        <f t="shared" si="9"/>
        <v>8.7901389879110319</v>
      </c>
      <c r="H79" s="7">
        <f t="shared" si="10"/>
        <v>-4.6543246877104059E-14</v>
      </c>
      <c r="I79" s="8" t="str">
        <f t="shared" si="11"/>
        <v/>
      </c>
    </row>
    <row r="80" spans="1:9" x14ac:dyDescent="0.2">
      <c r="A80" s="5">
        <v>79</v>
      </c>
      <c r="B80" s="6">
        <v>7.9202999999999996E-2</v>
      </c>
      <c r="C80" s="6">
        <f t="shared" si="7"/>
        <v>-1.1797000000000002E-2</v>
      </c>
      <c r="D80" s="6">
        <f t="shared" si="8"/>
        <v>-0.9319630000000001</v>
      </c>
      <c r="E80" s="6">
        <f t="shared" si="12"/>
        <v>-0.80509449999999971</v>
      </c>
      <c r="F80" s="6">
        <f t="shared" si="13"/>
        <v>3.4050000000000052E-4</v>
      </c>
      <c r="G80" s="6">
        <f t="shared" si="9"/>
        <v>8.6931128002333367</v>
      </c>
      <c r="H80" s="7">
        <f t="shared" si="10"/>
        <v>-1.7641261793969709E-14</v>
      </c>
      <c r="I80" s="8" t="str">
        <f t="shared" si="11"/>
        <v/>
      </c>
    </row>
    <row r="81" spans="1:9" x14ac:dyDescent="0.2">
      <c r="A81" s="5">
        <v>80</v>
      </c>
      <c r="B81" s="6">
        <v>7.9739000000000004E-2</v>
      </c>
      <c r="C81" s="6">
        <f t="shared" si="7"/>
        <v>-1.1260999999999993E-2</v>
      </c>
      <c r="D81" s="6">
        <f t="shared" si="8"/>
        <v>-0.90087999999999946</v>
      </c>
      <c r="E81" s="6">
        <f t="shared" si="12"/>
        <v>-0.81662349999999972</v>
      </c>
      <c r="F81" s="6">
        <f t="shared" si="13"/>
        <v>2.1750000000000241E-4</v>
      </c>
      <c r="G81" s="6">
        <f t="shared" si="9"/>
        <v>8.3349864788867958</v>
      </c>
      <c r="H81" s="7">
        <f t="shared" si="10"/>
        <v>-2.6479945352695979E-14</v>
      </c>
      <c r="I81" s="8" t="str">
        <f t="shared" si="11"/>
        <v/>
      </c>
    </row>
    <row r="82" spans="1:9" x14ac:dyDescent="0.2">
      <c r="A82" s="5">
        <v>81</v>
      </c>
      <c r="B82" s="6">
        <v>7.9638E-2</v>
      </c>
      <c r="C82" s="6">
        <f t="shared" si="7"/>
        <v>-1.1361999999999997E-2</v>
      </c>
      <c r="D82" s="6">
        <f t="shared" si="8"/>
        <v>-0.92032199999999975</v>
      </c>
      <c r="E82" s="6">
        <f t="shared" si="12"/>
        <v>-0.82793499999999975</v>
      </c>
      <c r="F82" s="6">
        <f t="shared" si="13"/>
        <v>-9.4000000000003803E-5</v>
      </c>
      <c r="G82" s="6">
        <f t="shared" si="9"/>
        <v>8.4023682372002302</v>
      </c>
      <c r="H82" s="7">
        <f t="shared" si="10"/>
        <v>6.1765406398855967E-14</v>
      </c>
      <c r="I82" s="8" t="str">
        <f t="shared" si="11"/>
        <v/>
      </c>
    </row>
    <row r="83" spans="1:9" x14ac:dyDescent="0.2">
      <c r="A83" s="5">
        <v>82</v>
      </c>
      <c r="B83" s="6">
        <v>7.9550999999999997E-2</v>
      </c>
      <c r="C83" s="6">
        <f t="shared" si="7"/>
        <v>-1.1449000000000001E-2</v>
      </c>
      <c r="D83" s="6">
        <f t="shared" si="8"/>
        <v>-0.93881800000000004</v>
      </c>
      <c r="E83" s="6">
        <f t="shared" si="12"/>
        <v>-0.83934049999999971</v>
      </c>
      <c r="F83" s="6">
        <f t="shared" si="13"/>
        <v>-2.395000000000036E-4</v>
      </c>
      <c r="G83" s="6">
        <f t="shared" si="9"/>
        <v>8.4603229498068533</v>
      </c>
      <c r="H83" s="7">
        <f t="shared" si="10"/>
        <v>2.4409162000848013E-14</v>
      </c>
      <c r="I83" s="8" t="str">
        <f t="shared" si="11"/>
        <v/>
      </c>
    </row>
    <row r="84" spans="1:9" x14ac:dyDescent="0.2">
      <c r="A84" s="5">
        <v>83</v>
      </c>
      <c r="B84" s="6">
        <v>7.9158999999999993E-2</v>
      </c>
      <c r="C84" s="6">
        <f t="shared" si="7"/>
        <v>-1.1841000000000004E-2</v>
      </c>
      <c r="D84" s="6">
        <f t="shared" si="8"/>
        <v>-0.98280300000000032</v>
      </c>
      <c r="E84" s="6">
        <f t="shared" si="12"/>
        <v>-0.85098549999999973</v>
      </c>
      <c r="F84" s="6">
        <f t="shared" si="13"/>
        <v>-3.6950000000000177E-4</v>
      </c>
      <c r="G84" s="6">
        <f t="shared" si="9"/>
        <v>8.7210602295976045</v>
      </c>
      <c r="H84" s="7">
        <f t="shared" si="10"/>
        <v>1.6308960814626241E-14</v>
      </c>
      <c r="I84" s="8" t="str">
        <f t="shared" si="11"/>
        <v/>
      </c>
    </row>
    <row r="85" spans="1:9" x14ac:dyDescent="0.2">
      <c r="A85" s="5">
        <v>84</v>
      </c>
      <c r="B85" s="6">
        <v>7.8811999999999993E-2</v>
      </c>
      <c r="C85" s="6">
        <f t="shared" si="7"/>
        <v>-1.2188000000000004E-2</v>
      </c>
      <c r="D85" s="6">
        <f t="shared" si="8"/>
        <v>-1.0237920000000003</v>
      </c>
      <c r="E85" s="6">
        <f t="shared" si="12"/>
        <v>-0.86299999999999977</v>
      </c>
      <c r="F85" s="6">
        <f t="shared" si="13"/>
        <v>-2.6049999999999685E-4</v>
      </c>
      <c r="G85" s="6">
        <f t="shared" si="9"/>
        <v>8.9515189339021717</v>
      </c>
      <c r="H85" s="7">
        <f t="shared" si="10"/>
        <v>2.3744359175285549E-14</v>
      </c>
      <c r="I85" s="8" t="str">
        <f t="shared" si="11"/>
        <v/>
      </c>
    </row>
    <row r="86" spans="1:9" x14ac:dyDescent="0.2">
      <c r="A86" s="5">
        <v>85</v>
      </c>
      <c r="B86" s="6">
        <v>7.8638E-2</v>
      </c>
      <c r="C86" s="6">
        <f t="shared" si="7"/>
        <v>-1.2361999999999998E-2</v>
      </c>
      <c r="D86" s="6">
        <f t="shared" si="8"/>
        <v>-1.0507699999999998</v>
      </c>
      <c r="E86" s="6">
        <f t="shared" si="12"/>
        <v>-0.8752749999999998</v>
      </c>
      <c r="F86" s="6">
        <f t="shared" si="13"/>
        <v>1.810000000000006E-4</v>
      </c>
      <c r="G86" s="6">
        <f t="shared" si="9"/>
        <v>9.0669063591154089</v>
      </c>
      <c r="H86" s="7">
        <f t="shared" si="10"/>
        <v>-3.4614016928537854E-14</v>
      </c>
      <c r="I86" s="8" t="str">
        <f t="shared" si="11"/>
        <v/>
      </c>
    </row>
    <row r="87" spans="1:9" x14ac:dyDescent="0.2">
      <c r="A87" s="5">
        <v>86</v>
      </c>
      <c r="B87" s="6">
        <v>7.9173999999999994E-2</v>
      </c>
      <c r="C87" s="6">
        <f t="shared" si="7"/>
        <v>-1.1826000000000003E-2</v>
      </c>
      <c r="D87" s="6">
        <f t="shared" si="8"/>
        <v>-1.0170360000000003</v>
      </c>
      <c r="E87" s="6">
        <f t="shared" si="12"/>
        <v>-0.88736899999999985</v>
      </c>
      <c r="F87" s="6">
        <f t="shared" si="13"/>
        <v>2.9699999999999865E-4</v>
      </c>
      <c r="G87" s="6">
        <f t="shared" si="9"/>
        <v>8.711996037768877</v>
      </c>
      <c r="H87" s="7">
        <f t="shared" si="10"/>
        <v>-2.0269016025765572E-14</v>
      </c>
      <c r="I87" s="8" t="str">
        <f t="shared" si="11"/>
        <v/>
      </c>
    </row>
    <row r="88" spans="1:9" x14ac:dyDescent="0.2">
      <c r="A88" s="5">
        <v>87</v>
      </c>
      <c r="B88" s="6">
        <v>7.9231999999999997E-2</v>
      </c>
      <c r="C88" s="6">
        <f t="shared" si="7"/>
        <v>-1.1768000000000001E-2</v>
      </c>
      <c r="D88" s="6">
        <f t="shared" si="8"/>
        <v>-1.0238160000000001</v>
      </c>
      <c r="E88" s="6">
        <f t="shared" si="12"/>
        <v>-0.89916599999999991</v>
      </c>
      <c r="F88" s="6">
        <f t="shared" si="13"/>
        <v>4.3500000000001871E-5</v>
      </c>
      <c r="G88" s="6">
        <f t="shared" si="9"/>
        <v>8.6736495626977952</v>
      </c>
      <c r="H88" s="7">
        <f t="shared" si="10"/>
        <v>-1.3777932754327694E-13</v>
      </c>
      <c r="I88" s="8" t="str">
        <f t="shared" si="11"/>
        <v/>
      </c>
    </row>
    <row r="89" spans="1:9" x14ac:dyDescent="0.2">
      <c r="A89" s="5">
        <v>88</v>
      </c>
      <c r="B89" s="6">
        <v>7.9260999999999998E-2</v>
      </c>
      <c r="C89" s="6">
        <f t="shared" si="7"/>
        <v>-1.1738999999999999E-2</v>
      </c>
      <c r="D89" s="6">
        <f t="shared" si="8"/>
        <v>-1.033032</v>
      </c>
      <c r="E89" s="6">
        <f t="shared" si="12"/>
        <v>-0.91091949999999988</v>
      </c>
      <c r="F89" s="6">
        <f t="shared" si="13"/>
        <v>1.0150000000000436E-4</v>
      </c>
      <c r="G89" s="6">
        <f t="shared" si="9"/>
        <v>8.6545053251622548</v>
      </c>
      <c r="H89" s="7">
        <f t="shared" si="10"/>
        <v>-5.8917953508060968E-14</v>
      </c>
      <c r="I89" s="8" t="str">
        <f t="shared" si="11"/>
        <v/>
      </c>
    </row>
    <row r="90" spans="1:9" x14ac:dyDescent="0.2">
      <c r="A90" s="5">
        <v>89</v>
      </c>
      <c r="B90" s="6">
        <v>7.9435000000000006E-2</v>
      </c>
      <c r="C90" s="6">
        <f t="shared" si="7"/>
        <v>-1.1564999999999992E-2</v>
      </c>
      <c r="D90" s="6">
        <f t="shared" si="8"/>
        <v>-1.0292849999999993</v>
      </c>
      <c r="E90" s="6">
        <f t="shared" si="12"/>
        <v>-0.92257149999999988</v>
      </c>
      <c r="F90" s="6">
        <f t="shared" si="13"/>
        <v>1.4500000000000624E-5</v>
      </c>
      <c r="G90" s="6">
        <f t="shared" si="9"/>
        <v>8.5398138999490083</v>
      </c>
      <c r="H90" s="7">
        <f t="shared" si="10"/>
        <v>-4.069601179899659E-13</v>
      </c>
      <c r="I90" s="8" t="str">
        <f t="shared" si="11"/>
        <v/>
      </c>
    </row>
    <row r="91" spans="1:9" x14ac:dyDescent="0.2">
      <c r="A91" s="5">
        <v>90</v>
      </c>
      <c r="B91" s="6">
        <v>7.9289999999999999E-2</v>
      </c>
      <c r="C91" s="6">
        <f t="shared" si="7"/>
        <v>-1.1709999999999998E-2</v>
      </c>
      <c r="D91" s="6">
        <f t="shared" si="8"/>
        <v>-1.0538999999999998</v>
      </c>
      <c r="E91" s="6">
        <f t="shared" si="12"/>
        <v>-0.93420899999999985</v>
      </c>
      <c r="F91" s="6">
        <f t="shared" si="13"/>
        <v>1.2299999999999811E-4</v>
      </c>
      <c r="G91" s="6">
        <f t="shared" si="9"/>
        <v>8.6352450876267124</v>
      </c>
      <c r="H91" s="7">
        <f t="shared" si="10"/>
        <v>-4.851108666034577E-14</v>
      </c>
      <c r="I91" s="8" t="str">
        <f t="shared" si="11"/>
        <v/>
      </c>
    </row>
    <row r="92" spans="1:9" x14ac:dyDescent="0.2">
      <c r="A92" s="5">
        <v>91</v>
      </c>
      <c r="B92" s="6">
        <v>7.9681000000000002E-2</v>
      </c>
      <c r="C92" s="6">
        <f t="shared" si="7"/>
        <v>-1.1318999999999996E-2</v>
      </c>
      <c r="D92" s="6">
        <f t="shared" si="8"/>
        <v>-1.0300289999999996</v>
      </c>
      <c r="E92" s="6">
        <f t="shared" si="12"/>
        <v>-0.94572349999999983</v>
      </c>
      <c r="F92" s="6">
        <f t="shared" si="13"/>
        <v>1.810000000000006E-4</v>
      </c>
      <c r="G92" s="6">
        <f t="shared" si="9"/>
        <v>8.3783009539578774</v>
      </c>
      <c r="H92" s="7">
        <f t="shared" si="10"/>
        <v>-3.1985182108021312E-14</v>
      </c>
      <c r="I92" s="8" t="str">
        <f t="shared" si="11"/>
        <v/>
      </c>
    </row>
    <row r="93" spans="1:9" x14ac:dyDescent="0.2">
      <c r="A93" s="5">
        <v>92</v>
      </c>
      <c r="B93" s="6">
        <v>7.9652000000000001E-2</v>
      </c>
      <c r="C93" s="6">
        <f t="shared" si="7"/>
        <v>-1.1347999999999997E-2</v>
      </c>
      <c r="D93" s="6">
        <f t="shared" si="8"/>
        <v>-1.0440159999999996</v>
      </c>
      <c r="E93" s="6">
        <f t="shared" si="12"/>
        <v>-0.95705699999999982</v>
      </c>
      <c r="F93" s="6">
        <f t="shared" si="13"/>
        <v>1.3049999999999867E-4</v>
      </c>
      <c r="G93" s="6">
        <f t="shared" si="9"/>
        <v>8.3973291914934194</v>
      </c>
      <c r="H93" s="7">
        <f t="shared" si="10"/>
        <v>-4.446334309451839E-14</v>
      </c>
      <c r="I93" s="8" t="str">
        <f t="shared" si="11"/>
        <v/>
      </c>
    </row>
    <row r="94" spans="1:9" x14ac:dyDescent="0.2">
      <c r="A94" s="5">
        <v>93</v>
      </c>
      <c r="B94" s="6">
        <v>7.9941999999999999E-2</v>
      </c>
      <c r="C94" s="6">
        <f t="shared" si="7"/>
        <v>-1.1057999999999998E-2</v>
      </c>
      <c r="D94" s="6">
        <f t="shared" si="8"/>
        <v>-1.0283939999999998</v>
      </c>
      <c r="E94" s="6">
        <f t="shared" si="12"/>
        <v>-0.96825999999999979</v>
      </c>
      <c r="F94" s="6">
        <f t="shared" si="13"/>
        <v>-8.7000000000003741E-5</v>
      </c>
      <c r="G94" s="6">
        <f t="shared" si="9"/>
        <v>8.2073368161380174</v>
      </c>
      <c r="H94" s="7">
        <f t="shared" si="10"/>
        <v>6.5186017677716653E-14</v>
      </c>
      <c r="I94" s="8" t="str">
        <f t="shared" si="11"/>
        <v/>
      </c>
    </row>
    <row r="95" spans="1:9" x14ac:dyDescent="0.2">
      <c r="A95" s="5">
        <v>94</v>
      </c>
      <c r="B95" s="6">
        <v>7.9477999999999993E-2</v>
      </c>
      <c r="C95" s="6">
        <f t="shared" si="7"/>
        <v>-1.1522000000000004E-2</v>
      </c>
      <c r="D95" s="6">
        <f t="shared" si="8"/>
        <v>-1.0830680000000004</v>
      </c>
      <c r="E95" s="6">
        <f t="shared" si="12"/>
        <v>-0.97954999999999981</v>
      </c>
      <c r="F95" s="6">
        <f t="shared" si="13"/>
        <v>-4.2049999999999726E-4</v>
      </c>
      <c r="G95" s="6">
        <f t="shared" si="9"/>
        <v>8.5108606167066636</v>
      </c>
      <c r="H95" s="7">
        <f t="shared" si="10"/>
        <v>1.3985529836460975E-14</v>
      </c>
      <c r="I95" s="8" t="str">
        <f t="shared" si="11"/>
        <v/>
      </c>
    </row>
    <row r="96" spans="1:9" x14ac:dyDescent="0.2">
      <c r="A96" s="5">
        <v>95</v>
      </c>
      <c r="B96" s="6">
        <v>7.9101000000000005E-2</v>
      </c>
      <c r="C96" s="6">
        <f t="shared" si="7"/>
        <v>-1.1898999999999993E-2</v>
      </c>
      <c r="D96" s="6">
        <f t="shared" si="8"/>
        <v>-1.1304049999999992</v>
      </c>
      <c r="E96" s="6">
        <f t="shared" si="12"/>
        <v>-0.99126049999999977</v>
      </c>
      <c r="F96" s="6">
        <f t="shared" si="13"/>
        <v>-2.2449999999999554E-4</v>
      </c>
      <c r="G96" s="6">
        <f t="shared" si="9"/>
        <v>8.7570967046686778</v>
      </c>
      <c r="H96" s="7">
        <f t="shared" si="10"/>
        <v>2.6953504885461494E-14</v>
      </c>
      <c r="I96" s="8" t="str">
        <f t="shared" si="11"/>
        <v/>
      </c>
    </row>
    <row r="97" spans="1:9" x14ac:dyDescent="0.2">
      <c r="A97" s="5">
        <v>96</v>
      </c>
      <c r="B97" s="6">
        <v>7.9029000000000002E-2</v>
      </c>
      <c r="C97" s="6">
        <f t="shared" si="7"/>
        <v>-1.1970999999999996E-2</v>
      </c>
      <c r="D97" s="6">
        <f t="shared" si="8"/>
        <v>-1.1492159999999996</v>
      </c>
      <c r="E97" s="6">
        <f t="shared" si="12"/>
        <v>-1.0031954999999997</v>
      </c>
      <c r="F97" s="6">
        <f t="shared" si="13"/>
        <v>-5.7500000000001994E-5</v>
      </c>
      <c r="G97" s="6">
        <f t="shared" si="9"/>
        <v>8.8040512254465728</v>
      </c>
      <c r="H97" s="7">
        <f t="shared" si="10"/>
        <v>1.0580012047787953E-13</v>
      </c>
      <c r="I97" s="8" t="str">
        <f t="shared" si="11"/>
        <v/>
      </c>
    </row>
    <row r="98" spans="1:9" x14ac:dyDescent="0.2">
      <c r="A98" s="5">
        <v>97</v>
      </c>
      <c r="B98" s="6">
        <v>7.8986000000000001E-2</v>
      </c>
      <c r="C98" s="6">
        <f t="shared" si="7"/>
        <v>-1.2013999999999997E-2</v>
      </c>
      <c r="D98" s="6">
        <f t="shared" si="8"/>
        <v>-1.1653579999999997</v>
      </c>
      <c r="E98" s="6">
        <f t="shared" si="12"/>
        <v>-1.0151879999999998</v>
      </c>
      <c r="F98" s="6">
        <f t="shared" si="13"/>
        <v>1.9550000000000123E-4</v>
      </c>
      <c r="G98" s="6">
        <f t="shared" si="9"/>
        <v>8.8320505086889263</v>
      </c>
      <c r="H98" s="7">
        <f t="shared" si="10"/>
        <v>-3.1216645207780614E-14</v>
      </c>
      <c r="I98" s="8" t="str">
        <f t="shared" si="11"/>
        <v/>
      </c>
    </row>
    <row r="99" spans="1:9" x14ac:dyDescent="0.2">
      <c r="A99" s="5">
        <v>98</v>
      </c>
      <c r="B99" s="6">
        <v>7.9420000000000004E-2</v>
      </c>
      <c r="C99" s="6">
        <f t="shared" si="7"/>
        <v>-1.1579999999999993E-2</v>
      </c>
      <c r="D99" s="6">
        <f t="shared" si="8"/>
        <v>-1.1348399999999994</v>
      </c>
      <c r="E99" s="6">
        <f t="shared" si="12"/>
        <v>-1.0269849999999998</v>
      </c>
      <c r="F99" s="6">
        <f t="shared" si="13"/>
        <v>-7.5000000000005618E-6</v>
      </c>
      <c r="G99" s="6">
        <f t="shared" si="9"/>
        <v>8.5498870917777374</v>
      </c>
      <c r="H99" s="7">
        <f t="shared" si="10"/>
        <v>7.8771762408117717E-13</v>
      </c>
      <c r="I99" s="8" t="str">
        <f t="shared" si="11"/>
        <v/>
      </c>
    </row>
    <row r="100" spans="1:9" x14ac:dyDescent="0.2">
      <c r="A100" s="5">
        <v>99</v>
      </c>
      <c r="B100" s="6">
        <v>7.8971E-2</v>
      </c>
      <c r="C100" s="6">
        <f t="shared" si="7"/>
        <v>-1.2028999999999998E-2</v>
      </c>
      <c r="D100" s="6">
        <f t="shared" si="8"/>
        <v>-1.1908709999999998</v>
      </c>
      <c r="E100" s="6">
        <f t="shared" si="12"/>
        <v>-1.0387894999999998</v>
      </c>
      <c r="F100" s="6">
        <f t="shared" si="13"/>
        <v>-1.4500000000000624E-5</v>
      </c>
      <c r="G100" s="6">
        <f t="shared" si="9"/>
        <v>8.8413537005176543</v>
      </c>
      <c r="H100" s="7">
        <f t="shared" si="10"/>
        <v>4.2132983075605083E-13</v>
      </c>
      <c r="I100" s="8" t="str">
        <f t="shared" si="11"/>
        <v/>
      </c>
    </row>
    <row r="101" spans="1:9" x14ac:dyDescent="0.2">
      <c r="A101" s="5">
        <v>100</v>
      </c>
      <c r="B101" s="6">
        <v>7.9391000000000003E-2</v>
      </c>
      <c r="C101" s="6">
        <f t="shared" si="7"/>
        <v>-1.1608999999999994E-2</v>
      </c>
      <c r="D101" s="6">
        <f t="shared" si="8"/>
        <v>-1.1608999999999994</v>
      </c>
      <c r="E101" s="6">
        <f t="shared" si="12"/>
        <v>-1.0506084999999998</v>
      </c>
      <c r="F101" s="6">
        <f t="shared" si="13"/>
        <v>5.0500000000001932E-5</v>
      </c>
      <c r="G101" s="6">
        <f t="shared" si="9"/>
        <v>8.5691323293132768</v>
      </c>
      <c r="H101" s="7">
        <f t="shared" si="10"/>
        <v>-1.1725109777450685E-13</v>
      </c>
      <c r="I101" s="8" t="str">
        <f t="shared" si="11"/>
        <v/>
      </c>
    </row>
    <row r="102" spans="1:9" x14ac:dyDescent="0.2">
      <c r="A102" s="5">
        <v>101</v>
      </c>
      <c r="B102" s="6">
        <v>7.9072000000000003E-2</v>
      </c>
      <c r="C102" s="6">
        <f t="shared" si="7"/>
        <v>-1.1927999999999994E-2</v>
      </c>
      <c r="D102" s="6">
        <f t="shared" si="8"/>
        <v>-1.2047279999999994</v>
      </c>
      <c r="E102" s="6">
        <f t="shared" si="12"/>
        <v>-1.0623769999999999</v>
      </c>
      <c r="F102" s="6">
        <f t="shared" si="13"/>
        <v>-4.2750000000000427E-4</v>
      </c>
      <c r="G102" s="6">
        <f t="shared" si="9"/>
        <v>8.7755719422042198</v>
      </c>
      <c r="H102" s="7">
        <f t="shared" si="10"/>
        <v>1.4184393080413611E-14</v>
      </c>
      <c r="I102" s="8" t="str">
        <f t="shared" si="11"/>
        <v/>
      </c>
    </row>
    <row r="103" spans="1:9" x14ac:dyDescent="0.2">
      <c r="A103" s="5">
        <v>102</v>
      </c>
      <c r="B103" s="6">
        <v>7.8535999999999995E-2</v>
      </c>
      <c r="C103" s="6">
        <f t="shared" si="7"/>
        <v>-1.2464000000000003E-2</v>
      </c>
      <c r="D103" s="6">
        <f t="shared" si="8"/>
        <v>-1.2713280000000002</v>
      </c>
      <c r="E103" s="6">
        <f t="shared" si="12"/>
        <v>-1.074573</v>
      </c>
      <c r="F103" s="6">
        <f t="shared" si="13"/>
        <v>-3.9100000000000246E-4</v>
      </c>
      <c r="G103" s="6">
        <f t="shared" si="9"/>
        <v>9.1219062635507591</v>
      </c>
      <c r="H103" s="7">
        <f t="shared" si="10"/>
        <v>1.6120566292490906E-14</v>
      </c>
      <c r="I103" s="8" t="str">
        <f t="shared" si="11"/>
        <v/>
      </c>
    </row>
    <row r="104" spans="1:9" x14ac:dyDescent="0.2">
      <c r="A104" s="5">
        <v>103</v>
      </c>
      <c r="B104" s="6">
        <v>7.8289999999999998E-2</v>
      </c>
      <c r="C104" s="6">
        <f t="shared" si="7"/>
        <v>-1.2709999999999999E-2</v>
      </c>
      <c r="D104" s="6">
        <f t="shared" si="8"/>
        <v>-1.3091299999999999</v>
      </c>
      <c r="E104" s="6">
        <f t="shared" si="12"/>
        <v>-1.0871599999999999</v>
      </c>
      <c r="F104" s="6">
        <f t="shared" si="13"/>
        <v>-2.1749999999999547E-4</v>
      </c>
      <c r="G104" s="6">
        <f t="shared" si="9"/>
        <v>9.2806122095418893</v>
      </c>
      <c r="H104" s="7">
        <f t="shared" si="10"/>
        <v>2.9484163504133495E-14</v>
      </c>
      <c r="I104" s="8" t="str">
        <f t="shared" si="11"/>
        <v/>
      </c>
    </row>
    <row r="105" spans="1:9" x14ac:dyDescent="0.2">
      <c r="A105" s="5">
        <v>104</v>
      </c>
      <c r="B105" s="6">
        <v>7.8101000000000004E-2</v>
      </c>
      <c r="C105" s="6">
        <f t="shared" si="7"/>
        <v>-1.2898999999999994E-2</v>
      </c>
      <c r="D105" s="6">
        <f t="shared" si="8"/>
        <v>-1.3414959999999994</v>
      </c>
      <c r="E105" s="6">
        <f t="shared" si="12"/>
        <v>-1.0999645</v>
      </c>
      <c r="F105" s="6">
        <f t="shared" si="13"/>
        <v>-3.6500000000001809E-5</v>
      </c>
      <c r="G105" s="6">
        <f t="shared" si="9"/>
        <v>9.4023558265838556</v>
      </c>
      <c r="H105" s="7">
        <f t="shared" si="10"/>
        <v>1.7799805816017686E-13</v>
      </c>
      <c r="I105" s="8" t="str">
        <f t="shared" si="11"/>
        <v/>
      </c>
    </row>
    <row r="106" spans="1:9" x14ac:dyDescent="0.2">
      <c r="A106" s="5">
        <v>105</v>
      </c>
      <c r="B106" s="6">
        <v>7.8216999999999995E-2</v>
      </c>
      <c r="C106" s="6">
        <f t="shared" si="7"/>
        <v>-1.2783000000000003E-2</v>
      </c>
      <c r="D106" s="6">
        <f t="shared" si="8"/>
        <v>-1.3422150000000004</v>
      </c>
      <c r="E106" s="6">
        <f t="shared" si="12"/>
        <v>-1.1128055000000001</v>
      </c>
      <c r="F106" s="6">
        <f t="shared" si="13"/>
        <v>7.999999999999674E-5</v>
      </c>
      <c r="G106" s="6">
        <f t="shared" si="9"/>
        <v>9.3277508764417014</v>
      </c>
      <c r="H106" s="7">
        <f t="shared" si="10"/>
        <v>-8.0567223573470165E-14</v>
      </c>
      <c r="I106" s="8" t="str">
        <f t="shared" si="11"/>
        <v/>
      </c>
    </row>
    <row r="107" spans="1:9" x14ac:dyDescent="0.2">
      <c r="A107" s="5">
        <v>106</v>
      </c>
      <c r="B107" s="6">
        <v>7.8260999999999997E-2</v>
      </c>
      <c r="C107" s="6">
        <f t="shared" si="7"/>
        <v>-1.2739E-2</v>
      </c>
      <c r="D107" s="6">
        <f t="shared" si="8"/>
        <v>-1.3503340000000001</v>
      </c>
      <c r="E107" s="6">
        <f t="shared" si="12"/>
        <v>-1.1255665000000001</v>
      </c>
      <c r="F107" s="6">
        <f t="shared" si="13"/>
        <v>1.5249999999999986E-4</v>
      </c>
      <c r="G107" s="6">
        <f t="shared" si="9"/>
        <v>9.2994964470774306</v>
      </c>
      <c r="H107" s="7">
        <f t="shared" si="10"/>
        <v>-4.2136749979961029E-14</v>
      </c>
      <c r="I107" s="8" t="str">
        <f t="shared" si="11"/>
        <v/>
      </c>
    </row>
    <row r="108" spans="1:9" x14ac:dyDescent="0.2">
      <c r="A108" s="5">
        <v>107</v>
      </c>
      <c r="B108" s="6">
        <v>7.8521999999999995E-2</v>
      </c>
      <c r="C108" s="6">
        <f t="shared" si="7"/>
        <v>-1.2478000000000003E-2</v>
      </c>
      <c r="D108" s="6">
        <f t="shared" si="8"/>
        <v>-1.3351460000000004</v>
      </c>
      <c r="E108" s="6">
        <f t="shared" si="12"/>
        <v>-1.1381750000000002</v>
      </c>
      <c r="F108" s="6">
        <f t="shared" si="13"/>
        <v>2.9699999999999865E-4</v>
      </c>
      <c r="G108" s="6">
        <f t="shared" si="9"/>
        <v>9.1321573092575719</v>
      </c>
      <c r="H108" s="7">
        <f t="shared" si="10"/>
        <v>-2.1246548098586782E-14</v>
      </c>
      <c r="I108" s="8" t="str">
        <f t="shared" si="11"/>
        <v/>
      </c>
    </row>
    <row r="109" spans="1:9" x14ac:dyDescent="0.2">
      <c r="A109" s="5">
        <v>108</v>
      </c>
      <c r="B109" s="6">
        <v>7.8854999999999995E-2</v>
      </c>
      <c r="C109" s="6">
        <f t="shared" si="7"/>
        <v>-1.2145000000000003E-2</v>
      </c>
      <c r="D109" s="6">
        <f t="shared" si="8"/>
        <v>-1.3116600000000003</v>
      </c>
      <c r="E109" s="6">
        <f t="shared" si="12"/>
        <v>-1.1504865000000002</v>
      </c>
      <c r="F109" s="6">
        <f t="shared" si="13"/>
        <v>7.2500000000003118E-5</v>
      </c>
      <c r="G109" s="6">
        <f t="shared" si="9"/>
        <v>8.9189886506598182</v>
      </c>
      <c r="H109" s="7">
        <f t="shared" si="10"/>
        <v>-8.5005896291144215E-14</v>
      </c>
      <c r="I109" s="8" t="str">
        <f t="shared" si="11"/>
        <v/>
      </c>
    </row>
    <row r="110" spans="1:9" x14ac:dyDescent="0.2">
      <c r="A110" s="5">
        <v>109</v>
      </c>
      <c r="B110" s="6">
        <v>7.8667000000000001E-2</v>
      </c>
      <c r="C110" s="6">
        <f t="shared" si="7"/>
        <v>-1.2332999999999997E-2</v>
      </c>
      <c r="D110" s="6">
        <f t="shared" si="8"/>
        <v>-1.3442969999999996</v>
      </c>
      <c r="E110" s="6">
        <f t="shared" si="12"/>
        <v>-1.1627255000000001</v>
      </c>
      <c r="F110" s="6">
        <f t="shared" si="13"/>
        <v>-1.4500000000000624E-5</v>
      </c>
      <c r="G110" s="6">
        <f t="shared" si="9"/>
        <v>9.039148121579867</v>
      </c>
      <c r="H110" s="7">
        <f t="shared" si="10"/>
        <v>4.3075561472234029E-13</v>
      </c>
      <c r="I110" s="8" t="str">
        <f t="shared" si="11"/>
        <v/>
      </c>
    </row>
    <row r="111" spans="1:9" x14ac:dyDescent="0.2">
      <c r="A111" s="5">
        <v>110</v>
      </c>
      <c r="B111" s="6">
        <v>7.8825999999999993E-2</v>
      </c>
      <c r="C111" s="6">
        <f t="shared" si="7"/>
        <v>-1.2174000000000004E-2</v>
      </c>
      <c r="D111" s="6">
        <f t="shared" si="8"/>
        <v>-1.3391400000000004</v>
      </c>
      <c r="E111" s="6">
        <f t="shared" si="12"/>
        <v>-1.174979</v>
      </c>
      <c r="F111" s="6">
        <f t="shared" si="13"/>
        <v>1.7350000000000004E-4</v>
      </c>
      <c r="G111" s="6">
        <f t="shared" si="9"/>
        <v>8.9376828881953596</v>
      </c>
      <c r="H111" s="7">
        <f t="shared" si="10"/>
        <v>-3.5595648431694224E-14</v>
      </c>
      <c r="I111" s="8" t="str">
        <f t="shared" si="11"/>
        <v/>
      </c>
    </row>
    <row r="112" spans="1:9" x14ac:dyDescent="0.2">
      <c r="A112" s="5">
        <v>111</v>
      </c>
      <c r="B112" s="6">
        <v>7.9014000000000001E-2</v>
      </c>
      <c r="C112" s="6">
        <f t="shared" si="7"/>
        <v>-1.1985999999999997E-2</v>
      </c>
      <c r="D112" s="6">
        <f t="shared" si="8"/>
        <v>-1.3304459999999996</v>
      </c>
      <c r="E112" s="6">
        <f t="shared" si="12"/>
        <v>-1.1870590000000001</v>
      </c>
      <c r="F112" s="6">
        <f t="shared" si="13"/>
        <v>2.1000000000000185E-4</v>
      </c>
      <c r="G112" s="6">
        <f t="shared" si="9"/>
        <v>8.8178994172753011</v>
      </c>
      <c r="H112" s="7">
        <f t="shared" si="10"/>
        <v>-2.9014647059922679E-14</v>
      </c>
      <c r="I112" s="8" t="str">
        <f t="shared" si="11"/>
        <v/>
      </c>
    </row>
    <row r="113" spans="1:9" x14ac:dyDescent="0.2">
      <c r="A113" s="5">
        <v>112</v>
      </c>
      <c r="B113" s="6">
        <v>7.9245999999999997E-2</v>
      </c>
      <c r="C113" s="6">
        <f t="shared" si="7"/>
        <v>-1.1754000000000001E-2</v>
      </c>
      <c r="D113" s="6">
        <f t="shared" si="8"/>
        <v>-1.3164480000000001</v>
      </c>
      <c r="E113" s="6">
        <f t="shared" si="12"/>
        <v>-1.1989290000000001</v>
      </c>
      <c r="F113" s="6">
        <f t="shared" si="13"/>
        <v>2.6099999999999735E-4</v>
      </c>
      <c r="G113" s="6">
        <f t="shared" si="9"/>
        <v>8.6703135169909835</v>
      </c>
      <c r="H113" s="7">
        <f t="shared" si="10"/>
        <v>-2.2954389178498398E-14</v>
      </c>
      <c r="I113" s="8" t="str">
        <f t="shared" si="11"/>
        <v/>
      </c>
    </row>
    <row r="114" spans="1:9" x14ac:dyDescent="0.2">
      <c r="A114" s="5">
        <v>113</v>
      </c>
      <c r="B114" s="6">
        <v>7.9535999999999996E-2</v>
      </c>
      <c r="C114" s="6">
        <f t="shared" si="7"/>
        <v>-1.1464000000000002E-2</v>
      </c>
      <c r="D114" s="6">
        <f t="shared" si="8"/>
        <v>-1.2954320000000001</v>
      </c>
      <c r="E114" s="6">
        <f t="shared" si="12"/>
        <v>-1.2105380000000001</v>
      </c>
      <c r="F114" s="6">
        <f t="shared" si="13"/>
        <v>9.4500000000004303E-5</v>
      </c>
      <c r="G114" s="6">
        <f t="shared" si="9"/>
        <v>8.4861211416355822</v>
      </c>
      <c r="H114" s="7">
        <f t="shared" si="10"/>
        <v>-6.205101141584256E-14</v>
      </c>
      <c r="I114" s="8" t="str">
        <f t="shared" si="11"/>
        <v/>
      </c>
    </row>
    <row r="115" spans="1:9" x14ac:dyDescent="0.2">
      <c r="A115" s="5">
        <v>114</v>
      </c>
      <c r="B115" s="6">
        <v>7.9435000000000006E-2</v>
      </c>
      <c r="C115" s="6">
        <f t="shared" si="7"/>
        <v>-1.1564999999999992E-2</v>
      </c>
      <c r="D115" s="6">
        <f t="shared" si="8"/>
        <v>-1.3184099999999992</v>
      </c>
      <c r="E115" s="6">
        <f t="shared" si="12"/>
        <v>-1.2220525000000002</v>
      </c>
      <c r="F115" s="6">
        <f t="shared" si="13"/>
        <v>-5.0499999999994993E-5</v>
      </c>
      <c r="G115" s="6">
        <f t="shared" si="9"/>
        <v>8.5501698999490081</v>
      </c>
      <c r="H115" s="7">
        <f t="shared" si="10"/>
        <v>1.1699163560566057E-13</v>
      </c>
      <c r="I115" s="8" t="str">
        <f t="shared" si="11"/>
        <v/>
      </c>
    </row>
    <row r="116" spans="1:9" x14ac:dyDescent="0.2">
      <c r="A116" s="5">
        <v>115</v>
      </c>
      <c r="B116" s="6">
        <v>7.9435000000000006E-2</v>
      </c>
      <c r="C116" s="6">
        <f t="shared" si="7"/>
        <v>-1.1564999999999992E-2</v>
      </c>
      <c r="D116" s="6">
        <f t="shared" si="8"/>
        <v>-1.329974999999999</v>
      </c>
      <c r="E116" s="6">
        <f t="shared" si="12"/>
        <v>-1.2336175000000003</v>
      </c>
      <c r="F116" s="6">
        <f t="shared" si="13"/>
        <v>7.949999999999624E-5</v>
      </c>
      <c r="G116" s="6">
        <f t="shared" si="9"/>
        <v>8.5501698999490081</v>
      </c>
      <c r="H116" s="7">
        <f t="shared" si="10"/>
        <v>-7.4315441485352869E-14</v>
      </c>
      <c r="I116" s="8" t="str">
        <f t="shared" si="11"/>
        <v/>
      </c>
    </row>
    <row r="117" spans="1:9" x14ac:dyDescent="0.2">
      <c r="A117" s="5">
        <v>116</v>
      </c>
      <c r="B117" s="6">
        <v>7.9593999999999998E-2</v>
      </c>
      <c r="C117" s="6">
        <f t="shared" si="7"/>
        <v>-1.1405999999999999E-2</v>
      </c>
      <c r="D117" s="6">
        <f t="shared" si="8"/>
        <v>-1.323096</v>
      </c>
      <c r="E117" s="6">
        <f t="shared" si="12"/>
        <v>-1.2451030000000003</v>
      </c>
      <c r="F117" s="6">
        <f t="shared" si="13"/>
        <v>0</v>
      </c>
      <c r="G117" s="6">
        <f t="shared" si="9"/>
        <v>8.4496586665645008</v>
      </c>
      <c r="H117" s="7" t="str">
        <f t="shared" si="10"/>
        <v/>
      </c>
      <c r="I117" s="8" t="str">
        <f t="shared" si="11"/>
        <v/>
      </c>
    </row>
    <row r="118" spans="1:9" x14ac:dyDescent="0.2">
      <c r="A118" s="5">
        <v>117</v>
      </c>
      <c r="B118" s="6">
        <v>7.9435000000000006E-2</v>
      </c>
      <c r="C118" s="6">
        <f t="shared" si="7"/>
        <v>-1.1564999999999992E-2</v>
      </c>
      <c r="D118" s="6">
        <f t="shared" si="8"/>
        <v>-1.3531049999999991</v>
      </c>
      <c r="E118" s="6">
        <f t="shared" si="12"/>
        <v>-1.2565885000000003</v>
      </c>
      <c r="F118" s="6">
        <f t="shared" si="13"/>
        <v>2.8249999999999803E-4</v>
      </c>
      <c r="G118" s="6">
        <f t="shared" si="9"/>
        <v>8.5500108999490081</v>
      </c>
      <c r="H118" s="7">
        <f t="shared" si="10"/>
        <v>-2.091316010886831E-14</v>
      </c>
      <c r="I118" s="8" t="str">
        <f t="shared" si="11"/>
        <v/>
      </c>
    </row>
    <row r="119" spans="1:9" x14ac:dyDescent="0.2">
      <c r="A119" s="5">
        <v>118</v>
      </c>
      <c r="B119" s="6">
        <v>8.0158999999999994E-2</v>
      </c>
      <c r="C119" s="6">
        <f t="shared" si="7"/>
        <v>-1.0841000000000003E-2</v>
      </c>
      <c r="D119" s="6">
        <f t="shared" si="8"/>
        <v>-1.2792380000000003</v>
      </c>
      <c r="E119" s="6">
        <f t="shared" si="12"/>
        <v>-1.2677915000000004</v>
      </c>
      <c r="F119" s="6">
        <f t="shared" si="13"/>
        <v>3.6199999999999427E-4</v>
      </c>
      <c r="G119" s="6">
        <f t="shared" si="9"/>
        <v>8.0937851076824288</v>
      </c>
      <c r="H119" s="7">
        <f t="shared" si="10"/>
        <v>-1.5449504143803995E-14</v>
      </c>
      <c r="I119" s="8" t="str">
        <f t="shared" si="11"/>
        <v/>
      </c>
    </row>
    <row r="120" spans="1:9" x14ac:dyDescent="0.2">
      <c r="A120" s="5">
        <v>119</v>
      </c>
      <c r="B120" s="6">
        <v>8.0158999999999994E-2</v>
      </c>
      <c r="C120" s="6">
        <f t="shared" si="7"/>
        <v>-1.0841000000000003E-2</v>
      </c>
      <c r="D120" s="6">
        <f t="shared" si="8"/>
        <v>-1.2900790000000004</v>
      </c>
      <c r="E120" s="6">
        <f t="shared" si="12"/>
        <v>-1.2786325000000005</v>
      </c>
      <c r="F120" s="6">
        <f t="shared" si="13"/>
        <v>-1.6649999999999998E-4</v>
      </c>
      <c r="G120" s="6">
        <f t="shared" si="9"/>
        <v>8.0937851076824288</v>
      </c>
      <c r="H120" s="7">
        <f t="shared" si="10"/>
        <v>3.3589912913255008E-14</v>
      </c>
      <c r="I120" s="8" t="str">
        <f t="shared" si="11"/>
        <v/>
      </c>
    </row>
    <row r="121" spans="1:9" x14ac:dyDescent="0.2">
      <c r="A121" s="5">
        <v>120</v>
      </c>
      <c r="B121" s="6">
        <v>7.9825999999999994E-2</v>
      </c>
      <c r="C121" s="6">
        <f t="shared" si="7"/>
        <v>-1.1174000000000003E-2</v>
      </c>
      <c r="D121" s="6">
        <f t="shared" si="8"/>
        <v>-1.3408800000000003</v>
      </c>
      <c r="E121" s="6">
        <f t="shared" si="12"/>
        <v>-1.2896400000000006</v>
      </c>
      <c r="F121" s="6">
        <f t="shared" si="13"/>
        <v>-3.6199999999999427E-4</v>
      </c>
      <c r="G121" s="6">
        <f t="shared" si="9"/>
        <v>8.3029577662801834</v>
      </c>
      <c r="H121" s="7">
        <f t="shared" si="10"/>
        <v>1.5848775166296195E-14</v>
      </c>
      <c r="I121" s="8" t="str">
        <f t="shared" si="11"/>
        <v/>
      </c>
    </row>
    <row r="122" spans="1:9" x14ac:dyDescent="0.2">
      <c r="A122" s="5">
        <v>121</v>
      </c>
      <c r="B122" s="6">
        <v>7.9435000000000006E-2</v>
      </c>
      <c r="C122" s="6">
        <f t="shared" si="7"/>
        <v>-1.1564999999999992E-2</v>
      </c>
      <c r="D122" s="6">
        <f t="shared" si="8"/>
        <v>-1.3993649999999991</v>
      </c>
      <c r="E122" s="6">
        <f t="shared" si="12"/>
        <v>-1.3010095000000006</v>
      </c>
      <c r="F122" s="6">
        <f t="shared" si="13"/>
        <v>-4.1999999999999676E-4</v>
      </c>
      <c r="G122" s="6">
        <f t="shared" si="9"/>
        <v>8.5481718999490095</v>
      </c>
      <c r="H122" s="7">
        <f t="shared" si="10"/>
        <v>1.4063564288262844E-14</v>
      </c>
      <c r="I122" s="8" t="str">
        <f t="shared" si="11"/>
        <v/>
      </c>
    </row>
    <row r="123" spans="1:9" x14ac:dyDescent="0.2">
      <c r="A123" s="5">
        <v>122</v>
      </c>
      <c r="B123" s="6">
        <v>7.8986000000000001E-2</v>
      </c>
      <c r="C123" s="6">
        <f t="shared" si="7"/>
        <v>-1.2013999999999997E-2</v>
      </c>
      <c r="D123" s="6">
        <f t="shared" si="8"/>
        <v>-1.4657079999999996</v>
      </c>
      <c r="E123" s="6">
        <f t="shared" si="12"/>
        <v>-1.3127990000000005</v>
      </c>
      <c r="F123" s="6">
        <f t="shared" si="13"/>
        <v>-8.7000000000003741E-5</v>
      </c>
      <c r="G123" s="6">
        <f t="shared" si="9"/>
        <v>8.8293115086889262</v>
      </c>
      <c r="H123" s="7">
        <f t="shared" si="10"/>
        <v>7.0125994458490958E-14</v>
      </c>
      <c r="I123" s="8" t="str">
        <f t="shared" si="11"/>
        <v/>
      </c>
    </row>
    <row r="124" spans="1:9" x14ac:dyDescent="0.2">
      <c r="A124" s="5">
        <v>123</v>
      </c>
      <c r="B124" s="6">
        <v>7.9260999999999998E-2</v>
      </c>
      <c r="C124" s="6">
        <f t="shared" si="7"/>
        <v>-1.1738999999999999E-2</v>
      </c>
      <c r="D124" s="6">
        <f t="shared" si="8"/>
        <v>-1.443897</v>
      </c>
      <c r="E124" s="6">
        <f t="shared" si="12"/>
        <v>-1.3246755000000006</v>
      </c>
      <c r="F124" s="6">
        <f t="shared" si="13"/>
        <v>-5.8000000000002494E-5</v>
      </c>
      <c r="G124" s="6">
        <f t="shared" si="9"/>
        <v>8.6573963251622548</v>
      </c>
      <c r="H124" s="7">
        <f t="shared" si="10"/>
        <v>1.0314086089144652E-13</v>
      </c>
      <c r="I124" s="8" t="str">
        <f t="shared" si="11"/>
        <v/>
      </c>
    </row>
    <row r="125" spans="1:9" x14ac:dyDescent="0.2">
      <c r="A125" s="5">
        <v>124</v>
      </c>
      <c r="B125" s="6">
        <v>7.8869999999999996E-2</v>
      </c>
      <c r="C125" s="6">
        <f t="shared" si="7"/>
        <v>-1.2130000000000002E-2</v>
      </c>
      <c r="D125" s="6">
        <f t="shared" si="8"/>
        <v>-1.5041200000000003</v>
      </c>
      <c r="E125" s="6">
        <f t="shared" si="12"/>
        <v>-1.3366100000000005</v>
      </c>
      <c r="F125" s="6">
        <f t="shared" si="13"/>
        <v>-4.4949999999999851E-4</v>
      </c>
      <c r="G125" s="6">
        <f t="shared" si="9"/>
        <v>8.9014374588310901</v>
      </c>
      <c r="H125" s="7">
        <f t="shared" si="10"/>
        <v>1.3683648035362551E-14</v>
      </c>
      <c r="I125" s="8" t="str">
        <f t="shared" si="11"/>
        <v/>
      </c>
    </row>
    <row r="126" spans="1:9" x14ac:dyDescent="0.2">
      <c r="A126" s="5">
        <v>125</v>
      </c>
      <c r="B126" s="6">
        <v>7.8362000000000001E-2</v>
      </c>
      <c r="C126" s="6">
        <f t="shared" si="7"/>
        <v>-1.2637999999999996E-2</v>
      </c>
      <c r="D126" s="6">
        <f t="shared" si="8"/>
        <v>-1.5797499999999995</v>
      </c>
      <c r="E126" s="6">
        <f t="shared" si="12"/>
        <v>-1.3489940000000005</v>
      </c>
      <c r="F126" s="6">
        <f t="shared" si="13"/>
        <v>-3.5549999999999471E-4</v>
      </c>
      <c r="G126" s="6">
        <f t="shared" si="9"/>
        <v>9.2179956887639971</v>
      </c>
      <c r="H126" s="7">
        <f t="shared" si="10"/>
        <v>1.7917125749522688E-14</v>
      </c>
      <c r="I126" s="8" t="str">
        <f t="shared" si="11"/>
        <v/>
      </c>
    </row>
    <row r="127" spans="1:9" x14ac:dyDescent="0.2">
      <c r="A127" s="5">
        <v>126</v>
      </c>
      <c r="B127" s="6">
        <v>7.8159000000000006E-2</v>
      </c>
      <c r="C127" s="6">
        <f t="shared" si="7"/>
        <v>-1.2840999999999991E-2</v>
      </c>
      <c r="D127" s="6">
        <f t="shared" si="8"/>
        <v>-1.6179659999999989</v>
      </c>
      <c r="E127" s="6">
        <f t="shared" si="12"/>
        <v>-1.3617335000000004</v>
      </c>
      <c r="F127" s="6">
        <f t="shared" si="13"/>
        <v>-1.0149999999999743E-4</v>
      </c>
      <c r="G127" s="6">
        <f t="shared" si="9"/>
        <v>9.3442913515127746</v>
      </c>
      <c r="H127" s="7">
        <f t="shared" si="10"/>
        <v>6.3613863846565019E-14</v>
      </c>
      <c r="I127" s="8" t="str">
        <f t="shared" si="11"/>
        <v/>
      </c>
    </row>
    <row r="128" spans="1:9" x14ac:dyDescent="0.2">
      <c r="A128" s="5">
        <v>127</v>
      </c>
      <c r="B128" s="6">
        <v>7.8159000000000006E-2</v>
      </c>
      <c r="C128" s="6">
        <f t="shared" si="7"/>
        <v>-1.2840999999999991E-2</v>
      </c>
      <c r="D128" s="6">
        <f t="shared" si="8"/>
        <v>-1.630806999999999</v>
      </c>
      <c r="E128" s="6">
        <f t="shared" si="12"/>
        <v>-1.3745745000000005</v>
      </c>
      <c r="F128" s="6">
        <f t="shared" si="13"/>
        <v>5.7999999999995555E-5</v>
      </c>
      <c r="G128" s="6">
        <f t="shared" si="9"/>
        <v>9.3442913515127728</v>
      </c>
      <c r="H128" s="7">
        <f t="shared" si="10"/>
        <v>-1.1132426173149446E-13</v>
      </c>
      <c r="I128" s="8" t="str">
        <f t="shared" si="11"/>
        <v/>
      </c>
    </row>
    <row r="129" spans="1:9" x14ac:dyDescent="0.2">
      <c r="A129" s="5">
        <v>128</v>
      </c>
      <c r="B129" s="6">
        <v>7.8274999999999997E-2</v>
      </c>
      <c r="C129" s="6">
        <f t="shared" si="7"/>
        <v>-1.2725E-2</v>
      </c>
      <c r="D129" s="6">
        <f t="shared" si="8"/>
        <v>-1.6288</v>
      </c>
      <c r="E129" s="6">
        <f t="shared" si="12"/>
        <v>-1.3873575000000005</v>
      </c>
      <c r="F129" s="6">
        <f t="shared" si="13"/>
        <v>-1.810000000000006E-4</v>
      </c>
      <c r="G129" s="6">
        <f t="shared" si="9"/>
        <v>9.2723544013706185</v>
      </c>
      <c r="H129" s="7">
        <f t="shared" si="10"/>
        <v>3.5398339797981338E-14</v>
      </c>
      <c r="I129" s="8" t="str">
        <f t="shared" si="11"/>
        <v/>
      </c>
    </row>
    <row r="130" spans="1:9" x14ac:dyDescent="0.2">
      <c r="A130" s="5">
        <v>129</v>
      </c>
      <c r="B130" s="6">
        <v>7.7797000000000005E-2</v>
      </c>
      <c r="C130" s="6">
        <f t="shared" ref="C130:C193" si="14">B130-$B$2</f>
        <v>-1.3202999999999993E-2</v>
      </c>
      <c r="D130" s="6">
        <f t="shared" ref="D130:D193" si="15">A130*C130</f>
        <v>-1.7031869999999991</v>
      </c>
      <c r="E130" s="6">
        <f t="shared" si="12"/>
        <v>-1.4003215000000004</v>
      </c>
      <c r="F130" s="6">
        <f t="shared" si="13"/>
        <v>3.6500000000001809E-5</v>
      </c>
      <c r="G130" s="6">
        <f t="shared" ref="G130:G193" si="16">(A130-$L$5)*C130-E130</f>
        <v>9.5683062476460687</v>
      </c>
      <c r="H130" s="7">
        <f t="shared" ref="H130:H193" si="17">IF(ABS(F130)&lt;0.000000001,"",-(G130)/(2*$L$4*F130)*0.000000000001)</f>
        <v>-1.8113970194017725E-13</v>
      </c>
      <c r="I130" s="8" t="str">
        <f t="shared" ref="I130:I193" si="18">IF(AND(B130&gt;=0.5,B130&lt;=2.5,ISNUMBER(H130),H130&gt;0),H130,"")</f>
        <v/>
      </c>
    </row>
    <row r="131" spans="1:9" x14ac:dyDescent="0.2">
      <c r="A131" s="5">
        <v>130</v>
      </c>
      <c r="B131" s="6">
        <v>7.8348000000000001E-2</v>
      </c>
      <c r="C131" s="6">
        <f t="shared" si="14"/>
        <v>-1.2651999999999997E-2</v>
      </c>
      <c r="D131" s="6">
        <f t="shared" si="15"/>
        <v>-1.6447599999999996</v>
      </c>
      <c r="E131" s="6">
        <f t="shared" ref="E131:E194" si="19">E130+(C130+C131)/2*(A131-A130)</f>
        <v>-1.4132490000000004</v>
      </c>
      <c r="F131" s="6">
        <f t="shared" ref="F131:F194" si="20">(B132-B130)/(A132-A130)</f>
        <v>3.1149999999999928E-4</v>
      </c>
      <c r="G131" s="6">
        <f t="shared" si="16"/>
        <v>9.2277077344708083</v>
      </c>
      <c r="H131" s="7">
        <f t="shared" si="17"/>
        <v>-2.0469499600425794E-14</v>
      </c>
      <c r="I131" s="8" t="str">
        <f t="shared" si="18"/>
        <v/>
      </c>
    </row>
    <row r="132" spans="1:9" x14ac:dyDescent="0.2">
      <c r="A132" s="5">
        <v>131</v>
      </c>
      <c r="B132" s="6">
        <v>7.8420000000000004E-2</v>
      </c>
      <c r="C132" s="6">
        <f t="shared" si="14"/>
        <v>-1.2579999999999994E-2</v>
      </c>
      <c r="D132" s="6">
        <f t="shared" si="15"/>
        <v>-1.6479799999999991</v>
      </c>
      <c r="E132" s="6">
        <f t="shared" si="19"/>
        <v>-1.4258650000000004</v>
      </c>
      <c r="F132" s="6">
        <f t="shared" si="20"/>
        <v>2.6099999999999735E-4</v>
      </c>
      <c r="G132" s="6">
        <f t="shared" si="16"/>
        <v>9.1832732136929138</v>
      </c>
      <c r="H132" s="7">
        <f t="shared" si="17"/>
        <v>-2.4312434246638794E-14</v>
      </c>
      <c r="I132" s="8" t="str">
        <f t="shared" si="18"/>
        <v/>
      </c>
    </row>
    <row r="133" spans="1:9" x14ac:dyDescent="0.2">
      <c r="A133" s="5">
        <v>132</v>
      </c>
      <c r="B133" s="6">
        <v>7.8869999999999996E-2</v>
      </c>
      <c r="C133" s="6">
        <f t="shared" si="14"/>
        <v>-1.2130000000000002E-2</v>
      </c>
      <c r="D133" s="6">
        <f t="shared" si="15"/>
        <v>-1.6011600000000001</v>
      </c>
      <c r="E133" s="6">
        <f t="shared" si="19"/>
        <v>-1.4382200000000003</v>
      </c>
      <c r="F133" s="6">
        <f t="shared" si="20"/>
        <v>7.999999999999674E-5</v>
      </c>
      <c r="G133" s="6">
        <f t="shared" si="16"/>
        <v>8.9060074588310911</v>
      </c>
      <c r="H133" s="7">
        <f t="shared" si="17"/>
        <v>-7.6924470173710041E-14</v>
      </c>
      <c r="I133" s="8" t="str">
        <f t="shared" si="18"/>
        <v/>
      </c>
    </row>
    <row r="134" spans="1:9" x14ac:dyDescent="0.2">
      <c r="A134" s="5">
        <v>133</v>
      </c>
      <c r="B134" s="6">
        <v>7.8579999999999997E-2</v>
      </c>
      <c r="C134" s="6">
        <f t="shared" si="14"/>
        <v>-1.242E-2</v>
      </c>
      <c r="D134" s="6">
        <f t="shared" si="15"/>
        <v>-1.6518600000000001</v>
      </c>
      <c r="E134" s="6">
        <f t="shared" si="19"/>
        <v>-1.4504950000000003</v>
      </c>
      <c r="F134" s="6">
        <f t="shared" si="20"/>
        <v>8.6500000000003241E-5</v>
      </c>
      <c r="G134" s="6">
        <f t="shared" si="16"/>
        <v>9.08439983418649</v>
      </c>
      <c r="H134" s="7">
        <f t="shared" si="17"/>
        <v>-7.256907366016857E-14</v>
      </c>
      <c r="I134" s="8" t="str">
        <f t="shared" si="18"/>
        <v/>
      </c>
    </row>
    <row r="135" spans="1:9" x14ac:dyDescent="0.2">
      <c r="A135" s="5">
        <v>134</v>
      </c>
      <c r="B135" s="6">
        <v>7.9043000000000002E-2</v>
      </c>
      <c r="C135" s="6">
        <f t="shared" si="14"/>
        <v>-1.1956999999999995E-2</v>
      </c>
      <c r="D135" s="6">
        <f t="shared" si="15"/>
        <v>-1.6022379999999994</v>
      </c>
      <c r="E135" s="6">
        <f t="shared" si="19"/>
        <v>-1.4626835000000002</v>
      </c>
      <c r="F135" s="6">
        <f t="shared" si="20"/>
        <v>2.1000000000000185E-4</v>
      </c>
      <c r="G135" s="6">
        <f t="shared" si="16"/>
        <v>8.8000501797397597</v>
      </c>
      <c r="H135" s="7">
        <f t="shared" si="17"/>
        <v>-2.8955915461514124E-14</v>
      </c>
      <c r="I135" s="8" t="str">
        <f t="shared" si="18"/>
        <v/>
      </c>
    </row>
    <row r="136" spans="1:9" x14ac:dyDescent="0.2">
      <c r="A136" s="5">
        <v>135</v>
      </c>
      <c r="B136" s="6">
        <v>7.9000000000000001E-2</v>
      </c>
      <c r="C136" s="6">
        <f t="shared" si="14"/>
        <v>-1.1999999999999997E-2</v>
      </c>
      <c r="D136" s="6">
        <f t="shared" si="15"/>
        <v>-1.6199999999999997</v>
      </c>
      <c r="E136" s="6">
        <f t="shared" si="19"/>
        <v>-1.4746620000000001</v>
      </c>
      <c r="F136" s="6">
        <f t="shared" si="20"/>
        <v>-5.3600000000000175E-4</v>
      </c>
      <c r="G136" s="6">
        <f t="shared" si="16"/>
        <v>8.8264154629821139</v>
      </c>
      <c r="H136" s="7">
        <f t="shared" si="17"/>
        <v>1.1378657426721705E-14</v>
      </c>
      <c r="I136" s="8" t="str">
        <f t="shared" si="18"/>
        <v/>
      </c>
    </row>
    <row r="137" spans="1:9" x14ac:dyDescent="0.2">
      <c r="A137" s="5">
        <v>136</v>
      </c>
      <c r="B137" s="6">
        <v>7.7970999999999999E-2</v>
      </c>
      <c r="C137" s="6">
        <f t="shared" si="14"/>
        <v>-1.3028999999999999E-2</v>
      </c>
      <c r="D137" s="6">
        <f t="shared" si="15"/>
        <v>-1.771944</v>
      </c>
      <c r="E137" s="6">
        <f t="shared" si="19"/>
        <v>-1.4871765000000001</v>
      </c>
      <c r="F137" s="6">
        <f t="shared" si="20"/>
        <v>-7.2450000000000292E-4</v>
      </c>
      <c r="G137" s="6">
        <f t="shared" si="16"/>
        <v>9.4563138224328309</v>
      </c>
      <c r="H137" s="7">
        <f t="shared" si="17"/>
        <v>9.0189282695036356E-15</v>
      </c>
      <c r="I137" s="8" t="str">
        <f t="shared" si="18"/>
        <v/>
      </c>
    </row>
    <row r="138" spans="1:9" x14ac:dyDescent="0.2">
      <c r="A138" s="5">
        <v>137</v>
      </c>
      <c r="B138" s="6">
        <v>7.7550999999999995E-2</v>
      </c>
      <c r="C138" s="6">
        <f t="shared" si="14"/>
        <v>-1.3449000000000003E-2</v>
      </c>
      <c r="D138" s="6">
        <f t="shared" si="15"/>
        <v>-1.8425130000000003</v>
      </c>
      <c r="E138" s="6">
        <f t="shared" si="19"/>
        <v>-1.5004155000000001</v>
      </c>
      <c r="F138" s="6">
        <f t="shared" si="20"/>
        <v>-1.3049999999999867E-4</v>
      </c>
      <c r="G138" s="6">
        <f t="shared" si="16"/>
        <v>9.7129951936372088</v>
      </c>
      <c r="H138" s="7">
        <f t="shared" si="17"/>
        <v>5.1429713891363254E-14</v>
      </c>
      <c r="I138" s="8" t="str">
        <f t="shared" si="18"/>
        <v/>
      </c>
    </row>
    <row r="139" spans="1:9" x14ac:dyDescent="0.2">
      <c r="A139" s="5">
        <v>138</v>
      </c>
      <c r="B139" s="6">
        <v>7.7710000000000001E-2</v>
      </c>
      <c r="C139" s="6">
        <f t="shared" si="14"/>
        <v>-1.3289999999999996E-2</v>
      </c>
      <c r="D139" s="6">
        <f t="shared" si="15"/>
        <v>-1.8340199999999995</v>
      </c>
      <c r="E139" s="6">
        <f t="shared" si="19"/>
        <v>-1.5137850000000002</v>
      </c>
      <c r="F139" s="6">
        <f t="shared" si="20"/>
        <v>-2.8999999999994308E-5</v>
      </c>
      <c r="G139" s="6">
        <f t="shared" si="16"/>
        <v>9.6159819602526913</v>
      </c>
      <c r="H139" s="7">
        <f t="shared" si="17"/>
        <v>2.2912215646514978E-13</v>
      </c>
      <c r="I139" s="8" t="str">
        <f t="shared" si="18"/>
        <v/>
      </c>
    </row>
    <row r="140" spans="1:9" x14ac:dyDescent="0.2">
      <c r="A140" s="5">
        <v>139</v>
      </c>
      <c r="B140" s="6">
        <v>7.7493000000000006E-2</v>
      </c>
      <c r="C140" s="6">
        <f t="shared" si="14"/>
        <v>-1.3506999999999991E-2</v>
      </c>
      <c r="D140" s="6">
        <f t="shared" si="15"/>
        <v>-1.8774729999999988</v>
      </c>
      <c r="E140" s="6">
        <f t="shared" si="19"/>
        <v>-1.5271835000000002</v>
      </c>
      <c r="F140" s="6">
        <f t="shared" si="20"/>
        <v>-7.0000000000000617E-6</v>
      </c>
      <c r="G140" s="6">
        <f t="shared" si="16"/>
        <v>9.7481666687082811</v>
      </c>
      <c r="H140" s="7">
        <f t="shared" si="17"/>
        <v>9.6226868324135245E-13</v>
      </c>
      <c r="I140" s="8" t="str">
        <f t="shared" si="18"/>
        <v/>
      </c>
    </row>
    <row r="141" spans="1:9" x14ac:dyDescent="0.2">
      <c r="A141" s="5">
        <v>140</v>
      </c>
      <c r="B141" s="6">
        <v>7.7696000000000001E-2</v>
      </c>
      <c r="C141" s="6">
        <f t="shared" si="14"/>
        <v>-1.3303999999999996E-2</v>
      </c>
      <c r="D141" s="6">
        <f t="shared" si="15"/>
        <v>-1.8625599999999995</v>
      </c>
      <c r="E141" s="6">
        <f t="shared" si="19"/>
        <v>-1.5405890000000002</v>
      </c>
      <c r="F141" s="6">
        <f t="shared" si="20"/>
        <v>1.449999999999993E-4</v>
      </c>
      <c r="G141" s="6">
        <f t="shared" si="16"/>
        <v>9.6247130059595047</v>
      </c>
      <c r="H141" s="7">
        <f t="shared" si="17"/>
        <v>-4.5866038609441073E-14</v>
      </c>
      <c r="I141" s="8" t="str">
        <f t="shared" si="18"/>
        <v/>
      </c>
    </row>
    <row r="142" spans="1:9" x14ac:dyDescent="0.2">
      <c r="A142" s="5">
        <v>141</v>
      </c>
      <c r="B142" s="6">
        <v>7.7783000000000005E-2</v>
      </c>
      <c r="C142" s="6">
        <f t="shared" si="14"/>
        <v>-1.3216999999999993E-2</v>
      </c>
      <c r="D142" s="6">
        <f t="shared" si="15"/>
        <v>-1.8635969999999991</v>
      </c>
      <c r="E142" s="6">
        <f t="shared" si="19"/>
        <v>-1.5538495000000001</v>
      </c>
      <c r="F142" s="6">
        <f t="shared" si="20"/>
        <v>1.8800000000000067E-4</v>
      </c>
      <c r="G142" s="6">
        <f t="shared" si="16"/>
        <v>9.5718912933528806</v>
      </c>
      <c r="H142" s="7">
        <f t="shared" si="17"/>
        <v>-3.5181257179501603E-14</v>
      </c>
      <c r="I142" s="8" t="str">
        <f t="shared" si="18"/>
        <v/>
      </c>
    </row>
    <row r="143" spans="1:9" x14ac:dyDescent="0.2">
      <c r="A143" s="5">
        <v>142</v>
      </c>
      <c r="B143" s="6">
        <v>7.8072000000000003E-2</v>
      </c>
      <c r="C143" s="6">
        <f t="shared" si="14"/>
        <v>-1.2927999999999995E-2</v>
      </c>
      <c r="D143" s="6">
        <f t="shared" si="15"/>
        <v>-1.8357759999999992</v>
      </c>
      <c r="E143" s="6">
        <f t="shared" si="19"/>
        <v>-1.5669220000000001</v>
      </c>
      <c r="F143" s="6">
        <f t="shared" si="20"/>
        <v>1.3749999999999873E-4</v>
      </c>
      <c r="G143" s="6">
        <f t="shared" si="16"/>
        <v>9.3967150641193964</v>
      </c>
      <c r="H143" s="7">
        <f t="shared" si="17"/>
        <v>-4.7222046656211285E-14</v>
      </c>
      <c r="I143" s="8" t="str">
        <f t="shared" si="18"/>
        <v/>
      </c>
    </row>
    <row r="144" spans="1:9" x14ac:dyDescent="0.2">
      <c r="A144" s="5">
        <v>143</v>
      </c>
      <c r="B144" s="6">
        <v>7.8058000000000002E-2</v>
      </c>
      <c r="C144" s="6">
        <f t="shared" si="14"/>
        <v>-1.2941999999999995E-2</v>
      </c>
      <c r="D144" s="6">
        <f t="shared" si="15"/>
        <v>-1.8507059999999993</v>
      </c>
      <c r="E144" s="6">
        <f t="shared" si="19"/>
        <v>-1.5798570000000001</v>
      </c>
      <c r="F144" s="6">
        <f t="shared" si="20"/>
        <v>-7.0000000000000617E-6</v>
      </c>
      <c r="G144" s="6">
        <f t="shared" si="16"/>
        <v>9.4051871098262083</v>
      </c>
      <c r="H144" s="7">
        <f t="shared" si="17"/>
        <v>9.2841221569001471E-13</v>
      </c>
      <c r="I144" s="8" t="str">
        <f t="shared" si="18"/>
        <v/>
      </c>
    </row>
    <row r="145" spans="1:9" x14ac:dyDescent="0.2">
      <c r="A145" s="5">
        <v>144</v>
      </c>
      <c r="B145" s="6">
        <v>7.8058000000000002E-2</v>
      </c>
      <c r="C145" s="6">
        <f t="shared" si="14"/>
        <v>-1.2941999999999995E-2</v>
      </c>
      <c r="D145" s="6">
        <f t="shared" si="15"/>
        <v>-1.8636479999999993</v>
      </c>
      <c r="E145" s="6">
        <f t="shared" si="19"/>
        <v>-1.5927990000000001</v>
      </c>
      <c r="F145" s="6">
        <f t="shared" si="20"/>
        <v>1.0849999999999749E-4</v>
      </c>
      <c r="G145" s="6">
        <f t="shared" si="16"/>
        <v>9.4051871098262083</v>
      </c>
      <c r="H145" s="7">
        <f t="shared" si="17"/>
        <v>-5.9897562302583516E-14</v>
      </c>
      <c r="I145" s="8" t="str">
        <f t="shared" si="18"/>
        <v/>
      </c>
    </row>
    <row r="146" spans="1:9" x14ac:dyDescent="0.2">
      <c r="A146" s="5">
        <v>145</v>
      </c>
      <c r="B146" s="6">
        <v>7.8274999999999997E-2</v>
      </c>
      <c r="C146" s="6">
        <f t="shared" si="14"/>
        <v>-1.2725E-2</v>
      </c>
      <c r="D146" s="6">
        <f t="shared" si="15"/>
        <v>-1.8451250000000001</v>
      </c>
      <c r="E146" s="6">
        <f t="shared" si="19"/>
        <v>-1.6056325</v>
      </c>
      <c r="F146" s="6">
        <f t="shared" si="20"/>
        <v>1.1599999999999805E-4</v>
      </c>
      <c r="G146" s="6">
        <f t="shared" si="16"/>
        <v>9.2743044013706193</v>
      </c>
      <c r="H146" s="7">
        <f t="shared" si="17"/>
        <v>-5.5245232180636429E-14</v>
      </c>
      <c r="I146" s="8" t="str">
        <f t="shared" si="18"/>
        <v/>
      </c>
    </row>
    <row r="147" spans="1:9" x14ac:dyDescent="0.2">
      <c r="A147" s="5">
        <v>146</v>
      </c>
      <c r="B147" s="6">
        <v>7.8289999999999998E-2</v>
      </c>
      <c r="C147" s="6">
        <f t="shared" si="14"/>
        <v>-1.2709999999999999E-2</v>
      </c>
      <c r="D147" s="6">
        <f t="shared" si="15"/>
        <v>-1.8556599999999999</v>
      </c>
      <c r="E147" s="6">
        <f t="shared" si="19"/>
        <v>-1.61835</v>
      </c>
      <c r="F147" s="6">
        <f t="shared" si="20"/>
        <v>5.8000000000002494E-5</v>
      </c>
      <c r="G147" s="6">
        <f t="shared" si="16"/>
        <v>9.2652722095418909</v>
      </c>
      <c r="H147" s="7">
        <f t="shared" si="17"/>
        <v>-1.1038285833215974E-13</v>
      </c>
      <c r="I147" s="8" t="str">
        <f t="shared" si="18"/>
        <v/>
      </c>
    </row>
    <row r="148" spans="1:9" x14ac:dyDescent="0.2">
      <c r="A148" s="5">
        <v>147</v>
      </c>
      <c r="B148" s="6">
        <v>7.8391000000000002E-2</v>
      </c>
      <c r="C148" s="6">
        <f t="shared" si="14"/>
        <v>-1.2608999999999995E-2</v>
      </c>
      <c r="D148" s="6">
        <f t="shared" si="15"/>
        <v>-1.8535229999999994</v>
      </c>
      <c r="E148" s="6">
        <f t="shared" si="19"/>
        <v>-1.6310095</v>
      </c>
      <c r="F148" s="6">
        <f t="shared" si="20"/>
        <v>-1.810000000000006E-4</v>
      </c>
      <c r="G148" s="6">
        <f t="shared" si="16"/>
        <v>9.2045564512284557</v>
      </c>
      <c r="H148" s="7">
        <f t="shared" si="17"/>
        <v>3.5139512883817653E-14</v>
      </c>
      <c r="I148" s="8" t="str">
        <f t="shared" si="18"/>
        <v/>
      </c>
    </row>
    <row r="149" spans="1:9" x14ac:dyDescent="0.2">
      <c r="A149" s="5">
        <v>148</v>
      </c>
      <c r="B149" s="6">
        <v>7.7927999999999997E-2</v>
      </c>
      <c r="C149" s="6">
        <f t="shared" si="14"/>
        <v>-1.3072E-2</v>
      </c>
      <c r="D149" s="6">
        <f t="shared" si="15"/>
        <v>-1.9346559999999999</v>
      </c>
      <c r="E149" s="6">
        <f t="shared" si="19"/>
        <v>-1.64385</v>
      </c>
      <c r="F149" s="6">
        <f t="shared" si="20"/>
        <v>-2.8949999999999809E-4</v>
      </c>
      <c r="G149" s="6">
        <f t="shared" si="16"/>
        <v>9.4824241056751841</v>
      </c>
      <c r="H149" s="7">
        <f t="shared" si="17"/>
        <v>2.2633006779753234E-14</v>
      </c>
      <c r="I149" s="8" t="str">
        <f t="shared" si="18"/>
        <v/>
      </c>
    </row>
    <row r="150" spans="1:9" x14ac:dyDescent="0.2">
      <c r="A150" s="5">
        <v>149</v>
      </c>
      <c r="B150" s="6">
        <v>7.7812000000000006E-2</v>
      </c>
      <c r="C150" s="6">
        <f t="shared" si="14"/>
        <v>-1.3187999999999991E-2</v>
      </c>
      <c r="D150" s="6">
        <f t="shared" si="15"/>
        <v>-1.9650119999999986</v>
      </c>
      <c r="E150" s="6">
        <f t="shared" si="19"/>
        <v>-1.6569800000000001</v>
      </c>
      <c r="F150" s="6">
        <f t="shared" si="20"/>
        <v>-4.3500000000001871E-5</v>
      </c>
      <c r="G150" s="6">
        <f t="shared" si="16"/>
        <v>9.5519250558173407</v>
      </c>
      <c r="H150" s="7">
        <f t="shared" si="17"/>
        <v>1.5173057216816508E-13</v>
      </c>
      <c r="I150" s="8" t="str">
        <f t="shared" si="18"/>
        <v/>
      </c>
    </row>
    <row r="151" spans="1:9" x14ac:dyDescent="0.2">
      <c r="A151" s="5">
        <v>150</v>
      </c>
      <c r="B151" s="6">
        <v>7.7840999999999994E-2</v>
      </c>
      <c r="C151" s="6">
        <f t="shared" si="14"/>
        <v>-1.3159000000000004E-2</v>
      </c>
      <c r="D151" s="6">
        <f t="shared" si="15"/>
        <v>-1.9738500000000005</v>
      </c>
      <c r="E151" s="6">
        <f t="shared" si="19"/>
        <v>-1.6701535000000001</v>
      </c>
      <c r="F151" s="6">
        <f t="shared" si="20"/>
        <v>2.4599999999999622E-4</v>
      </c>
      <c r="G151" s="6">
        <f t="shared" si="16"/>
        <v>9.5345788182818083</v>
      </c>
      <c r="H151" s="7">
        <f t="shared" si="17"/>
        <v>-2.6781682200677828E-14</v>
      </c>
      <c r="I151" s="8" t="str">
        <f t="shared" si="18"/>
        <v/>
      </c>
    </row>
    <row r="152" spans="1:9" x14ac:dyDescent="0.2">
      <c r="A152" s="5">
        <v>151</v>
      </c>
      <c r="B152" s="6">
        <v>7.8303999999999999E-2</v>
      </c>
      <c r="C152" s="6">
        <f t="shared" si="14"/>
        <v>-1.2695999999999999E-2</v>
      </c>
      <c r="D152" s="6">
        <f t="shared" si="15"/>
        <v>-1.9170959999999999</v>
      </c>
      <c r="E152" s="6">
        <f t="shared" si="19"/>
        <v>-1.683081</v>
      </c>
      <c r="F152" s="6">
        <f t="shared" si="20"/>
        <v>2.8250000000000497E-4</v>
      </c>
      <c r="G152" s="6">
        <f t="shared" si="16"/>
        <v>9.2581001638350777</v>
      </c>
      <c r="H152" s="7">
        <f t="shared" si="17"/>
        <v>-2.264513265490374E-14</v>
      </c>
      <c r="I152" s="8" t="str">
        <f t="shared" si="18"/>
        <v/>
      </c>
    </row>
    <row r="153" spans="1:9" x14ac:dyDescent="0.2">
      <c r="A153" s="5">
        <v>152</v>
      </c>
      <c r="B153" s="6">
        <v>7.8406000000000003E-2</v>
      </c>
      <c r="C153" s="6">
        <f t="shared" si="14"/>
        <v>-1.2593999999999994E-2</v>
      </c>
      <c r="D153" s="6">
        <f t="shared" si="15"/>
        <v>-1.9142879999999991</v>
      </c>
      <c r="E153" s="6">
        <f t="shared" si="19"/>
        <v>-1.6957260000000001</v>
      </c>
      <c r="F153" s="6">
        <f t="shared" si="20"/>
        <v>1.815000000000011E-4</v>
      </c>
      <c r="G153" s="6">
        <f t="shared" si="16"/>
        <v>9.1972932593997268</v>
      </c>
      <c r="H153" s="7">
        <f t="shared" si="17"/>
        <v>-3.5015058086517479E-14</v>
      </c>
      <c r="I153" s="8" t="str">
        <f t="shared" si="18"/>
        <v/>
      </c>
    </row>
    <row r="154" spans="1:9" x14ac:dyDescent="0.2">
      <c r="A154" s="5">
        <v>153</v>
      </c>
      <c r="B154" s="6">
        <v>7.8667000000000001E-2</v>
      </c>
      <c r="C154" s="6">
        <f t="shared" si="14"/>
        <v>-1.2332999999999997E-2</v>
      </c>
      <c r="D154" s="6">
        <f t="shared" si="15"/>
        <v>-1.8869489999999995</v>
      </c>
      <c r="E154" s="6">
        <f t="shared" si="19"/>
        <v>-1.7081895</v>
      </c>
      <c r="F154" s="6">
        <f t="shared" si="20"/>
        <v>3.4750000000000059E-4</v>
      </c>
      <c r="G154" s="6">
        <f t="shared" si="16"/>
        <v>9.0419601215798675</v>
      </c>
      <c r="H154" s="7">
        <f t="shared" si="17"/>
        <v>-1.7979566837236382E-14</v>
      </c>
      <c r="I154" s="8" t="str">
        <f t="shared" si="18"/>
        <v/>
      </c>
    </row>
    <row r="155" spans="1:9" x14ac:dyDescent="0.2">
      <c r="A155" s="5">
        <v>154</v>
      </c>
      <c r="B155" s="6">
        <v>7.9101000000000005E-2</v>
      </c>
      <c r="C155" s="6">
        <f t="shared" si="14"/>
        <v>-1.1898999999999993E-2</v>
      </c>
      <c r="D155" s="6">
        <f t="shared" si="15"/>
        <v>-1.8324459999999989</v>
      </c>
      <c r="E155" s="6">
        <f t="shared" si="19"/>
        <v>-1.7203055</v>
      </c>
      <c r="F155" s="6">
        <f t="shared" si="20"/>
        <v>1.9550000000000123E-4</v>
      </c>
      <c r="G155" s="6">
        <f t="shared" si="16"/>
        <v>8.7841007046686777</v>
      </c>
      <c r="H155" s="7">
        <f t="shared" si="17"/>
        <v>-3.104716791387133E-14</v>
      </c>
      <c r="I155" s="8" t="str">
        <f t="shared" si="18"/>
        <v/>
      </c>
    </row>
    <row r="156" spans="1:9" x14ac:dyDescent="0.2">
      <c r="A156" s="5">
        <v>155</v>
      </c>
      <c r="B156" s="6">
        <v>7.9058000000000003E-2</v>
      </c>
      <c r="C156" s="6">
        <f t="shared" si="14"/>
        <v>-1.1941999999999994E-2</v>
      </c>
      <c r="D156" s="6">
        <f t="shared" si="15"/>
        <v>-1.8510099999999992</v>
      </c>
      <c r="E156" s="6">
        <f t="shared" si="19"/>
        <v>-1.732226</v>
      </c>
      <c r="F156" s="6">
        <f t="shared" si="20"/>
        <v>-2.1500000000000685E-5</v>
      </c>
      <c r="G156" s="6">
        <f t="shared" si="16"/>
        <v>8.8096059879110324</v>
      </c>
      <c r="H156" s="7">
        <f t="shared" si="17"/>
        <v>2.8313233534879712E-13</v>
      </c>
      <c r="I156" s="8" t="str">
        <f t="shared" si="18"/>
        <v/>
      </c>
    </row>
    <row r="157" spans="1:9" x14ac:dyDescent="0.2">
      <c r="A157" s="5">
        <v>156</v>
      </c>
      <c r="B157" s="6">
        <v>7.9058000000000003E-2</v>
      </c>
      <c r="C157" s="6">
        <f t="shared" si="14"/>
        <v>-1.1941999999999994E-2</v>
      </c>
      <c r="D157" s="6">
        <f t="shared" si="15"/>
        <v>-1.8629519999999991</v>
      </c>
      <c r="E157" s="6">
        <f t="shared" si="19"/>
        <v>-1.7441679999999999</v>
      </c>
      <c r="F157" s="6">
        <f t="shared" si="20"/>
        <v>-5.8000000000002494E-5</v>
      </c>
      <c r="G157" s="6">
        <f t="shared" si="16"/>
        <v>8.8096059879110324</v>
      </c>
      <c r="H157" s="7">
        <f t="shared" si="17"/>
        <v>1.0495422775860464E-13</v>
      </c>
      <c r="I157" s="8" t="str">
        <f t="shared" si="18"/>
        <v/>
      </c>
    </row>
    <row r="158" spans="1:9" x14ac:dyDescent="0.2">
      <c r="A158" s="5">
        <v>157</v>
      </c>
      <c r="B158" s="6">
        <v>7.8941999999999998E-2</v>
      </c>
      <c r="C158" s="6">
        <f t="shared" si="14"/>
        <v>-1.2057999999999999E-2</v>
      </c>
      <c r="D158" s="6">
        <f t="shared" si="15"/>
        <v>-1.893106</v>
      </c>
      <c r="E158" s="6">
        <f t="shared" si="19"/>
        <v>-1.756168</v>
      </c>
      <c r="F158" s="6">
        <f t="shared" si="20"/>
        <v>-2.6800000000000435E-4</v>
      </c>
      <c r="G158" s="6">
        <f t="shared" si="16"/>
        <v>8.8781789380531961</v>
      </c>
      <c r="H158" s="7">
        <f t="shared" si="17"/>
        <v>2.2890777605682856E-14</v>
      </c>
      <c r="I158" s="8" t="str">
        <f t="shared" si="18"/>
        <v/>
      </c>
    </row>
    <row r="159" spans="1:9" x14ac:dyDescent="0.2">
      <c r="A159" s="5">
        <v>158</v>
      </c>
      <c r="B159" s="6">
        <v>7.8521999999999995E-2</v>
      </c>
      <c r="C159" s="6">
        <f t="shared" si="14"/>
        <v>-1.2478000000000003E-2</v>
      </c>
      <c r="D159" s="6">
        <f t="shared" si="15"/>
        <v>-1.9715240000000005</v>
      </c>
      <c r="E159" s="6">
        <f t="shared" si="19"/>
        <v>-1.7684359999999999</v>
      </c>
      <c r="F159" s="6">
        <f t="shared" si="20"/>
        <v>-5.0500000000001932E-5</v>
      </c>
      <c r="G159" s="6">
        <f t="shared" si="16"/>
        <v>9.1260403092575721</v>
      </c>
      <c r="H159" s="7">
        <f t="shared" si="17"/>
        <v>1.2487124757479411E-13</v>
      </c>
      <c r="I159" s="8" t="str">
        <f t="shared" si="18"/>
        <v/>
      </c>
    </row>
    <row r="160" spans="1:9" x14ac:dyDescent="0.2">
      <c r="A160" s="5">
        <v>159</v>
      </c>
      <c r="B160" s="6">
        <v>7.8840999999999994E-2</v>
      </c>
      <c r="C160" s="6">
        <f t="shared" si="14"/>
        <v>-1.2159000000000003E-2</v>
      </c>
      <c r="D160" s="6">
        <f t="shared" si="15"/>
        <v>-1.9332810000000005</v>
      </c>
      <c r="E160" s="6">
        <f t="shared" si="19"/>
        <v>-1.7807544999999998</v>
      </c>
      <c r="F160" s="6">
        <f t="shared" si="20"/>
        <v>1.4500000000000624E-5</v>
      </c>
      <c r="G160" s="6">
        <f t="shared" si="16"/>
        <v>8.9381026963666308</v>
      </c>
      <c r="H160" s="7">
        <f t="shared" si="17"/>
        <v>-4.2594035075419101E-13</v>
      </c>
      <c r="I160" s="8" t="str">
        <f t="shared" si="18"/>
        <v/>
      </c>
    </row>
    <row r="161" spans="1:9" x14ac:dyDescent="0.2">
      <c r="A161" s="5">
        <v>160</v>
      </c>
      <c r="B161" s="6">
        <v>7.8550999999999996E-2</v>
      </c>
      <c r="C161" s="6">
        <f t="shared" si="14"/>
        <v>-1.2449000000000002E-2</v>
      </c>
      <c r="D161" s="6">
        <f t="shared" si="15"/>
        <v>-1.9918400000000003</v>
      </c>
      <c r="E161" s="6">
        <f t="shared" si="19"/>
        <v>-1.7930584999999999</v>
      </c>
      <c r="F161" s="6">
        <f t="shared" si="20"/>
        <v>-3.9149999999999602E-4</v>
      </c>
      <c r="G161" s="6">
        <f t="shared" si="16"/>
        <v>9.1086650717220312</v>
      </c>
      <c r="H161" s="7">
        <f t="shared" si="17"/>
        <v>1.6076607652319718E-14</v>
      </c>
      <c r="I161" s="8" t="str">
        <f t="shared" si="18"/>
        <v/>
      </c>
    </row>
    <row r="162" spans="1:9" x14ac:dyDescent="0.2">
      <c r="A162" s="5">
        <v>161</v>
      </c>
      <c r="B162" s="6">
        <v>7.8058000000000002E-2</v>
      </c>
      <c r="C162" s="6">
        <f t="shared" si="14"/>
        <v>-1.2941999999999995E-2</v>
      </c>
      <c r="D162" s="6">
        <f t="shared" si="15"/>
        <v>-2.083661999999999</v>
      </c>
      <c r="E162" s="6">
        <f t="shared" si="19"/>
        <v>-1.8057539999999999</v>
      </c>
      <c r="F162" s="6">
        <f t="shared" si="20"/>
        <v>-4.129999999999967E-4</v>
      </c>
      <c r="G162" s="6">
        <f t="shared" si="16"/>
        <v>9.3981281098262084</v>
      </c>
      <c r="H162" s="7">
        <f t="shared" si="17"/>
        <v>1.5723989866758291E-14</v>
      </c>
      <c r="I162" s="8" t="str">
        <f t="shared" si="18"/>
        <v/>
      </c>
    </row>
    <row r="163" spans="1:9" x14ac:dyDescent="0.2">
      <c r="A163" s="5">
        <v>162</v>
      </c>
      <c r="B163" s="6">
        <v>7.7725000000000002E-2</v>
      </c>
      <c r="C163" s="6">
        <f t="shared" si="14"/>
        <v>-1.3274999999999995E-2</v>
      </c>
      <c r="D163" s="6">
        <f t="shared" si="15"/>
        <v>-2.1505499999999991</v>
      </c>
      <c r="E163" s="6">
        <f t="shared" si="19"/>
        <v>-1.8188624999999998</v>
      </c>
      <c r="F163" s="6">
        <f t="shared" si="20"/>
        <v>2.319999999999961E-4</v>
      </c>
      <c r="G163" s="6">
        <f t="shared" si="16"/>
        <v>9.5933147684239621</v>
      </c>
      <c r="H163" s="7">
        <f t="shared" si="17"/>
        <v>-2.857275752590056E-14</v>
      </c>
      <c r="I163" s="8" t="str">
        <f t="shared" si="18"/>
        <v/>
      </c>
    </row>
    <row r="164" spans="1:9" x14ac:dyDescent="0.2">
      <c r="A164" s="5">
        <v>163</v>
      </c>
      <c r="B164" s="6">
        <v>7.8521999999999995E-2</v>
      </c>
      <c r="C164" s="6">
        <f t="shared" si="14"/>
        <v>-1.2478000000000003E-2</v>
      </c>
      <c r="D164" s="6">
        <f t="shared" si="15"/>
        <v>-2.0339140000000007</v>
      </c>
      <c r="E164" s="6">
        <f t="shared" si="19"/>
        <v>-1.8317389999999998</v>
      </c>
      <c r="F164" s="6">
        <f t="shared" si="20"/>
        <v>4.7799999999999926E-4</v>
      </c>
      <c r="G164" s="6">
        <f t="shared" si="16"/>
        <v>9.1269533092575728</v>
      </c>
      <c r="H164" s="7">
        <f t="shared" si="17"/>
        <v>-1.3193784259284682E-14</v>
      </c>
      <c r="I164" s="8" t="str">
        <f t="shared" si="18"/>
        <v/>
      </c>
    </row>
    <row r="165" spans="1:9" x14ac:dyDescent="0.2">
      <c r="A165" s="5">
        <v>164</v>
      </c>
      <c r="B165" s="6">
        <v>7.8681000000000001E-2</v>
      </c>
      <c r="C165" s="6">
        <f t="shared" si="14"/>
        <v>-1.2318999999999997E-2</v>
      </c>
      <c r="D165" s="6">
        <f t="shared" si="15"/>
        <v>-2.0203159999999993</v>
      </c>
      <c r="E165" s="6">
        <f t="shared" si="19"/>
        <v>-1.8441374999999998</v>
      </c>
      <c r="F165" s="6">
        <f t="shared" si="20"/>
        <v>3.259999999999999E-4</v>
      </c>
      <c r="G165" s="6">
        <f t="shared" si="16"/>
        <v>9.0340740758730558</v>
      </c>
      <c r="H165" s="7">
        <f t="shared" si="17"/>
        <v>-1.9148620555778239E-14</v>
      </c>
      <c r="I165" s="8" t="str">
        <f t="shared" si="18"/>
        <v/>
      </c>
    </row>
    <row r="166" spans="1:9" x14ac:dyDescent="0.2">
      <c r="A166" s="5">
        <v>165</v>
      </c>
      <c r="B166" s="6">
        <v>7.9173999999999994E-2</v>
      </c>
      <c r="C166" s="6">
        <f t="shared" si="14"/>
        <v>-1.1826000000000003E-2</v>
      </c>
      <c r="D166" s="6">
        <f t="shared" si="15"/>
        <v>-1.9512900000000006</v>
      </c>
      <c r="E166" s="6">
        <f t="shared" si="19"/>
        <v>-1.8562099999999997</v>
      </c>
      <c r="F166" s="6">
        <f t="shared" si="20"/>
        <v>1.1599999999999805E-4</v>
      </c>
      <c r="G166" s="6">
        <f t="shared" si="16"/>
        <v>8.7465830377688771</v>
      </c>
      <c r="H166" s="7">
        <f t="shared" si="17"/>
        <v>-5.210169839123959E-14</v>
      </c>
      <c r="I166" s="8" t="str">
        <f t="shared" si="18"/>
        <v/>
      </c>
    </row>
    <row r="167" spans="1:9" x14ac:dyDescent="0.2">
      <c r="A167" s="5">
        <v>166</v>
      </c>
      <c r="B167" s="6">
        <v>7.8912999999999997E-2</v>
      </c>
      <c r="C167" s="6">
        <f t="shared" si="14"/>
        <v>-1.2087000000000001E-2</v>
      </c>
      <c r="D167" s="6">
        <f t="shared" si="15"/>
        <v>-2.0064420000000003</v>
      </c>
      <c r="E167" s="6">
        <f t="shared" si="19"/>
        <v>-1.8681664999999996</v>
      </c>
      <c r="F167" s="6">
        <f t="shared" si="20"/>
        <v>-3.1899999999999984E-4</v>
      </c>
      <c r="G167" s="6">
        <f t="shared" si="16"/>
        <v>8.8985231755887355</v>
      </c>
      <c r="H167" s="7">
        <f t="shared" si="17"/>
        <v>1.9275191388037043E-14</v>
      </c>
      <c r="I167" s="8" t="str">
        <f t="shared" si="18"/>
        <v/>
      </c>
    </row>
    <row r="168" spans="1:9" x14ac:dyDescent="0.2">
      <c r="A168" s="5">
        <v>167</v>
      </c>
      <c r="B168" s="6">
        <v>7.8535999999999995E-2</v>
      </c>
      <c r="C168" s="6">
        <f t="shared" si="14"/>
        <v>-1.2464000000000003E-2</v>
      </c>
      <c r="D168" s="6">
        <f t="shared" si="15"/>
        <v>-2.0814880000000007</v>
      </c>
      <c r="E168" s="6">
        <f t="shared" si="19"/>
        <v>-1.8804419999999997</v>
      </c>
      <c r="F168" s="6">
        <f t="shared" si="20"/>
        <v>-4.3500000000001871E-5</v>
      </c>
      <c r="G168" s="6">
        <f t="shared" si="16"/>
        <v>9.1176152635507588</v>
      </c>
      <c r="H168" s="7">
        <f t="shared" si="17"/>
        <v>1.4483164102143124E-13</v>
      </c>
      <c r="I168" s="8" t="str">
        <f t="shared" si="18"/>
        <v/>
      </c>
    </row>
    <row r="169" spans="1:9" x14ac:dyDescent="0.2">
      <c r="A169" s="5">
        <v>168</v>
      </c>
      <c r="B169" s="6">
        <v>7.8825999999999993E-2</v>
      </c>
      <c r="C169" s="6">
        <f t="shared" si="14"/>
        <v>-1.2174000000000004E-2</v>
      </c>
      <c r="D169" s="6">
        <f t="shared" si="15"/>
        <v>-2.0452320000000008</v>
      </c>
      <c r="E169" s="6">
        <f t="shared" si="19"/>
        <v>-1.8927609999999997</v>
      </c>
      <c r="F169" s="6">
        <f t="shared" si="20"/>
        <v>8.0000000000003679E-5</v>
      </c>
      <c r="G169" s="6">
        <f t="shared" si="16"/>
        <v>8.9493728881953594</v>
      </c>
      <c r="H169" s="7">
        <f t="shared" si="17"/>
        <v>-7.7299033376476534E-14</v>
      </c>
      <c r="I169" s="8" t="str">
        <f t="shared" si="18"/>
        <v/>
      </c>
    </row>
    <row r="170" spans="1:9" x14ac:dyDescent="0.2">
      <c r="A170" s="5">
        <v>169</v>
      </c>
      <c r="B170" s="6">
        <v>7.8696000000000002E-2</v>
      </c>
      <c r="C170" s="6">
        <f t="shared" si="14"/>
        <v>-1.2303999999999995E-2</v>
      </c>
      <c r="D170" s="6">
        <f t="shared" si="15"/>
        <v>-2.0793759999999994</v>
      </c>
      <c r="E170" s="6">
        <f t="shared" si="19"/>
        <v>-1.9049999999999998</v>
      </c>
      <c r="F170" s="6">
        <f t="shared" si="20"/>
        <v>-2.8999999999994308E-5</v>
      </c>
      <c r="G170" s="6">
        <f t="shared" si="16"/>
        <v>9.0246618840443258</v>
      </c>
      <c r="H170" s="7">
        <f t="shared" si="17"/>
        <v>2.1503264053406572E-13</v>
      </c>
      <c r="I170" s="8" t="str">
        <f t="shared" si="18"/>
        <v/>
      </c>
    </row>
    <row r="171" spans="1:9" x14ac:dyDescent="0.2">
      <c r="A171" s="5">
        <v>170</v>
      </c>
      <c r="B171" s="6">
        <v>7.8768000000000005E-2</v>
      </c>
      <c r="C171" s="6">
        <f t="shared" si="14"/>
        <v>-1.2231999999999993E-2</v>
      </c>
      <c r="D171" s="6">
        <f t="shared" si="15"/>
        <v>-2.0794399999999986</v>
      </c>
      <c r="E171" s="6">
        <f t="shared" si="19"/>
        <v>-1.9172679999999998</v>
      </c>
      <c r="F171" s="6">
        <f t="shared" si="20"/>
        <v>4.6349999999999864E-4</v>
      </c>
      <c r="G171" s="6">
        <f t="shared" si="16"/>
        <v>8.9830353632664313</v>
      </c>
      <c r="H171" s="7">
        <f t="shared" si="17"/>
        <v>-1.3391980769868828E-14</v>
      </c>
      <c r="I171" s="8" t="str">
        <f t="shared" si="18"/>
        <v/>
      </c>
    </row>
    <row r="172" spans="1:9" x14ac:dyDescent="0.2">
      <c r="A172" s="5">
        <v>171</v>
      </c>
      <c r="B172" s="6">
        <v>7.9622999999999999E-2</v>
      </c>
      <c r="C172" s="6">
        <f t="shared" si="14"/>
        <v>-1.1376999999999998E-2</v>
      </c>
      <c r="D172" s="6">
        <f t="shared" si="15"/>
        <v>-1.9454669999999996</v>
      </c>
      <c r="E172" s="6">
        <f t="shared" si="19"/>
        <v>-1.9290724999999997</v>
      </c>
      <c r="F172" s="6">
        <f t="shared" si="20"/>
        <v>4.4949999999999851E-4</v>
      </c>
      <c r="G172" s="6">
        <f t="shared" si="16"/>
        <v>8.4895754290289602</v>
      </c>
      <c r="H172" s="7">
        <f t="shared" si="17"/>
        <v>-1.3050517141503257E-14</v>
      </c>
      <c r="I172" s="8" t="str">
        <f t="shared" si="18"/>
        <v/>
      </c>
    </row>
    <row r="173" spans="1:9" x14ac:dyDescent="0.2">
      <c r="A173" s="5">
        <v>172</v>
      </c>
      <c r="B173" s="6">
        <v>7.9667000000000002E-2</v>
      </c>
      <c r="C173" s="6">
        <f t="shared" si="14"/>
        <v>-1.1332999999999996E-2</v>
      </c>
      <c r="D173" s="6">
        <f t="shared" si="15"/>
        <v>-1.9492759999999993</v>
      </c>
      <c r="E173" s="6">
        <f t="shared" si="19"/>
        <v>-1.9404274999999997</v>
      </c>
      <c r="F173" s="6">
        <f t="shared" si="20"/>
        <v>1.2349999999999861E-4</v>
      </c>
      <c r="G173" s="6">
        <f t="shared" si="16"/>
        <v>8.4642249996646903</v>
      </c>
      <c r="H173" s="7">
        <f t="shared" si="17"/>
        <v>-4.735781841839377E-14</v>
      </c>
      <c r="I173" s="8" t="str">
        <f t="shared" si="18"/>
        <v/>
      </c>
    </row>
    <row r="174" spans="1:9" x14ac:dyDescent="0.2">
      <c r="A174" s="5">
        <v>173</v>
      </c>
      <c r="B174" s="6">
        <v>7.9869999999999997E-2</v>
      </c>
      <c r="C174" s="6">
        <f t="shared" si="14"/>
        <v>-1.1130000000000001E-2</v>
      </c>
      <c r="D174" s="6">
        <f t="shared" si="15"/>
        <v>-1.9254900000000001</v>
      </c>
      <c r="E174" s="6">
        <f t="shared" si="19"/>
        <v>-1.9516589999999998</v>
      </c>
      <c r="F174" s="6">
        <f t="shared" si="20"/>
        <v>-2.2000000000001185E-5</v>
      </c>
      <c r="G174" s="6">
        <f t="shared" si="16"/>
        <v>8.3474703369159133</v>
      </c>
      <c r="H174" s="7">
        <f t="shared" si="17"/>
        <v>2.6218246949958115E-13</v>
      </c>
      <c r="I174" s="8" t="str">
        <f t="shared" si="18"/>
        <v/>
      </c>
    </row>
    <row r="175" spans="1:9" x14ac:dyDescent="0.2">
      <c r="A175" s="5">
        <v>174</v>
      </c>
      <c r="B175" s="6">
        <v>7.9622999999999999E-2</v>
      </c>
      <c r="C175" s="6">
        <f t="shared" si="14"/>
        <v>-1.1376999999999998E-2</v>
      </c>
      <c r="D175" s="6">
        <f t="shared" si="15"/>
        <v>-1.9795979999999997</v>
      </c>
      <c r="E175" s="6">
        <f t="shared" si="19"/>
        <v>-1.9629124999999998</v>
      </c>
      <c r="F175" s="6">
        <f t="shared" si="20"/>
        <v>7.0000000000000617E-6</v>
      </c>
      <c r="G175" s="6">
        <f t="shared" si="16"/>
        <v>8.4892844290289595</v>
      </c>
      <c r="H175" s="7">
        <f t="shared" si="17"/>
        <v>-8.3800091102314665E-13</v>
      </c>
      <c r="I175" s="8" t="str">
        <f t="shared" si="18"/>
        <v/>
      </c>
    </row>
    <row r="176" spans="1:9" x14ac:dyDescent="0.2">
      <c r="A176" s="5">
        <v>175</v>
      </c>
      <c r="B176" s="6">
        <v>7.9883999999999997E-2</v>
      </c>
      <c r="C176" s="6">
        <f t="shared" si="14"/>
        <v>-1.1116000000000001E-2</v>
      </c>
      <c r="D176" s="6">
        <f t="shared" si="15"/>
        <v>-1.9453000000000003</v>
      </c>
      <c r="E176" s="6">
        <f t="shared" si="19"/>
        <v>-1.9741589999999998</v>
      </c>
      <c r="F176" s="6">
        <f t="shared" si="20"/>
        <v>9.4499999999997364E-5</v>
      </c>
      <c r="G176" s="6">
        <f t="shared" si="16"/>
        <v>8.3396932912091</v>
      </c>
      <c r="H176" s="7">
        <f t="shared" si="17"/>
        <v>-6.0980322455983831E-14</v>
      </c>
      <c r="I176" s="8" t="str">
        <f t="shared" si="18"/>
        <v/>
      </c>
    </row>
    <row r="177" spans="1:9" x14ac:dyDescent="0.2">
      <c r="A177" s="5">
        <v>176</v>
      </c>
      <c r="B177" s="6">
        <v>7.9811999999999994E-2</v>
      </c>
      <c r="C177" s="6">
        <f t="shared" si="14"/>
        <v>-1.1188000000000003E-2</v>
      </c>
      <c r="D177" s="6">
        <f t="shared" si="15"/>
        <v>-1.9690880000000006</v>
      </c>
      <c r="E177" s="6">
        <f t="shared" si="19"/>
        <v>-1.9853109999999998</v>
      </c>
      <c r="F177" s="6">
        <f t="shared" si="20"/>
        <v>-4.4899999999999801E-4</v>
      </c>
      <c r="G177" s="6">
        <f t="shared" si="16"/>
        <v>8.3808878119869945</v>
      </c>
      <c r="H177" s="7">
        <f t="shared" si="17"/>
        <v>1.2897784973897883E-14</v>
      </c>
      <c r="I177" s="8" t="str">
        <f t="shared" si="18"/>
        <v/>
      </c>
    </row>
    <row r="178" spans="1:9" x14ac:dyDescent="0.2">
      <c r="A178" s="5">
        <v>177</v>
      </c>
      <c r="B178" s="6">
        <v>7.8986000000000001E-2</v>
      </c>
      <c r="C178" s="6">
        <f t="shared" si="14"/>
        <v>-1.2013999999999997E-2</v>
      </c>
      <c r="D178" s="6">
        <f t="shared" si="15"/>
        <v>-2.1264779999999996</v>
      </c>
      <c r="E178" s="6">
        <f t="shared" si="19"/>
        <v>-1.9969119999999998</v>
      </c>
      <c r="F178" s="6">
        <f t="shared" si="20"/>
        <v>-4.7849999999999976E-4</v>
      </c>
      <c r="G178" s="6">
        <f t="shared" si="16"/>
        <v>8.8526545086889268</v>
      </c>
      <c r="H178" s="7">
        <f t="shared" si="17"/>
        <v>1.2783889834308273E-14</v>
      </c>
      <c r="I178" s="8" t="str">
        <f t="shared" si="18"/>
        <v/>
      </c>
    </row>
    <row r="179" spans="1:9" x14ac:dyDescent="0.2">
      <c r="A179" s="5">
        <v>178</v>
      </c>
      <c r="B179" s="6">
        <v>7.8854999999999995E-2</v>
      </c>
      <c r="C179" s="6">
        <f t="shared" si="14"/>
        <v>-1.2145000000000003E-2</v>
      </c>
      <c r="D179" s="6">
        <f t="shared" si="15"/>
        <v>-2.1618100000000005</v>
      </c>
      <c r="E179" s="6">
        <f t="shared" si="19"/>
        <v>-2.0089914999999996</v>
      </c>
      <c r="F179" s="6">
        <f t="shared" si="20"/>
        <v>2.1500000000000685E-5</v>
      </c>
      <c r="G179" s="6">
        <f t="shared" si="16"/>
        <v>8.9273436506598181</v>
      </c>
      <c r="H179" s="7">
        <f t="shared" si="17"/>
        <v>-2.8691631155140104E-13</v>
      </c>
      <c r="I179" s="8" t="str">
        <f t="shared" si="18"/>
        <v/>
      </c>
    </row>
    <row r="180" spans="1:9" x14ac:dyDescent="0.2">
      <c r="A180" s="5">
        <v>179</v>
      </c>
      <c r="B180" s="6">
        <v>7.9029000000000002E-2</v>
      </c>
      <c r="C180" s="6">
        <f t="shared" si="14"/>
        <v>-1.1970999999999996E-2</v>
      </c>
      <c r="D180" s="6">
        <f t="shared" si="15"/>
        <v>-2.1428089999999993</v>
      </c>
      <c r="E180" s="6">
        <f t="shared" si="19"/>
        <v>-2.0210494999999997</v>
      </c>
      <c r="F180" s="6">
        <f t="shared" si="20"/>
        <v>2.6800000000000435E-4</v>
      </c>
      <c r="G180" s="6">
        <f t="shared" si="16"/>
        <v>8.828312225446572</v>
      </c>
      <c r="H180" s="7">
        <f t="shared" si="17"/>
        <v>-2.2762205312178819E-14</v>
      </c>
      <c r="I180" s="8" t="str">
        <f t="shared" si="18"/>
        <v/>
      </c>
    </row>
    <row r="181" spans="1:9" x14ac:dyDescent="0.2">
      <c r="A181" s="5">
        <v>180</v>
      </c>
      <c r="B181" s="6">
        <v>7.9391000000000003E-2</v>
      </c>
      <c r="C181" s="6">
        <f t="shared" si="14"/>
        <v>-1.1608999999999994E-2</v>
      </c>
      <c r="D181" s="6">
        <f t="shared" si="15"/>
        <v>-2.0896199999999991</v>
      </c>
      <c r="E181" s="6">
        <f t="shared" si="19"/>
        <v>-2.0328394999999997</v>
      </c>
      <c r="F181" s="6">
        <f t="shared" si="20"/>
        <v>2.8249999999999803E-4</v>
      </c>
      <c r="G181" s="6">
        <f t="shared" si="16"/>
        <v>8.6226433293132771</v>
      </c>
      <c r="H181" s="7">
        <f t="shared" si="17"/>
        <v>-2.1090817616228926E-14</v>
      </c>
      <c r="I181" s="8" t="str">
        <f t="shared" si="18"/>
        <v/>
      </c>
    </row>
    <row r="182" spans="1:9" x14ac:dyDescent="0.2">
      <c r="A182" s="5">
        <v>181</v>
      </c>
      <c r="B182" s="6">
        <v>7.9593999999999998E-2</v>
      </c>
      <c r="C182" s="6">
        <f t="shared" si="14"/>
        <v>-1.1405999999999999E-2</v>
      </c>
      <c r="D182" s="6">
        <f t="shared" si="15"/>
        <v>-2.064486</v>
      </c>
      <c r="E182" s="6">
        <f t="shared" si="19"/>
        <v>-2.0443469999999997</v>
      </c>
      <c r="F182" s="6">
        <f t="shared" si="20"/>
        <v>3.6500000000001809E-5</v>
      </c>
      <c r="G182" s="6">
        <f t="shared" si="16"/>
        <v>8.5075126665644998</v>
      </c>
      <c r="H182" s="7">
        <f t="shared" si="17"/>
        <v>-1.6105758624238168E-13</v>
      </c>
      <c r="I182" s="8" t="str">
        <f t="shared" si="18"/>
        <v/>
      </c>
    </row>
    <row r="183" spans="1:9" x14ac:dyDescent="0.2">
      <c r="A183" s="5">
        <v>182</v>
      </c>
      <c r="B183" s="6">
        <v>7.9464000000000007E-2</v>
      </c>
      <c r="C183" s="6">
        <f t="shared" si="14"/>
        <v>-1.1535999999999991E-2</v>
      </c>
      <c r="D183" s="6">
        <f t="shared" si="15"/>
        <v>-2.0995519999999983</v>
      </c>
      <c r="E183" s="6">
        <f t="shared" si="19"/>
        <v>-2.0558179999999995</v>
      </c>
      <c r="F183" s="6">
        <f t="shared" si="20"/>
        <v>3.6500000000001809E-5</v>
      </c>
      <c r="G183" s="6">
        <f t="shared" si="16"/>
        <v>8.581111662413468</v>
      </c>
      <c r="H183" s="7">
        <f t="shared" si="17"/>
        <v>-1.6245090495795458E-13</v>
      </c>
      <c r="I183" s="8" t="str">
        <f t="shared" si="18"/>
        <v/>
      </c>
    </row>
    <row r="184" spans="1:9" x14ac:dyDescent="0.2">
      <c r="A184" s="5">
        <v>183</v>
      </c>
      <c r="B184" s="6">
        <v>7.9667000000000002E-2</v>
      </c>
      <c r="C184" s="6">
        <f t="shared" si="14"/>
        <v>-1.1332999999999996E-2</v>
      </c>
      <c r="D184" s="6">
        <f t="shared" si="15"/>
        <v>-2.0739389999999993</v>
      </c>
      <c r="E184" s="6">
        <f t="shared" si="19"/>
        <v>-2.0672524999999995</v>
      </c>
      <c r="F184" s="6">
        <f t="shared" si="20"/>
        <v>1.8099999999999367E-4</v>
      </c>
      <c r="G184" s="6">
        <f t="shared" si="16"/>
        <v>8.4663869996646905</v>
      </c>
      <c r="H184" s="7">
        <f t="shared" si="17"/>
        <v>-3.2321461292619872E-14</v>
      </c>
      <c r="I184" s="8" t="str">
        <f t="shared" si="18"/>
        <v/>
      </c>
    </row>
    <row r="185" spans="1:9" x14ac:dyDescent="0.2">
      <c r="A185" s="5">
        <v>184</v>
      </c>
      <c r="B185" s="6">
        <v>7.9825999999999994E-2</v>
      </c>
      <c r="C185" s="6">
        <f t="shared" si="14"/>
        <v>-1.1174000000000003E-2</v>
      </c>
      <c r="D185" s="6">
        <f t="shared" si="15"/>
        <v>-2.0560160000000005</v>
      </c>
      <c r="E185" s="6">
        <f t="shared" si="19"/>
        <v>-2.0785059999999995</v>
      </c>
      <c r="F185" s="6">
        <f t="shared" si="20"/>
        <v>-1.6700000000000048E-4</v>
      </c>
      <c r="G185" s="6">
        <f t="shared" si="16"/>
        <v>8.3766877662801811</v>
      </c>
      <c r="H185" s="7">
        <f t="shared" si="17"/>
        <v>3.4659899795269151E-14</v>
      </c>
      <c r="I185" s="8" t="str">
        <f t="shared" si="18"/>
        <v/>
      </c>
    </row>
    <row r="186" spans="1:9" x14ac:dyDescent="0.2">
      <c r="A186" s="5">
        <v>185</v>
      </c>
      <c r="B186" s="6">
        <v>7.9333000000000001E-2</v>
      </c>
      <c r="C186" s="6">
        <f t="shared" si="14"/>
        <v>-1.1666999999999997E-2</v>
      </c>
      <c r="D186" s="6">
        <f t="shared" si="15"/>
        <v>-2.1583949999999996</v>
      </c>
      <c r="E186" s="6">
        <f t="shared" si="19"/>
        <v>-2.0899264999999994</v>
      </c>
      <c r="F186" s="6">
        <f t="shared" si="20"/>
        <v>-3.1149999999999928E-4</v>
      </c>
      <c r="G186" s="6">
        <f t="shared" si="16"/>
        <v>8.65431880438436</v>
      </c>
      <c r="H186" s="7">
        <f t="shared" si="17"/>
        <v>1.9197571098458971E-14</v>
      </c>
      <c r="I186" s="8" t="str">
        <f t="shared" si="18"/>
        <v/>
      </c>
    </row>
    <row r="187" spans="1:9" x14ac:dyDescent="0.2">
      <c r="A187" s="5">
        <v>186</v>
      </c>
      <c r="B187" s="6">
        <v>7.9202999999999996E-2</v>
      </c>
      <c r="C187" s="6">
        <f t="shared" si="14"/>
        <v>-1.1797000000000002E-2</v>
      </c>
      <c r="D187" s="6">
        <f t="shared" si="15"/>
        <v>-2.1942420000000005</v>
      </c>
      <c r="E187" s="6">
        <f t="shared" si="19"/>
        <v>-2.1016584999999992</v>
      </c>
      <c r="F187" s="6">
        <f t="shared" si="20"/>
        <v>-2.4600000000000316E-4</v>
      </c>
      <c r="G187" s="6">
        <f t="shared" si="16"/>
        <v>8.7273978002333354</v>
      </c>
      <c r="H187" s="7">
        <f t="shared" si="17"/>
        <v>2.4514391120934462E-14</v>
      </c>
      <c r="I187" s="8" t="str">
        <f t="shared" si="18"/>
        <v/>
      </c>
    </row>
    <row r="188" spans="1:9" x14ac:dyDescent="0.2">
      <c r="A188" s="5">
        <v>187</v>
      </c>
      <c r="B188" s="6">
        <v>7.8840999999999994E-2</v>
      </c>
      <c r="C188" s="6">
        <f t="shared" si="14"/>
        <v>-1.2159000000000003E-2</v>
      </c>
      <c r="D188" s="6">
        <f t="shared" si="15"/>
        <v>-2.2737330000000004</v>
      </c>
      <c r="E188" s="6">
        <f t="shared" si="19"/>
        <v>-2.1136364999999993</v>
      </c>
      <c r="F188" s="6">
        <f t="shared" si="20"/>
        <v>-3.4800000000000109E-4</v>
      </c>
      <c r="G188" s="6">
        <f t="shared" si="16"/>
        <v>8.9305326963666296</v>
      </c>
      <c r="H188" s="7">
        <f t="shared" si="17"/>
        <v>1.7732483607597792E-14</v>
      </c>
      <c r="I188" s="8" t="str">
        <f t="shared" si="18"/>
        <v/>
      </c>
    </row>
    <row r="189" spans="1:9" x14ac:dyDescent="0.2">
      <c r="A189" s="5">
        <v>188</v>
      </c>
      <c r="B189" s="6">
        <v>7.8506999999999993E-2</v>
      </c>
      <c r="C189" s="6">
        <f t="shared" si="14"/>
        <v>-1.2493000000000004E-2</v>
      </c>
      <c r="D189" s="6">
        <f t="shared" si="15"/>
        <v>-2.3486840000000009</v>
      </c>
      <c r="E189" s="6">
        <f t="shared" si="19"/>
        <v>-2.1259624999999991</v>
      </c>
      <c r="F189" s="6">
        <f t="shared" si="20"/>
        <v>4.3500000000001871E-5</v>
      </c>
      <c r="G189" s="6">
        <f t="shared" si="16"/>
        <v>9.1176215010862993</v>
      </c>
      <c r="H189" s="7">
        <f t="shared" si="17"/>
        <v>-1.4483174010353575E-13</v>
      </c>
      <c r="I189" s="8" t="str">
        <f t="shared" si="18"/>
        <v/>
      </c>
    </row>
    <row r="190" spans="1:9" x14ac:dyDescent="0.2">
      <c r="A190" s="5">
        <v>189</v>
      </c>
      <c r="B190" s="6">
        <v>7.8927999999999998E-2</v>
      </c>
      <c r="C190" s="6">
        <f t="shared" si="14"/>
        <v>-1.2071999999999999E-2</v>
      </c>
      <c r="D190" s="6">
        <f t="shared" si="15"/>
        <v>-2.2816079999999999</v>
      </c>
      <c r="E190" s="6">
        <f t="shared" si="19"/>
        <v>-2.1382449999999991</v>
      </c>
      <c r="F190" s="6">
        <f t="shared" si="20"/>
        <v>2.7550000000000491E-4</v>
      </c>
      <c r="G190" s="6">
        <f t="shared" si="16"/>
        <v>8.882220983760007</v>
      </c>
      <c r="H190" s="7">
        <f t="shared" si="17"/>
        <v>-2.2277754662260006E-14</v>
      </c>
      <c r="I190" s="8" t="str">
        <f t="shared" si="18"/>
        <v/>
      </c>
    </row>
    <row r="191" spans="1:9" x14ac:dyDescent="0.2">
      <c r="A191" s="5">
        <v>190</v>
      </c>
      <c r="B191" s="6">
        <v>7.9058000000000003E-2</v>
      </c>
      <c r="C191" s="6">
        <f t="shared" si="14"/>
        <v>-1.1941999999999994E-2</v>
      </c>
      <c r="D191" s="6">
        <f t="shared" si="15"/>
        <v>-2.2689799999999991</v>
      </c>
      <c r="E191" s="6">
        <f t="shared" si="19"/>
        <v>-2.1502519999999992</v>
      </c>
      <c r="F191" s="6">
        <f t="shared" si="20"/>
        <v>-1.0149999999999743E-4</v>
      </c>
      <c r="G191" s="6">
        <f t="shared" si="16"/>
        <v>8.8096619879110314</v>
      </c>
      <c r="H191" s="7">
        <f t="shared" si="17"/>
        <v>5.9974225669076995E-14</v>
      </c>
      <c r="I191" s="8" t="str">
        <f t="shared" si="18"/>
        <v/>
      </c>
    </row>
    <row r="192" spans="1:9" x14ac:dyDescent="0.2">
      <c r="A192" s="5">
        <v>191</v>
      </c>
      <c r="B192" s="6">
        <v>7.8725000000000003E-2</v>
      </c>
      <c r="C192" s="6">
        <f t="shared" si="14"/>
        <v>-1.2274999999999994E-2</v>
      </c>
      <c r="D192" s="6">
        <f t="shared" si="15"/>
        <v>-2.3445249999999991</v>
      </c>
      <c r="E192" s="6">
        <f t="shared" si="19"/>
        <v>-2.1623604999999992</v>
      </c>
      <c r="F192" s="6">
        <f t="shared" si="20"/>
        <v>0</v>
      </c>
      <c r="G192" s="6">
        <f t="shared" si="16"/>
        <v>8.9951916465087862</v>
      </c>
      <c r="H192" s="7" t="str">
        <f t="shared" si="17"/>
        <v/>
      </c>
      <c r="I192" s="8" t="str">
        <f t="shared" si="18"/>
        <v/>
      </c>
    </row>
    <row r="193" spans="1:9" x14ac:dyDescent="0.2">
      <c r="A193" s="5">
        <v>192</v>
      </c>
      <c r="B193" s="6">
        <v>7.9058000000000003E-2</v>
      </c>
      <c r="C193" s="6">
        <f t="shared" si="14"/>
        <v>-1.1941999999999994E-2</v>
      </c>
      <c r="D193" s="6">
        <f t="shared" si="15"/>
        <v>-2.2928639999999989</v>
      </c>
      <c r="E193" s="6">
        <f t="shared" si="19"/>
        <v>-2.1744689999999993</v>
      </c>
      <c r="F193" s="6">
        <f t="shared" si="20"/>
        <v>1.5899999999999942E-4</v>
      </c>
      <c r="G193" s="6">
        <f t="shared" si="16"/>
        <v>8.8099949879110326</v>
      </c>
      <c r="H193" s="7">
        <f t="shared" si="17"/>
        <v>-3.8286880534048243E-14</v>
      </c>
      <c r="I193" s="8" t="str">
        <f t="shared" si="18"/>
        <v/>
      </c>
    </row>
    <row r="194" spans="1:9" x14ac:dyDescent="0.2">
      <c r="A194" s="5">
        <v>193</v>
      </c>
      <c r="B194" s="6">
        <v>7.9043000000000002E-2</v>
      </c>
      <c r="C194" s="6">
        <f t="shared" ref="C194:C257" si="21">B194-$B$2</f>
        <v>-1.1956999999999995E-2</v>
      </c>
      <c r="D194" s="6">
        <f t="shared" ref="D194:D257" si="22">A194*C194</f>
        <v>-2.3077009999999989</v>
      </c>
      <c r="E194" s="6">
        <f t="shared" si="19"/>
        <v>-2.1864184999999994</v>
      </c>
      <c r="F194" s="6">
        <f t="shared" si="20"/>
        <v>0</v>
      </c>
      <c r="G194" s="6">
        <f t="shared" ref="G194:G257" si="23">(A194-$L$5)*C194-E194</f>
        <v>8.8183221797397593</v>
      </c>
      <c r="H194" s="7" t="str">
        <f t="shared" ref="H194:H257" si="24">IF(ABS(F194)&lt;0.000000001,"",-(G194)/(2*$L$4*F194)*0.000000000001)</f>
        <v/>
      </c>
      <c r="I194" s="8" t="str">
        <f t="shared" ref="I194:I257" si="25">IF(AND(B194&gt;=0.5,B194&lt;=2.5,ISNUMBER(H194),H194&gt;0),H194,"")</f>
        <v/>
      </c>
    </row>
    <row r="195" spans="1:9" x14ac:dyDescent="0.2">
      <c r="A195" s="5">
        <v>194</v>
      </c>
      <c r="B195" s="6">
        <v>7.9058000000000003E-2</v>
      </c>
      <c r="C195" s="6">
        <f t="shared" si="21"/>
        <v>-1.1941999999999994E-2</v>
      </c>
      <c r="D195" s="6">
        <f t="shared" si="22"/>
        <v>-2.3167479999999987</v>
      </c>
      <c r="E195" s="6">
        <f t="shared" ref="E195:E258" si="26">E194+(C194+C195)/2*(A195-A194)</f>
        <v>-2.1983679999999994</v>
      </c>
      <c r="F195" s="6">
        <f t="shared" ref="F195:F258" si="27">(B196-B194)/(A196-A194)</f>
        <v>9.4499999999997364E-5</v>
      </c>
      <c r="G195" s="6">
        <f t="shared" si="23"/>
        <v>8.8100099879110321</v>
      </c>
      <c r="H195" s="7">
        <f t="shared" si="24"/>
        <v>-6.4419305500066372E-14</v>
      </c>
      <c r="I195" s="8" t="str">
        <f t="shared" si="25"/>
        <v/>
      </c>
    </row>
    <row r="196" spans="1:9" x14ac:dyDescent="0.2">
      <c r="A196" s="5">
        <v>195</v>
      </c>
      <c r="B196" s="6">
        <v>7.9231999999999997E-2</v>
      </c>
      <c r="C196" s="6">
        <f t="shared" si="21"/>
        <v>-1.1768000000000001E-2</v>
      </c>
      <c r="D196" s="6">
        <f t="shared" si="22"/>
        <v>-2.2947600000000001</v>
      </c>
      <c r="E196" s="6">
        <f t="shared" si="26"/>
        <v>-2.2102229999999996</v>
      </c>
      <c r="F196" s="6">
        <f t="shared" si="27"/>
        <v>2.8999999999999859E-4</v>
      </c>
      <c r="G196" s="6">
        <f t="shared" si="23"/>
        <v>8.713762562697795</v>
      </c>
      <c r="H196" s="7">
        <f t="shared" si="24"/>
        <v>-2.0762477275256472E-14</v>
      </c>
      <c r="I196" s="8" t="str">
        <f t="shared" si="25"/>
        <v/>
      </c>
    </row>
    <row r="197" spans="1:9" x14ac:dyDescent="0.2">
      <c r="A197" s="5">
        <v>196</v>
      </c>
      <c r="B197" s="6">
        <v>7.9638E-2</v>
      </c>
      <c r="C197" s="6">
        <f t="shared" si="21"/>
        <v>-1.1361999999999997E-2</v>
      </c>
      <c r="D197" s="6">
        <f t="shared" si="22"/>
        <v>-2.2269519999999994</v>
      </c>
      <c r="E197" s="6">
        <f t="shared" si="26"/>
        <v>-2.2217879999999997</v>
      </c>
      <c r="F197" s="6">
        <f t="shared" si="27"/>
        <v>3.259999999999999E-4</v>
      </c>
      <c r="G197" s="6">
        <f t="shared" si="23"/>
        <v>8.4895912372002318</v>
      </c>
      <c r="H197" s="7">
        <f t="shared" si="24"/>
        <v>-1.799453490302457E-14</v>
      </c>
      <c r="I197" s="8" t="str">
        <f t="shared" si="25"/>
        <v/>
      </c>
    </row>
    <row r="198" spans="1:9" x14ac:dyDescent="0.2">
      <c r="A198" s="5">
        <v>197</v>
      </c>
      <c r="B198" s="6">
        <v>7.9883999999999997E-2</v>
      </c>
      <c r="C198" s="6">
        <f t="shared" si="21"/>
        <v>-1.1116000000000001E-2</v>
      </c>
      <c r="D198" s="6">
        <f t="shared" si="22"/>
        <v>-2.1898520000000001</v>
      </c>
      <c r="E198" s="6">
        <f t="shared" si="26"/>
        <v>-2.2330269999999999</v>
      </c>
      <c r="F198" s="6">
        <f t="shared" si="27"/>
        <v>4.0550000000000308E-4</v>
      </c>
      <c r="G198" s="6">
        <f t="shared" si="23"/>
        <v>8.3540092912090991</v>
      </c>
      <c r="H198" s="7">
        <f t="shared" si="24"/>
        <v>-1.4235592300194185E-14</v>
      </c>
      <c r="I198" s="8" t="str">
        <f t="shared" si="25"/>
        <v/>
      </c>
    </row>
    <row r="199" spans="1:9" x14ac:dyDescent="0.2">
      <c r="A199" s="5">
        <v>198</v>
      </c>
      <c r="B199" s="6">
        <v>8.0449000000000007E-2</v>
      </c>
      <c r="C199" s="6">
        <f t="shared" si="21"/>
        <v>-1.0550999999999991E-2</v>
      </c>
      <c r="D199" s="6">
        <f t="shared" si="22"/>
        <v>-2.0890979999999981</v>
      </c>
      <c r="E199" s="6">
        <f t="shared" si="26"/>
        <v>-2.2438604999999998</v>
      </c>
      <c r="F199" s="6">
        <f t="shared" si="27"/>
        <v>2.9000000000001247E-5</v>
      </c>
      <c r="G199" s="6">
        <f t="shared" si="23"/>
        <v>8.0431767323270194</v>
      </c>
      <c r="H199" s="7">
        <f t="shared" si="24"/>
        <v>-1.9164657393889445E-13</v>
      </c>
      <c r="I199" s="8" t="str">
        <f t="shared" si="25"/>
        <v/>
      </c>
    </row>
    <row r="200" spans="1:9" x14ac:dyDescent="0.2">
      <c r="A200" s="5">
        <v>199</v>
      </c>
      <c r="B200" s="6">
        <v>7.9941999999999999E-2</v>
      </c>
      <c r="C200" s="6">
        <f t="shared" si="21"/>
        <v>-1.1057999999999998E-2</v>
      </c>
      <c r="D200" s="6">
        <f t="shared" si="22"/>
        <v>-2.2005419999999996</v>
      </c>
      <c r="E200" s="6">
        <f t="shared" si="26"/>
        <v>-2.2546649999999997</v>
      </c>
      <c r="F200" s="6">
        <f t="shared" si="27"/>
        <v>-2.390000000000031E-4</v>
      </c>
      <c r="G200" s="6">
        <f t="shared" si="23"/>
        <v>8.3215938161380176</v>
      </c>
      <c r="H200" s="7">
        <f t="shared" si="24"/>
        <v>2.405913776115329E-14</v>
      </c>
      <c r="I200" s="8" t="str">
        <f t="shared" si="25"/>
        <v/>
      </c>
    </row>
    <row r="201" spans="1:9" x14ac:dyDescent="0.2">
      <c r="A201" s="5">
        <v>200</v>
      </c>
      <c r="B201" s="6">
        <v>7.9971E-2</v>
      </c>
      <c r="C201" s="6">
        <f t="shared" si="21"/>
        <v>-1.1028999999999997E-2</v>
      </c>
      <c r="D201" s="6">
        <f t="shared" si="22"/>
        <v>-2.2057999999999995</v>
      </c>
      <c r="E201" s="6">
        <f t="shared" si="26"/>
        <v>-2.2657084999999997</v>
      </c>
      <c r="F201" s="6">
        <f t="shared" si="27"/>
        <v>-2.4649999999999672E-4</v>
      </c>
      <c r="G201" s="6">
        <f t="shared" si="23"/>
        <v>8.3056975786024765</v>
      </c>
      <c r="H201" s="7">
        <f t="shared" si="24"/>
        <v>2.3282554936054983E-14</v>
      </c>
      <c r="I201" s="8" t="str">
        <f t="shared" si="25"/>
        <v/>
      </c>
    </row>
    <row r="202" spans="1:9" x14ac:dyDescent="0.2">
      <c r="A202" s="5">
        <v>201</v>
      </c>
      <c r="B202" s="6">
        <v>7.9449000000000006E-2</v>
      </c>
      <c r="C202" s="6">
        <f t="shared" si="21"/>
        <v>-1.1550999999999992E-2</v>
      </c>
      <c r="D202" s="6">
        <f t="shared" si="22"/>
        <v>-2.3217509999999986</v>
      </c>
      <c r="E202" s="6">
        <f t="shared" si="26"/>
        <v>-2.2769984999999995</v>
      </c>
      <c r="F202" s="6">
        <f t="shared" si="27"/>
        <v>-3.5500000000000115E-4</v>
      </c>
      <c r="G202" s="6">
        <f t="shared" si="23"/>
        <v>8.5913078542421957</v>
      </c>
      <c r="H202" s="7">
        <f t="shared" si="24"/>
        <v>1.6722545049093669E-14</v>
      </c>
      <c r="I202" s="8" t="str">
        <f t="shared" si="25"/>
        <v/>
      </c>
    </row>
    <row r="203" spans="1:9" x14ac:dyDescent="0.2">
      <c r="A203" s="5">
        <v>202</v>
      </c>
      <c r="B203" s="6">
        <v>7.9260999999999998E-2</v>
      </c>
      <c r="C203" s="6">
        <f t="shared" si="21"/>
        <v>-1.1738999999999999E-2</v>
      </c>
      <c r="D203" s="6">
        <f t="shared" si="22"/>
        <v>-2.3712779999999998</v>
      </c>
      <c r="E203" s="6">
        <f t="shared" si="26"/>
        <v>-2.2886434999999996</v>
      </c>
      <c r="F203" s="6">
        <f t="shared" si="27"/>
        <v>-4.200000000000037E-4</v>
      </c>
      <c r="G203" s="6">
        <f t="shared" si="23"/>
        <v>8.6939833251622538</v>
      </c>
      <c r="H203" s="7">
        <f t="shared" si="24"/>
        <v>1.4303455153403251E-14</v>
      </c>
      <c r="I203" s="8" t="str">
        <f t="shared" si="25"/>
        <v/>
      </c>
    </row>
    <row r="204" spans="1:9" x14ac:dyDescent="0.2">
      <c r="A204" s="5">
        <v>203</v>
      </c>
      <c r="B204" s="6">
        <v>7.8608999999999998E-2</v>
      </c>
      <c r="C204" s="6">
        <f t="shared" si="21"/>
        <v>-1.2390999999999999E-2</v>
      </c>
      <c r="D204" s="6">
        <f t="shared" si="22"/>
        <v>-2.5153729999999999</v>
      </c>
      <c r="E204" s="6">
        <f t="shared" si="26"/>
        <v>-2.3007084999999998</v>
      </c>
      <c r="F204" s="6">
        <f t="shared" si="27"/>
        <v>-1.3749999999999873E-4</v>
      </c>
      <c r="G204" s="6">
        <f t="shared" si="23"/>
        <v>9.0494185966509484</v>
      </c>
      <c r="H204" s="7">
        <f t="shared" si="24"/>
        <v>4.54767505736521E-14</v>
      </c>
      <c r="I204" s="8" t="str">
        <f t="shared" si="25"/>
        <v/>
      </c>
    </row>
    <row r="205" spans="1:9" x14ac:dyDescent="0.2">
      <c r="A205" s="5">
        <v>204</v>
      </c>
      <c r="B205" s="6">
        <v>7.8986000000000001E-2</v>
      </c>
      <c r="C205" s="6">
        <f t="shared" si="21"/>
        <v>-1.2013999999999997E-2</v>
      </c>
      <c r="D205" s="6">
        <f t="shared" si="22"/>
        <v>-2.4508559999999995</v>
      </c>
      <c r="E205" s="6">
        <f t="shared" si="26"/>
        <v>-2.3129109999999997</v>
      </c>
      <c r="F205" s="6">
        <f t="shared" si="27"/>
        <v>3.9100000000000246E-4</v>
      </c>
      <c r="G205" s="6">
        <f t="shared" si="23"/>
        <v>8.8442755086889271</v>
      </c>
      <c r="H205" s="7">
        <f t="shared" si="24"/>
        <v>-1.5629927070898826E-14</v>
      </c>
      <c r="I205" s="8" t="str">
        <f t="shared" si="25"/>
        <v/>
      </c>
    </row>
    <row r="206" spans="1:9" x14ac:dyDescent="0.2">
      <c r="A206" s="5">
        <v>205</v>
      </c>
      <c r="B206" s="6">
        <v>7.9391000000000003E-2</v>
      </c>
      <c r="C206" s="6">
        <f t="shared" si="21"/>
        <v>-1.1608999999999994E-2</v>
      </c>
      <c r="D206" s="6">
        <f t="shared" si="22"/>
        <v>-2.3798449999999987</v>
      </c>
      <c r="E206" s="6">
        <f t="shared" si="26"/>
        <v>-2.3247224999999996</v>
      </c>
      <c r="F206" s="6">
        <f t="shared" si="27"/>
        <v>4.4199999999999795E-4</v>
      </c>
      <c r="G206" s="6">
        <f t="shared" si="23"/>
        <v>8.624301329313278</v>
      </c>
      <c r="H206" s="7">
        <f t="shared" si="24"/>
        <v>-1.3482582889526286E-14</v>
      </c>
      <c r="I206" s="8" t="str">
        <f t="shared" si="25"/>
        <v/>
      </c>
    </row>
    <row r="207" spans="1:9" x14ac:dyDescent="0.2">
      <c r="A207" s="5">
        <v>206</v>
      </c>
      <c r="B207" s="6">
        <v>7.9869999999999997E-2</v>
      </c>
      <c r="C207" s="6">
        <f t="shared" si="21"/>
        <v>-1.1130000000000001E-2</v>
      </c>
      <c r="D207" s="6">
        <f t="shared" si="22"/>
        <v>-2.29278</v>
      </c>
      <c r="E207" s="6">
        <f t="shared" si="26"/>
        <v>-2.3360919999999994</v>
      </c>
      <c r="F207" s="6">
        <f t="shared" si="27"/>
        <v>2.5399999999999728E-4</v>
      </c>
      <c r="G207" s="6">
        <f t="shared" si="23"/>
        <v>8.3646133369159124</v>
      </c>
      <c r="H207" s="7">
        <f t="shared" si="24"/>
        <v>-2.275535418085644E-14</v>
      </c>
      <c r="I207" s="8" t="str">
        <f t="shared" si="25"/>
        <v/>
      </c>
    </row>
    <row r="208" spans="1:9" x14ac:dyDescent="0.2">
      <c r="A208" s="5">
        <v>207</v>
      </c>
      <c r="B208" s="6">
        <v>7.9898999999999998E-2</v>
      </c>
      <c r="C208" s="6">
        <f t="shared" si="21"/>
        <v>-1.1101E-2</v>
      </c>
      <c r="D208" s="6">
        <f t="shared" si="22"/>
        <v>-2.2979069999999999</v>
      </c>
      <c r="E208" s="6">
        <f t="shared" si="26"/>
        <v>-2.3472074999999992</v>
      </c>
      <c r="F208" s="6">
        <f t="shared" si="27"/>
        <v>-9.4499999999997364E-5</v>
      </c>
      <c r="G208" s="6">
        <f t="shared" si="23"/>
        <v>8.3489200993803721</v>
      </c>
      <c r="H208" s="7">
        <f t="shared" si="24"/>
        <v>6.1047789414045324E-14</v>
      </c>
      <c r="I208" s="8" t="str">
        <f t="shared" si="25"/>
        <v/>
      </c>
    </row>
    <row r="209" spans="1:9" x14ac:dyDescent="0.2">
      <c r="A209" s="5">
        <v>208</v>
      </c>
      <c r="B209" s="6">
        <v>7.9681000000000002E-2</v>
      </c>
      <c r="C209" s="6">
        <f t="shared" si="21"/>
        <v>-1.1318999999999996E-2</v>
      </c>
      <c r="D209" s="6">
        <f t="shared" si="22"/>
        <v>-2.3543519999999991</v>
      </c>
      <c r="E209" s="6">
        <f t="shared" si="26"/>
        <v>-2.3584174999999994</v>
      </c>
      <c r="F209" s="6">
        <f t="shared" si="27"/>
        <v>1.4500000000000624E-5</v>
      </c>
      <c r="G209" s="6">
        <f t="shared" si="23"/>
        <v>8.4666719539578779</v>
      </c>
      <c r="H209" s="7">
        <f t="shared" si="24"/>
        <v>-4.0347457892327222E-13</v>
      </c>
      <c r="I209" s="8" t="str">
        <f t="shared" si="25"/>
        <v/>
      </c>
    </row>
    <row r="210" spans="1:9" x14ac:dyDescent="0.2">
      <c r="A210" s="5">
        <v>209</v>
      </c>
      <c r="B210" s="6">
        <v>7.9927999999999999E-2</v>
      </c>
      <c r="C210" s="6">
        <f t="shared" si="21"/>
        <v>-1.1071999999999999E-2</v>
      </c>
      <c r="D210" s="6">
        <f t="shared" si="22"/>
        <v>-2.3140479999999997</v>
      </c>
      <c r="E210" s="6">
        <f t="shared" si="26"/>
        <v>-2.3696129999999993</v>
      </c>
      <c r="F210" s="6">
        <f t="shared" si="27"/>
        <v>1.5249999999999986E-4</v>
      </c>
      <c r="G210" s="6">
        <f t="shared" si="23"/>
        <v>8.3335028618448312</v>
      </c>
      <c r="H210" s="7">
        <f t="shared" si="24"/>
        <v>-3.7759757051920895E-14</v>
      </c>
      <c r="I210" s="8" t="str">
        <f t="shared" si="25"/>
        <v/>
      </c>
    </row>
    <row r="211" spans="1:9" x14ac:dyDescent="0.2">
      <c r="A211" s="5">
        <v>210</v>
      </c>
      <c r="B211" s="6">
        <v>7.9986000000000002E-2</v>
      </c>
      <c r="C211" s="6">
        <f t="shared" si="21"/>
        <v>-1.1013999999999996E-2</v>
      </c>
      <c r="D211" s="6">
        <f t="shared" si="22"/>
        <v>-2.3129399999999993</v>
      </c>
      <c r="E211" s="6">
        <f t="shared" si="26"/>
        <v>-2.3806559999999992</v>
      </c>
      <c r="F211" s="6">
        <f t="shared" si="27"/>
        <v>2.9000000000001247E-5</v>
      </c>
      <c r="G211" s="6">
        <f t="shared" si="23"/>
        <v>8.3022903867737483</v>
      </c>
      <c r="H211" s="7">
        <f t="shared" si="24"/>
        <v>-1.9782053303342938E-13</v>
      </c>
      <c r="I211" s="8" t="str">
        <f t="shared" si="25"/>
        <v/>
      </c>
    </row>
    <row r="212" spans="1:9" x14ac:dyDescent="0.2">
      <c r="A212" s="5">
        <v>211</v>
      </c>
      <c r="B212" s="6">
        <v>7.9986000000000002E-2</v>
      </c>
      <c r="C212" s="6">
        <f t="shared" si="21"/>
        <v>-1.1013999999999996E-2</v>
      </c>
      <c r="D212" s="6">
        <f t="shared" si="22"/>
        <v>-2.3239539999999992</v>
      </c>
      <c r="E212" s="6">
        <f t="shared" si="26"/>
        <v>-2.3916699999999991</v>
      </c>
      <c r="F212" s="6">
        <f t="shared" si="27"/>
        <v>2.2450000000000248E-4</v>
      </c>
      <c r="G212" s="6">
        <f t="shared" si="23"/>
        <v>8.3022903867737483</v>
      </c>
      <c r="H212" s="7">
        <f t="shared" si="24"/>
        <v>-2.5553654601201048E-14</v>
      </c>
      <c r="I212" s="8" t="str">
        <f t="shared" si="25"/>
        <v/>
      </c>
    </row>
    <row r="213" spans="1:9" x14ac:dyDescent="0.2">
      <c r="A213" s="5">
        <v>212</v>
      </c>
      <c r="B213" s="6">
        <v>8.0435000000000006E-2</v>
      </c>
      <c r="C213" s="6">
        <f t="shared" si="21"/>
        <v>-1.0564999999999991E-2</v>
      </c>
      <c r="D213" s="6">
        <f t="shared" si="22"/>
        <v>-2.2397799999999979</v>
      </c>
      <c r="E213" s="6">
        <f t="shared" si="26"/>
        <v>-2.4024594999999991</v>
      </c>
      <c r="F213" s="6">
        <f t="shared" si="27"/>
        <v>1.5899999999999942E-4</v>
      </c>
      <c r="G213" s="6">
        <f t="shared" si="23"/>
        <v>8.061560778033833</v>
      </c>
      <c r="H213" s="7">
        <f t="shared" si="24"/>
        <v>-3.5034300797001463E-14</v>
      </c>
      <c r="I213" s="8" t="str">
        <f t="shared" si="25"/>
        <v/>
      </c>
    </row>
    <row r="214" spans="1:9" x14ac:dyDescent="0.2">
      <c r="A214" s="5">
        <v>213</v>
      </c>
      <c r="B214" s="6">
        <v>8.0304E-2</v>
      </c>
      <c r="C214" s="6">
        <f t="shared" si="21"/>
        <v>-1.0695999999999997E-2</v>
      </c>
      <c r="D214" s="6">
        <f t="shared" si="22"/>
        <v>-2.2782479999999996</v>
      </c>
      <c r="E214" s="6">
        <f t="shared" si="26"/>
        <v>-2.4130899999999991</v>
      </c>
      <c r="F214" s="6">
        <f t="shared" si="27"/>
        <v>-2.0300000000000179E-4</v>
      </c>
      <c r="G214" s="6">
        <f t="shared" si="23"/>
        <v>8.1316649200047237</v>
      </c>
      <c r="H214" s="7">
        <f t="shared" si="24"/>
        <v>2.7679285972997125E-14</v>
      </c>
      <c r="I214" s="8" t="str">
        <f t="shared" si="25"/>
        <v/>
      </c>
    </row>
    <row r="215" spans="1:9" x14ac:dyDescent="0.2">
      <c r="A215" s="5">
        <v>214</v>
      </c>
      <c r="B215" s="6">
        <v>8.0029000000000003E-2</v>
      </c>
      <c r="C215" s="6">
        <f t="shared" si="21"/>
        <v>-1.0970999999999995E-2</v>
      </c>
      <c r="D215" s="6">
        <f t="shared" si="22"/>
        <v>-2.347793999999999</v>
      </c>
      <c r="E215" s="6">
        <f t="shared" si="26"/>
        <v>-2.423923499999999</v>
      </c>
      <c r="F215" s="6">
        <f t="shared" si="27"/>
        <v>-5.0500000000001932E-5</v>
      </c>
      <c r="G215" s="6">
        <f t="shared" si="23"/>
        <v>8.2785551035313958</v>
      </c>
      <c r="H215" s="7">
        <f t="shared" si="24"/>
        <v>1.1327514111963668E-13</v>
      </c>
      <c r="I215" s="8" t="str">
        <f t="shared" si="25"/>
        <v/>
      </c>
    </row>
    <row r="216" spans="1:9" x14ac:dyDescent="0.2">
      <c r="A216" s="5">
        <v>215</v>
      </c>
      <c r="B216" s="6">
        <v>8.0202999999999997E-2</v>
      </c>
      <c r="C216" s="6">
        <f t="shared" si="21"/>
        <v>-1.0797000000000001E-2</v>
      </c>
      <c r="D216" s="6">
        <f t="shared" si="22"/>
        <v>-2.3213550000000001</v>
      </c>
      <c r="E216" s="6">
        <f t="shared" si="26"/>
        <v>-2.4348074999999989</v>
      </c>
      <c r="F216" s="6">
        <f t="shared" si="27"/>
        <v>-7.9500000000003179E-5</v>
      </c>
      <c r="G216" s="6">
        <f t="shared" si="23"/>
        <v>8.1857876783181585</v>
      </c>
      <c r="H216" s="7">
        <f t="shared" si="24"/>
        <v>7.1148343522758603E-14</v>
      </c>
      <c r="I216" s="8" t="str">
        <f t="shared" si="25"/>
        <v/>
      </c>
    </row>
    <row r="217" spans="1:9" x14ac:dyDescent="0.2">
      <c r="A217" s="5">
        <v>216</v>
      </c>
      <c r="B217" s="6">
        <v>7.9869999999999997E-2</v>
      </c>
      <c r="C217" s="6">
        <f t="shared" si="21"/>
        <v>-1.1130000000000001E-2</v>
      </c>
      <c r="D217" s="6">
        <f t="shared" si="22"/>
        <v>-2.4040800000000004</v>
      </c>
      <c r="E217" s="6">
        <f t="shared" si="26"/>
        <v>-2.4457709999999988</v>
      </c>
      <c r="F217" s="6">
        <f t="shared" si="27"/>
        <v>-1.1599999999999805E-4</v>
      </c>
      <c r="G217" s="6">
        <f t="shared" si="23"/>
        <v>8.3629923369159123</v>
      </c>
      <c r="H217" s="7">
        <f t="shared" si="24"/>
        <v>4.9816722999681034E-14</v>
      </c>
      <c r="I217" s="8" t="str">
        <f t="shared" si="25"/>
        <v/>
      </c>
    </row>
    <row r="218" spans="1:9" x14ac:dyDescent="0.2">
      <c r="A218" s="5">
        <v>217</v>
      </c>
      <c r="B218" s="6">
        <v>7.9971E-2</v>
      </c>
      <c r="C218" s="6">
        <f t="shared" si="21"/>
        <v>-1.1028999999999997E-2</v>
      </c>
      <c r="D218" s="6">
        <f t="shared" si="22"/>
        <v>-2.3932929999999994</v>
      </c>
      <c r="E218" s="6">
        <f t="shared" si="26"/>
        <v>-2.4568504999999989</v>
      </c>
      <c r="F218" s="6">
        <f t="shared" si="27"/>
        <v>-1.9600000000000173E-4</v>
      </c>
      <c r="G218" s="6">
        <f t="shared" si="23"/>
        <v>8.3093465786024758</v>
      </c>
      <c r="H218" s="7">
        <f t="shared" si="24"/>
        <v>2.9294240879652201E-14</v>
      </c>
      <c r="I218" s="8" t="str">
        <f t="shared" si="25"/>
        <v/>
      </c>
    </row>
    <row r="219" spans="1:9" x14ac:dyDescent="0.2">
      <c r="A219" s="5">
        <v>218</v>
      </c>
      <c r="B219" s="6">
        <v>7.9477999999999993E-2</v>
      </c>
      <c r="C219" s="6">
        <f t="shared" si="21"/>
        <v>-1.1522000000000004E-2</v>
      </c>
      <c r="D219" s="6">
        <f t="shared" si="22"/>
        <v>-2.5117960000000008</v>
      </c>
      <c r="E219" s="6">
        <f t="shared" si="26"/>
        <v>-2.4681259999999989</v>
      </c>
      <c r="F219" s="6">
        <f t="shared" si="27"/>
        <v>-9.3999999999996864E-5</v>
      </c>
      <c r="G219" s="6">
        <f t="shared" si="23"/>
        <v>8.5707086167066624</v>
      </c>
      <c r="H219" s="7">
        <f t="shared" si="24"/>
        <v>6.3002868464319576E-14</v>
      </c>
      <c r="I219" s="8" t="str">
        <f t="shared" si="25"/>
        <v/>
      </c>
    </row>
    <row r="220" spans="1:9" x14ac:dyDescent="0.2">
      <c r="A220" s="5">
        <v>219</v>
      </c>
      <c r="B220" s="6">
        <v>7.9783000000000007E-2</v>
      </c>
      <c r="C220" s="6">
        <f t="shared" si="21"/>
        <v>-1.1216999999999991E-2</v>
      </c>
      <c r="D220" s="6">
        <f t="shared" si="22"/>
        <v>-2.456522999999998</v>
      </c>
      <c r="E220" s="6">
        <f t="shared" si="26"/>
        <v>-2.4794954999999987</v>
      </c>
      <c r="F220" s="6">
        <f t="shared" si="27"/>
        <v>-3.1849999999999934E-4</v>
      </c>
      <c r="G220" s="6">
        <f t="shared" si="23"/>
        <v>8.4093190495225265</v>
      </c>
      <c r="H220" s="7">
        <f t="shared" si="24"/>
        <v>1.8244116608485881E-14</v>
      </c>
      <c r="I220" s="8" t="str">
        <f t="shared" si="25"/>
        <v/>
      </c>
    </row>
    <row r="221" spans="1:9" x14ac:dyDescent="0.2">
      <c r="A221" s="5">
        <v>220</v>
      </c>
      <c r="B221" s="6">
        <v>7.8840999999999994E-2</v>
      </c>
      <c r="C221" s="6">
        <f t="shared" si="21"/>
        <v>-1.2159000000000003E-2</v>
      </c>
      <c r="D221" s="6">
        <f t="shared" si="22"/>
        <v>-2.6749800000000006</v>
      </c>
      <c r="E221" s="6">
        <f t="shared" si="26"/>
        <v>-2.4911834999999987</v>
      </c>
      <c r="F221" s="6">
        <f t="shared" si="27"/>
        <v>-6.6700000000000093E-4</v>
      </c>
      <c r="G221" s="6">
        <f t="shared" si="23"/>
        <v>8.9068326963666298</v>
      </c>
      <c r="H221" s="7">
        <f t="shared" si="24"/>
        <v>9.2271781774604174E-15</v>
      </c>
      <c r="I221" s="8" t="str">
        <f t="shared" si="25"/>
        <v/>
      </c>
    </row>
    <row r="222" spans="1:9" x14ac:dyDescent="0.2">
      <c r="A222" s="5">
        <v>221</v>
      </c>
      <c r="B222" s="6">
        <v>7.8449000000000005E-2</v>
      </c>
      <c r="C222" s="6">
        <f t="shared" si="21"/>
        <v>-1.2550999999999993E-2</v>
      </c>
      <c r="D222" s="6">
        <f t="shared" si="22"/>
        <v>-2.7737709999999982</v>
      </c>
      <c r="E222" s="6">
        <f t="shared" si="26"/>
        <v>-2.5035384999999986</v>
      </c>
      <c r="F222" s="6">
        <f t="shared" si="27"/>
        <v>-1.5949999999999992E-4</v>
      </c>
      <c r="G222" s="6">
        <f t="shared" si="23"/>
        <v>9.1134739761573726</v>
      </c>
      <c r="H222" s="7">
        <f t="shared" si="24"/>
        <v>3.9481597481754315E-14</v>
      </c>
      <c r="I222" s="8" t="str">
        <f t="shared" si="25"/>
        <v/>
      </c>
    </row>
    <row r="223" spans="1:9" x14ac:dyDescent="0.2">
      <c r="A223" s="5">
        <v>222</v>
      </c>
      <c r="B223" s="6">
        <v>7.8521999999999995E-2</v>
      </c>
      <c r="C223" s="6">
        <f t="shared" si="21"/>
        <v>-1.2478000000000003E-2</v>
      </c>
      <c r="D223" s="6">
        <f t="shared" si="22"/>
        <v>-2.7701160000000007</v>
      </c>
      <c r="E223" s="6">
        <f t="shared" si="26"/>
        <v>-2.5160529999999985</v>
      </c>
      <c r="F223" s="6">
        <f t="shared" si="27"/>
        <v>-2.0300000000000179E-4</v>
      </c>
      <c r="G223" s="6">
        <f t="shared" si="23"/>
        <v>9.075065309257571</v>
      </c>
      <c r="H223" s="7">
        <f t="shared" si="24"/>
        <v>3.0890516319801822E-14</v>
      </c>
      <c r="I223" s="8" t="str">
        <f t="shared" si="25"/>
        <v/>
      </c>
    </row>
    <row r="224" spans="1:9" x14ac:dyDescent="0.2">
      <c r="A224" s="5">
        <v>223</v>
      </c>
      <c r="B224" s="6">
        <v>7.8043000000000001E-2</v>
      </c>
      <c r="C224" s="6">
        <f t="shared" si="21"/>
        <v>-1.2956999999999996E-2</v>
      </c>
      <c r="D224" s="6">
        <f t="shared" si="22"/>
        <v>-2.8894109999999991</v>
      </c>
      <c r="E224" s="6">
        <f t="shared" si="26"/>
        <v>-2.5287704999999985</v>
      </c>
      <c r="F224" s="6">
        <f t="shared" si="27"/>
        <v>-3.3350000000000046E-4</v>
      </c>
      <c r="G224" s="6">
        <f t="shared" si="23"/>
        <v>9.3266103016549362</v>
      </c>
      <c r="H224" s="7">
        <f t="shared" si="24"/>
        <v>1.9324107228423358E-14</v>
      </c>
      <c r="I224" s="8" t="str">
        <f t="shared" si="25"/>
        <v/>
      </c>
    </row>
    <row r="225" spans="1:9" x14ac:dyDescent="0.2">
      <c r="A225" s="5">
        <v>224</v>
      </c>
      <c r="B225" s="6">
        <v>7.7854999999999994E-2</v>
      </c>
      <c r="C225" s="6">
        <f t="shared" si="21"/>
        <v>-1.3145000000000004E-2</v>
      </c>
      <c r="D225" s="6">
        <f t="shared" si="22"/>
        <v>-2.9444800000000009</v>
      </c>
      <c r="E225" s="6">
        <f t="shared" si="26"/>
        <v>-2.5418214999999984</v>
      </c>
      <c r="F225" s="6">
        <f t="shared" si="27"/>
        <v>-1.5199999999999936E-4</v>
      </c>
      <c r="G225" s="6">
        <f t="shared" si="23"/>
        <v>9.4251497725749935</v>
      </c>
      <c r="H225" s="7">
        <f t="shared" si="24"/>
        <v>4.2846575658690431E-14</v>
      </c>
      <c r="I225" s="8" t="str">
        <f t="shared" si="25"/>
        <v/>
      </c>
    </row>
    <row r="226" spans="1:9" x14ac:dyDescent="0.2">
      <c r="A226" s="5">
        <v>225</v>
      </c>
      <c r="B226" s="6">
        <v>7.7739000000000003E-2</v>
      </c>
      <c r="C226" s="6">
        <f t="shared" si="21"/>
        <v>-1.3260999999999995E-2</v>
      </c>
      <c r="D226" s="6">
        <f t="shared" si="22"/>
        <v>-2.9837249999999989</v>
      </c>
      <c r="E226" s="6">
        <f t="shared" si="26"/>
        <v>-2.5550244999999983</v>
      </c>
      <c r="F226" s="6">
        <f t="shared" si="27"/>
        <v>3.6500000000001809E-5</v>
      </c>
      <c r="G226" s="6">
        <f t="shared" si="23"/>
        <v>9.4858347227171489</v>
      </c>
      <c r="H226" s="7">
        <f t="shared" si="24"/>
        <v>-1.7957841543266695E-13</v>
      </c>
      <c r="I226" s="8" t="str">
        <f t="shared" si="25"/>
        <v/>
      </c>
    </row>
    <row r="227" spans="1:9" x14ac:dyDescent="0.2">
      <c r="A227" s="5">
        <v>226</v>
      </c>
      <c r="B227" s="6">
        <v>7.7927999999999997E-2</v>
      </c>
      <c r="C227" s="6">
        <f t="shared" si="21"/>
        <v>-1.3072E-2</v>
      </c>
      <c r="D227" s="6">
        <f t="shared" si="22"/>
        <v>-2.954272</v>
      </c>
      <c r="E227" s="6">
        <f t="shared" si="26"/>
        <v>-2.5681909999999983</v>
      </c>
      <c r="F227" s="6">
        <f t="shared" si="27"/>
        <v>7.5000000000005618E-6</v>
      </c>
      <c r="G227" s="6">
        <f t="shared" si="23"/>
        <v>9.3871491056751832</v>
      </c>
      <c r="H227" s="7">
        <f t="shared" si="24"/>
        <v>-8.6485619178869351E-13</v>
      </c>
      <c r="I227" s="8" t="str">
        <f t="shared" si="25"/>
        <v/>
      </c>
    </row>
    <row r="228" spans="1:9" x14ac:dyDescent="0.2">
      <c r="A228" s="5">
        <v>227</v>
      </c>
      <c r="B228" s="6">
        <v>7.7754000000000004E-2</v>
      </c>
      <c r="C228" s="6">
        <f t="shared" si="21"/>
        <v>-1.3245999999999994E-2</v>
      </c>
      <c r="D228" s="6">
        <f t="shared" si="22"/>
        <v>-3.0068419999999985</v>
      </c>
      <c r="E228" s="6">
        <f t="shared" si="26"/>
        <v>-2.5813499999999983</v>
      </c>
      <c r="F228" s="6">
        <f t="shared" si="27"/>
        <v>-2.1749999999999547E-4</v>
      </c>
      <c r="G228" s="6">
        <f t="shared" si="23"/>
        <v>9.47782853088842</v>
      </c>
      <c r="H228" s="7">
        <f t="shared" si="24"/>
        <v>3.0110712500360956E-14</v>
      </c>
      <c r="I228" s="8" t="str">
        <f t="shared" si="25"/>
        <v/>
      </c>
    </row>
    <row r="229" spans="1:9" x14ac:dyDescent="0.2">
      <c r="A229" s="5">
        <v>228</v>
      </c>
      <c r="B229" s="6">
        <v>7.7493000000000006E-2</v>
      </c>
      <c r="C229" s="6">
        <f t="shared" si="21"/>
        <v>-1.3506999999999991E-2</v>
      </c>
      <c r="D229" s="6">
        <f t="shared" si="22"/>
        <v>-3.0795959999999978</v>
      </c>
      <c r="E229" s="6">
        <f t="shared" si="26"/>
        <v>-2.5947264999999984</v>
      </c>
      <c r="F229" s="6">
        <f t="shared" si="27"/>
        <v>-1.0150000000000436E-4</v>
      </c>
      <c r="G229" s="6">
        <f t="shared" si="23"/>
        <v>9.6135866687082796</v>
      </c>
      <c r="H229" s="7">
        <f t="shared" si="24"/>
        <v>6.5447166661954763E-14</v>
      </c>
      <c r="I229" s="8" t="str">
        <f t="shared" si="25"/>
        <v/>
      </c>
    </row>
    <row r="230" spans="1:9" x14ac:dyDescent="0.2">
      <c r="A230" s="5">
        <v>229</v>
      </c>
      <c r="B230" s="6">
        <v>7.7550999999999995E-2</v>
      </c>
      <c r="C230" s="6">
        <f t="shared" si="21"/>
        <v>-1.3449000000000003E-2</v>
      </c>
      <c r="D230" s="6">
        <f t="shared" si="22"/>
        <v>-3.0798210000000008</v>
      </c>
      <c r="E230" s="6">
        <f t="shared" si="26"/>
        <v>-2.6082044999999985</v>
      </c>
      <c r="F230" s="6">
        <f t="shared" si="27"/>
        <v>1.449999999999993E-4</v>
      </c>
      <c r="G230" s="6">
        <f t="shared" si="23"/>
        <v>9.5834761936372068</v>
      </c>
      <c r="H230" s="7">
        <f t="shared" si="24"/>
        <v>-4.5669526856318281E-14</v>
      </c>
      <c r="I230" s="8" t="str">
        <f t="shared" si="25"/>
        <v/>
      </c>
    </row>
    <row r="231" spans="1:9" x14ac:dyDescent="0.2">
      <c r="A231" s="5">
        <v>230</v>
      </c>
      <c r="B231" s="6">
        <v>7.7783000000000005E-2</v>
      </c>
      <c r="C231" s="6">
        <f t="shared" si="21"/>
        <v>-1.3216999999999993E-2</v>
      </c>
      <c r="D231" s="6">
        <f t="shared" si="22"/>
        <v>-3.0399099999999981</v>
      </c>
      <c r="E231" s="6">
        <f t="shared" si="26"/>
        <v>-2.6215374999999983</v>
      </c>
      <c r="F231" s="6">
        <f t="shared" si="27"/>
        <v>1.449999999999993E-4</v>
      </c>
      <c r="G231" s="6">
        <f t="shared" si="23"/>
        <v>9.4632662933528806</v>
      </c>
      <c r="H231" s="7">
        <f t="shared" si="24"/>
        <v>-4.5096673211304242E-14</v>
      </c>
      <c r="I231" s="8" t="str">
        <f t="shared" si="25"/>
        <v/>
      </c>
    </row>
    <row r="232" spans="1:9" x14ac:dyDescent="0.2">
      <c r="A232" s="5">
        <v>231</v>
      </c>
      <c r="B232" s="6">
        <v>7.7840999999999994E-2</v>
      </c>
      <c r="C232" s="6">
        <f t="shared" si="21"/>
        <v>-1.3159000000000004E-2</v>
      </c>
      <c r="D232" s="6">
        <f t="shared" si="22"/>
        <v>-3.0397290000000008</v>
      </c>
      <c r="E232" s="6">
        <f t="shared" si="26"/>
        <v>-2.6347254999999983</v>
      </c>
      <c r="F232" s="6">
        <f t="shared" si="27"/>
        <v>1.0849999999999749E-4</v>
      </c>
      <c r="G232" s="6">
        <f t="shared" si="23"/>
        <v>9.4332718182818063</v>
      </c>
      <c r="H232" s="7">
        <f t="shared" si="24"/>
        <v>-6.0076421644223992E-14</v>
      </c>
      <c r="I232" s="8" t="str">
        <f t="shared" si="25"/>
        <v/>
      </c>
    </row>
    <row r="233" spans="1:9" x14ac:dyDescent="0.2">
      <c r="A233" s="5">
        <v>232</v>
      </c>
      <c r="B233" s="6">
        <v>7.8E-2</v>
      </c>
      <c r="C233" s="6">
        <f t="shared" si="21"/>
        <v>-1.2999999999999998E-2</v>
      </c>
      <c r="D233" s="6">
        <f t="shared" si="22"/>
        <v>-3.0159999999999996</v>
      </c>
      <c r="E233" s="6">
        <f t="shared" si="26"/>
        <v>-2.6478049999999982</v>
      </c>
      <c r="F233" s="6">
        <f t="shared" si="27"/>
        <v>-1.1599999999999805E-4</v>
      </c>
      <c r="G233" s="6">
        <f t="shared" si="23"/>
        <v>9.3512045848972889</v>
      </c>
      <c r="H233" s="7">
        <f t="shared" si="24"/>
        <v>5.5703311655905375E-14</v>
      </c>
      <c r="I233" s="8" t="str">
        <f t="shared" si="25"/>
        <v/>
      </c>
    </row>
    <row r="234" spans="1:9" x14ac:dyDescent="0.2">
      <c r="A234" s="5">
        <v>233</v>
      </c>
      <c r="B234" s="6">
        <v>7.7608999999999997E-2</v>
      </c>
      <c r="C234" s="6">
        <f t="shared" si="21"/>
        <v>-1.3391E-2</v>
      </c>
      <c r="D234" s="6">
        <f t="shared" si="22"/>
        <v>-3.1201029999999998</v>
      </c>
      <c r="E234" s="6">
        <f t="shared" si="26"/>
        <v>-2.6610004999999983</v>
      </c>
      <c r="F234" s="6">
        <f t="shared" si="27"/>
        <v>-5.9399999999999731E-4</v>
      </c>
      <c r="G234" s="6">
        <f t="shared" si="23"/>
        <v>9.552626718566124</v>
      </c>
      <c r="H234" s="7">
        <f t="shared" si="24"/>
        <v>1.1112398536877629E-14</v>
      </c>
      <c r="I234" s="8" t="str">
        <f t="shared" si="25"/>
        <v/>
      </c>
    </row>
    <row r="235" spans="1:9" x14ac:dyDescent="0.2">
      <c r="A235" s="5">
        <v>234</v>
      </c>
      <c r="B235" s="6">
        <v>7.6812000000000005E-2</v>
      </c>
      <c r="C235" s="6">
        <f t="shared" si="21"/>
        <v>-1.4187999999999992E-2</v>
      </c>
      <c r="D235" s="6">
        <f t="shared" si="22"/>
        <v>-3.3199919999999983</v>
      </c>
      <c r="E235" s="6">
        <f t="shared" si="26"/>
        <v>-2.6747899999999984</v>
      </c>
      <c r="F235" s="6">
        <f t="shared" si="27"/>
        <v>-3.1149999999999928E-4</v>
      </c>
      <c r="G235" s="6">
        <f t="shared" si="23"/>
        <v>9.9624011777325165</v>
      </c>
      <c r="H235" s="7">
        <f t="shared" si="24"/>
        <v>2.209924423213995E-14</v>
      </c>
      <c r="I235" s="8" t="str">
        <f t="shared" si="25"/>
        <v/>
      </c>
    </row>
    <row r="236" spans="1:9" x14ac:dyDescent="0.2">
      <c r="A236" s="5">
        <v>235</v>
      </c>
      <c r="B236" s="6">
        <v>7.6985999999999999E-2</v>
      </c>
      <c r="C236" s="6">
        <f t="shared" si="21"/>
        <v>-1.4013999999999999E-2</v>
      </c>
      <c r="D236" s="6">
        <f t="shared" si="22"/>
        <v>-3.2932899999999998</v>
      </c>
      <c r="E236" s="6">
        <f t="shared" si="26"/>
        <v>-2.6888909999999986</v>
      </c>
      <c r="F236" s="6">
        <f t="shared" si="27"/>
        <v>1.2299999999999811E-4</v>
      </c>
      <c r="G236" s="6">
        <f t="shared" si="23"/>
        <v>9.8731137525192789</v>
      </c>
      <c r="H236" s="7">
        <f t="shared" si="24"/>
        <v>-5.5465186221778586E-14</v>
      </c>
      <c r="I236" s="8" t="str">
        <f t="shared" si="25"/>
        <v/>
      </c>
    </row>
    <row r="237" spans="1:9" x14ac:dyDescent="0.2">
      <c r="A237" s="5">
        <v>236</v>
      </c>
      <c r="B237" s="6">
        <v>7.7058000000000001E-2</v>
      </c>
      <c r="C237" s="6">
        <f t="shared" si="21"/>
        <v>-1.3941999999999996E-2</v>
      </c>
      <c r="D237" s="6">
        <f t="shared" si="22"/>
        <v>-3.2903119999999992</v>
      </c>
      <c r="E237" s="6">
        <f t="shared" si="26"/>
        <v>-2.7028689999999984</v>
      </c>
      <c r="F237" s="6">
        <f t="shared" si="27"/>
        <v>1.2999999999999817E-4</v>
      </c>
      <c r="G237" s="6">
        <f t="shared" si="23"/>
        <v>9.8362392317413843</v>
      </c>
      <c r="H237" s="7">
        <f t="shared" si="24"/>
        <v>-5.2282599990121629E-14</v>
      </c>
      <c r="I237" s="8" t="str">
        <f t="shared" si="25"/>
        <v/>
      </c>
    </row>
    <row r="238" spans="1:9" x14ac:dyDescent="0.2">
      <c r="A238" s="5">
        <v>237</v>
      </c>
      <c r="B238" s="6">
        <v>7.7245999999999995E-2</v>
      </c>
      <c r="C238" s="6">
        <f t="shared" si="21"/>
        <v>-1.3754000000000002E-2</v>
      </c>
      <c r="D238" s="6">
        <f t="shared" si="22"/>
        <v>-3.2596980000000007</v>
      </c>
      <c r="E238" s="6">
        <f t="shared" si="26"/>
        <v>-2.7167169999999983</v>
      </c>
      <c r="F238" s="6">
        <f t="shared" si="27"/>
        <v>1.5199999999999936E-4</v>
      </c>
      <c r="G238" s="6">
        <f t="shared" si="23"/>
        <v>9.7401437608213346</v>
      </c>
      <c r="H238" s="7">
        <f t="shared" si="24"/>
        <v>-4.427853314213552E-14</v>
      </c>
      <c r="I238" s="8" t="str">
        <f t="shared" si="25"/>
        <v/>
      </c>
    </row>
    <row r="239" spans="1:9" x14ac:dyDescent="0.2">
      <c r="A239" s="5">
        <v>238</v>
      </c>
      <c r="B239" s="6">
        <v>7.7362E-2</v>
      </c>
      <c r="C239" s="6">
        <f t="shared" si="21"/>
        <v>-1.3637999999999997E-2</v>
      </c>
      <c r="D239" s="6">
        <f t="shared" si="22"/>
        <v>-3.2458439999999995</v>
      </c>
      <c r="E239" s="6">
        <f t="shared" si="26"/>
        <v>-2.7304129999999982</v>
      </c>
      <c r="F239" s="6">
        <f t="shared" si="27"/>
        <v>-5.0499999999994993E-5</v>
      </c>
      <c r="G239" s="6">
        <f t="shared" si="23"/>
        <v>9.6809668106791715</v>
      </c>
      <c r="H239" s="7">
        <f t="shared" si="24"/>
        <v>1.3246428488306721E-13</v>
      </c>
      <c r="I239" s="8" t="str">
        <f t="shared" si="25"/>
        <v/>
      </c>
    </row>
    <row r="240" spans="1:9" x14ac:dyDescent="0.2">
      <c r="A240" s="5">
        <v>239</v>
      </c>
      <c r="B240" s="6">
        <v>7.7145000000000005E-2</v>
      </c>
      <c r="C240" s="6">
        <f t="shared" si="21"/>
        <v>-1.3854999999999992E-2</v>
      </c>
      <c r="D240" s="6">
        <f t="shared" si="22"/>
        <v>-3.311344999999998</v>
      </c>
      <c r="E240" s="6">
        <f t="shared" si="26"/>
        <v>-2.7441594999999981</v>
      </c>
      <c r="F240" s="6">
        <f t="shared" si="27"/>
        <v>-9.3999999999996864E-5</v>
      </c>
      <c r="G240" s="6">
        <f t="shared" si="23"/>
        <v>9.7914515191347622</v>
      </c>
      <c r="H240" s="7">
        <f t="shared" si="24"/>
        <v>7.1976491060765104E-14</v>
      </c>
      <c r="I240" s="8" t="str">
        <f t="shared" si="25"/>
        <v/>
      </c>
    </row>
    <row r="241" spans="1:9" x14ac:dyDescent="0.2">
      <c r="A241" s="5">
        <v>240</v>
      </c>
      <c r="B241" s="6">
        <v>7.7174000000000006E-2</v>
      </c>
      <c r="C241" s="6">
        <f t="shared" si="21"/>
        <v>-1.3825999999999991E-2</v>
      </c>
      <c r="D241" s="6">
        <f t="shared" si="22"/>
        <v>-3.3182399999999976</v>
      </c>
      <c r="E241" s="6">
        <f t="shared" si="26"/>
        <v>-2.7579999999999982</v>
      </c>
      <c r="F241" s="6">
        <f t="shared" si="27"/>
        <v>-7.2500000000003118E-5</v>
      </c>
      <c r="G241" s="6">
        <f t="shared" si="23"/>
        <v>9.7767152815992215</v>
      </c>
      <c r="H241" s="7">
        <f t="shared" si="24"/>
        <v>9.3180794128960566E-14</v>
      </c>
      <c r="I241" s="8" t="str">
        <f t="shared" si="25"/>
        <v/>
      </c>
    </row>
    <row r="242" spans="1:9" x14ac:dyDescent="0.2">
      <c r="A242" s="5">
        <v>241</v>
      </c>
      <c r="B242" s="6">
        <v>7.6999999999999999E-2</v>
      </c>
      <c r="C242" s="6">
        <f t="shared" si="21"/>
        <v>-1.3999999999999999E-2</v>
      </c>
      <c r="D242" s="6">
        <f t="shared" si="22"/>
        <v>-3.3739999999999997</v>
      </c>
      <c r="E242" s="6">
        <f t="shared" si="26"/>
        <v>-2.7719129999999983</v>
      </c>
      <c r="F242" s="6">
        <f t="shared" si="27"/>
        <v>2.2449999999999554E-4</v>
      </c>
      <c r="G242" s="6">
        <f t="shared" si="23"/>
        <v>9.864958706812466</v>
      </c>
      <c r="H242" s="7">
        <f t="shared" si="24"/>
        <v>-3.0363398014913867E-14</v>
      </c>
      <c r="I242" s="8" t="str">
        <f t="shared" si="25"/>
        <v/>
      </c>
    </row>
    <row r="243" spans="1:9" x14ac:dyDescent="0.2">
      <c r="A243" s="5">
        <v>242</v>
      </c>
      <c r="B243" s="6">
        <v>7.7622999999999998E-2</v>
      </c>
      <c r="C243" s="6">
        <f t="shared" si="21"/>
        <v>-1.3377E-2</v>
      </c>
      <c r="D243" s="6">
        <f t="shared" si="22"/>
        <v>-3.2372339999999999</v>
      </c>
      <c r="E243" s="6">
        <f t="shared" si="26"/>
        <v>-2.7856014999999985</v>
      </c>
      <c r="F243" s="6">
        <f t="shared" si="27"/>
        <v>1.6649999999999998E-4</v>
      </c>
      <c r="G243" s="6">
        <f t="shared" si="23"/>
        <v>9.5496296728593109</v>
      </c>
      <c r="H243" s="7">
        <f t="shared" si="24"/>
        <v>-3.9631794617417218E-14</v>
      </c>
      <c r="I243" s="8" t="str">
        <f t="shared" si="25"/>
        <v/>
      </c>
    </row>
    <row r="244" spans="1:9" x14ac:dyDescent="0.2">
      <c r="A244" s="5">
        <v>243</v>
      </c>
      <c r="B244" s="6">
        <v>7.7332999999999999E-2</v>
      </c>
      <c r="C244" s="6">
        <f t="shared" si="21"/>
        <v>-1.3666999999999999E-2</v>
      </c>
      <c r="D244" s="6">
        <f t="shared" si="22"/>
        <v>-3.3210809999999995</v>
      </c>
      <c r="E244" s="6">
        <f t="shared" si="26"/>
        <v>-2.7991234999999985</v>
      </c>
      <c r="F244" s="6">
        <f t="shared" si="27"/>
        <v>-5.2150000000000113E-4</v>
      </c>
      <c r="G244" s="6">
        <f t="shared" si="23"/>
        <v>9.6961220482147112</v>
      </c>
      <c r="H244" s="7">
        <f t="shared" si="24"/>
        <v>1.284739884286712E-14</v>
      </c>
      <c r="I244" s="8" t="str">
        <f t="shared" si="25"/>
        <v/>
      </c>
    </row>
    <row r="245" spans="1:9" x14ac:dyDescent="0.2">
      <c r="A245" s="5">
        <v>244</v>
      </c>
      <c r="B245" s="6">
        <v>7.6579999999999995E-2</v>
      </c>
      <c r="C245" s="6">
        <f t="shared" si="21"/>
        <v>-1.4420000000000002E-2</v>
      </c>
      <c r="D245" s="6">
        <f t="shared" si="22"/>
        <v>-3.5184800000000007</v>
      </c>
      <c r="E245" s="6">
        <f t="shared" si="26"/>
        <v>-2.8131669999999986</v>
      </c>
      <c r="F245" s="6">
        <f t="shared" si="27"/>
        <v>-5.7249999999999662E-4</v>
      </c>
      <c r="G245" s="6">
        <f t="shared" si="23"/>
        <v>10.075744078016843</v>
      </c>
      <c r="H245" s="7">
        <f t="shared" si="24"/>
        <v>1.2161106256703988E-14</v>
      </c>
      <c r="I245" s="8" t="str">
        <f t="shared" si="25"/>
        <v/>
      </c>
    </row>
    <row r="246" spans="1:9" x14ac:dyDescent="0.2">
      <c r="A246" s="5">
        <v>245</v>
      </c>
      <c r="B246" s="6">
        <v>7.6188000000000006E-2</v>
      </c>
      <c r="C246" s="6">
        <f t="shared" si="21"/>
        <v>-1.4811999999999992E-2</v>
      </c>
      <c r="D246" s="6">
        <f t="shared" si="22"/>
        <v>-3.6289399999999978</v>
      </c>
      <c r="E246" s="6">
        <f t="shared" si="26"/>
        <v>-2.8277829999999988</v>
      </c>
      <c r="F246" s="6">
        <f t="shared" si="27"/>
        <v>1.3750000000000567E-4</v>
      </c>
      <c r="G246" s="6">
        <f t="shared" si="23"/>
        <v>10.272977357807585</v>
      </c>
      <c r="H246" s="7">
        <f t="shared" si="24"/>
        <v>-5.1625596049083677E-14</v>
      </c>
      <c r="I246" s="8" t="str">
        <f t="shared" si="25"/>
        <v/>
      </c>
    </row>
    <row r="247" spans="1:9" x14ac:dyDescent="0.2">
      <c r="A247" s="5">
        <v>246</v>
      </c>
      <c r="B247" s="6">
        <v>7.6855000000000007E-2</v>
      </c>
      <c r="C247" s="6">
        <f t="shared" si="21"/>
        <v>-1.4144999999999991E-2</v>
      </c>
      <c r="D247" s="6">
        <f t="shared" si="22"/>
        <v>-3.4796699999999978</v>
      </c>
      <c r="E247" s="6">
        <f t="shared" si="26"/>
        <v>-2.8422614999999989</v>
      </c>
      <c r="F247" s="6">
        <f t="shared" si="27"/>
        <v>4.4949999999999851E-4</v>
      </c>
      <c r="G247" s="6">
        <f t="shared" si="23"/>
        <v>9.9380458944901626</v>
      </c>
      <c r="H247" s="7">
        <f t="shared" si="24"/>
        <v>-1.5277164256720041E-14</v>
      </c>
      <c r="I247" s="8" t="str">
        <f t="shared" si="25"/>
        <v/>
      </c>
    </row>
    <row r="248" spans="1:9" x14ac:dyDescent="0.2">
      <c r="A248" s="5">
        <v>247</v>
      </c>
      <c r="B248" s="6">
        <v>7.7087000000000003E-2</v>
      </c>
      <c r="C248" s="6">
        <f t="shared" si="21"/>
        <v>-1.3912999999999995E-2</v>
      </c>
      <c r="D248" s="6">
        <f t="shared" si="22"/>
        <v>-3.4365109999999985</v>
      </c>
      <c r="E248" s="6">
        <f t="shared" si="26"/>
        <v>-2.8562904999999987</v>
      </c>
      <c r="F248" s="6">
        <f t="shared" si="27"/>
        <v>5.0999999999995493E-5</v>
      </c>
      <c r="G248" s="6">
        <f t="shared" si="23"/>
        <v>9.8217799942058441</v>
      </c>
      <c r="H248" s="7">
        <f t="shared" si="24"/>
        <v>-1.3307346700872969E-13</v>
      </c>
      <c r="I248" s="8" t="str">
        <f t="shared" si="25"/>
        <v/>
      </c>
    </row>
    <row r="249" spans="1:9" x14ac:dyDescent="0.2">
      <c r="A249" s="5">
        <v>248</v>
      </c>
      <c r="B249" s="6">
        <v>7.6956999999999998E-2</v>
      </c>
      <c r="C249" s="6">
        <f t="shared" si="21"/>
        <v>-1.4043E-2</v>
      </c>
      <c r="D249" s="6">
        <f t="shared" si="22"/>
        <v>-3.4826639999999998</v>
      </c>
      <c r="E249" s="6">
        <f t="shared" si="26"/>
        <v>-2.8702684999999986</v>
      </c>
      <c r="F249" s="6">
        <f t="shared" si="27"/>
        <v>-2.0300000000000179E-4</v>
      </c>
      <c r="G249" s="6">
        <f t="shared" si="23"/>
        <v>9.8867989900548192</v>
      </c>
      <c r="H249" s="7">
        <f t="shared" si="24"/>
        <v>3.3653567786596346E-14</v>
      </c>
      <c r="I249" s="8" t="str">
        <f t="shared" si="25"/>
        <v/>
      </c>
    </row>
    <row r="250" spans="1:9" x14ac:dyDescent="0.2">
      <c r="A250" s="5">
        <v>249</v>
      </c>
      <c r="B250" s="6">
        <v>7.6680999999999999E-2</v>
      </c>
      <c r="C250" s="6">
        <f t="shared" si="21"/>
        <v>-1.4318999999999998E-2</v>
      </c>
      <c r="D250" s="6">
        <f t="shared" si="22"/>
        <v>-3.5654309999999998</v>
      </c>
      <c r="E250" s="6">
        <f t="shared" si="26"/>
        <v>-2.8844494999999988</v>
      </c>
      <c r="F250" s="6">
        <f t="shared" si="27"/>
        <v>-2.8299999999999853E-4</v>
      </c>
      <c r="G250" s="6">
        <f t="shared" si="23"/>
        <v>10.024563319703407</v>
      </c>
      <c r="H250" s="7">
        <f t="shared" si="24"/>
        <v>2.4476565249194395E-14</v>
      </c>
      <c r="I250" s="8" t="str">
        <f t="shared" si="25"/>
        <v/>
      </c>
    </row>
    <row r="251" spans="1:9" x14ac:dyDescent="0.2">
      <c r="A251" s="5">
        <v>250</v>
      </c>
      <c r="B251" s="6">
        <v>7.6391000000000001E-2</v>
      </c>
      <c r="C251" s="6">
        <f t="shared" si="21"/>
        <v>-1.4608999999999997E-2</v>
      </c>
      <c r="D251" s="6">
        <f t="shared" si="22"/>
        <v>-3.6522499999999991</v>
      </c>
      <c r="E251" s="6">
        <f t="shared" si="26"/>
        <v>-2.8989134999999986</v>
      </c>
      <c r="F251" s="6">
        <f t="shared" si="27"/>
        <v>2.9000000000001247E-5</v>
      </c>
      <c r="G251" s="6">
        <f t="shared" si="23"/>
        <v>10.169025695058808</v>
      </c>
      <c r="H251" s="7">
        <f t="shared" si="24"/>
        <v>-2.4229965343441724E-13</v>
      </c>
      <c r="I251" s="8" t="str">
        <f t="shared" si="25"/>
        <v/>
      </c>
    </row>
    <row r="252" spans="1:9" x14ac:dyDescent="0.2">
      <c r="A252" s="5">
        <v>251</v>
      </c>
      <c r="B252" s="6">
        <v>7.6739000000000002E-2</v>
      </c>
      <c r="C252" s="6">
        <f t="shared" si="21"/>
        <v>-1.4260999999999996E-2</v>
      </c>
      <c r="D252" s="6">
        <f t="shared" si="22"/>
        <v>-3.5795109999999988</v>
      </c>
      <c r="E252" s="6">
        <f t="shared" si="26"/>
        <v>-2.9133484999999988</v>
      </c>
      <c r="F252" s="6">
        <f t="shared" si="27"/>
        <v>3.1149999999999928E-4</v>
      </c>
      <c r="G252" s="6">
        <f t="shared" si="23"/>
        <v>9.9960188446323262</v>
      </c>
      <c r="H252" s="7">
        <f t="shared" si="24"/>
        <v>-2.2173817120551047E-14</v>
      </c>
      <c r="I252" s="8" t="str">
        <f t="shared" si="25"/>
        <v/>
      </c>
    </row>
    <row r="253" spans="1:9" x14ac:dyDescent="0.2">
      <c r="A253" s="5">
        <v>252</v>
      </c>
      <c r="B253" s="6">
        <v>7.7013999999999999E-2</v>
      </c>
      <c r="C253" s="6">
        <f t="shared" si="21"/>
        <v>-1.3985999999999998E-2</v>
      </c>
      <c r="D253" s="6">
        <f t="shared" si="22"/>
        <v>-3.5244719999999994</v>
      </c>
      <c r="E253" s="6">
        <f t="shared" si="26"/>
        <v>-2.927471999999999</v>
      </c>
      <c r="F253" s="6">
        <f t="shared" si="27"/>
        <v>1.0149999999999743E-4</v>
      </c>
      <c r="G253" s="6">
        <f t="shared" si="23"/>
        <v>9.8595786611056546</v>
      </c>
      <c r="H253" s="7">
        <f t="shared" si="24"/>
        <v>-6.712182560858751E-14</v>
      </c>
      <c r="I253" s="8" t="str">
        <f t="shared" si="25"/>
        <v/>
      </c>
    </row>
    <row r="254" spans="1:9" x14ac:dyDescent="0.2">
      <c r="A254" s="5">
        <v>253</v>
      </c>
      <c r="B254" s="6">
        <v>7.6941999999999997E-2</v>
      </c>
      <c r="C254" s="6">
        <f t="shared" si="21"/>
        <v>-1.4058000000000001E-2</v>
      </c>
      <c r="D254" s="6">
        <f t="shared" si="22"/>
        <v>-3.5566740000000001</v>
      </c>
      <c r="E254" s="6">
        <f t="shared" si="26"/>
        <v>-2.9414939999999992</v>
      </c>
      <c r="F254" s="6">
        <f t="shared" si="27"/>
        <v>8.7000000000003741E-5</v>
      </c>
      <c r="G254" s="6">
        <f t="shared" si="23"/>
        <v>9.8952291818835487</v>
      </c>
      <c r="H254" s="7">
        <f t="shared" si="24"/>
        <v>-7.8591947525170471E-14</v>
      </c>
      <c r="I254" s="8" t="str">
        <f t="shared" si="25"/>
        <v/>
      </c>
    </row>
    <row r="255" spans="1:9" x14ac:dyDescent="0.2">
      <c r="A255" s="5">
        <v>254</v>
      </c>
      <c r="B255" s="6">
        <v>7.7188000000000007E-2</v>
      </c>
      <c r="C255" s="6">
        <f t="shared" si="21"/>
        <v>-1.3811999999999991E-2</v>
      </c>
      <c r="D255" s="6">
        <f t="shared" si="22"/>
        <v>-3.5082479999999978</v>
      </c>
      <c r="E255" s="6">
        <f t="shared" si="26"/>
        <v>-2.9554289999999992</v>
      </c>
      <c r="F255" s="6">
        <f t="shared" si="27"/>
        <v>2.390000000000031E-4</v>
      </c>
      <c r="G255" s="6">
        <f t="shared" si="23"/>
        <v>9.7736692358924095</v>
      </c>
      <c r="H255" s="7">
        <f t="shared" si="24"/>
        <v>-2.8257333844180658E-14</v>
      </c>
      <c r="I255" s="8" t="str">
        <f t="shared" si="25"/>
        <v/>
      </c>
    </row>
    <row r="256" spans="1:9" x14ac:dyDescent="0.2">
      <c r="A256" s="5">
        <v>255</v>
      </c>
      <c r="B256" s="6">
        <v>7.7420000000000003E-2</v>
      </c>
      <c r="C256" s="6">
        <f t="shared" si="21"/>
        <v>-1.3579999999999995E-2</v>
      </c>
      <c r="D256" s="6">
        <f t="shared" si="22"/>
        <v>-3.4628999999999985</v>
      </c>
      <c r="E256" s="6">
        <f t="shared" si="26"/>
        <v>-2.9691249999999991</v>
      </c>
      <c r="F256" s="6">
        <f t="shared" si="27"/>
        <v>9.4499999999997364E-5</v>
      </c>
      <c r="G256" s="6">
        <f t="shared" si="23"/>
        <v>9.6592593356080911</v>
      </c>
      <c r="H256" s="7">
        <f t="shared" si="24"/>
        <v>-7.0629066130315204E-14</v>
      </c>
      <c r="I256" s="8" t="str">
        <f t="shared" si="25"/>
        <v/>
      </c>
    </row>
    <row r="257" spans="1:9" x14ac:dyDescent="0.2">
      <c r="A257" s="5">
        <v>256</v>
      </c>
      <c r="B257" s="6">
        <v>7.7377000000000001E-2</v>
      </c>
      <c r="C257" s="6">
        <f t="shared" si="21"/>
        <v>-1.3622999999999996E-2</v>
      </c>
      <c r="D257" s="6">
        <f t="shared" si="22"/>
        <v>-3.487487999999999</v>
      </c>
      <c r="E257" s="6">
        <f t="shared" si="26"/>
        <v>-2.9827264999999992</v>
      </c>
      <c r="F257" s="6">
        <f t="shared" si="27"/>
        <v>7.5000000000005618E-6</v>
      </c>
      <c r="G257" s="6">
        <f t="shared" si="23"/>
        <v>9.6804216188504455</v>
      </c>
      <c r="H257" s="7">
        <f t="shared" si="24"/>
        <v>-8.9187595530216696E-13</v>
      </c>
      <c r="I257" s="8" t="str">
        <f t="shared" si="25"/>
        <v/>
      </c>
    </row>
    <row r="258" spans="1:9" x14ac:dyDescent="0.2">
      <c r="A258" s="5">
        <v>257</v>
      </c>
      <c r="B258" s="6">
        <v>7.7435000000000004E-2</v>
      </c>
      <c r="C258" s="6">
        <f t="shared" ref="C258:C321" si="28">B258-$B$2</f>
        <v>-1.3564999999999994E-2</v>
      </c>
      <c r="D258" s="6">
        <f t="shared" ref="D258:D321" si="29">A258*C258</f>
        <v>-3.4862049999999982</v>
      </c>
      <c r="E258" s="6">
        <f t="shared" si="26"/>
        <v>-2.9963204999999991</v>
      </c>
      <c r="F258" s="6">
        <f t="shared" si="27"/>
        <v>1.6649999999999998E-4</v>
      </c>
      <c r="G258" s="6">
        <f t="shared" ref="G258:G321" si="30">(A258-$L$5)*C258-E258</f>
        <v>9.6519351437793635</v>
      </c>
      <c r="H258" s="7">
        <f t="shared" ref="H258:H321" si="31">IF(ABS(F258)&lt;0.000000001,"",-(G258)/(2*$L$4*F258)*0.000000000001)</f>
        <v>-4.0056371229352749E-14</v>
      </c>
      <c r="I258" s="8" t="str">
        <f t="shared" ref="I258:I321" si="32">IF(AND(B258&gt;=0.5,B258&lt;=2.5,ISNUMBER(H258),H258&gt;0),H258,"")</f>
        <v/>
      </c>
    </row>
    <row r="259" spans="1:9" x14ac:dyDescent="0.2">
      <c r="A259" s="5">
        <v>258</v>
      </c>
      <c r="B259" s="6">
        <v>7.7710000000000001E-2</v>
      </c>
      <c r="C259" s="6">
        <f t="shared" si="28"/>
        <v>-1.3289999999999996E-2</v>
      </c>
      <c r="D259" s="6">
        <f t="shared" si="29"/>
        <v>-3.4288199999999991</v>
      </c>
      <c r="E259" s="6">
        <f t="shared" ref="E259:E322" si="33">E258+(C258+C259)/2*(A259-A258)</f>
        <v>-3.0097479999999992</v>
      </c>
      <c r="F259" s="6">
        <f t="shared" ref="F259:F322" si="34">(B260-B258)/(A260-A258)</f>
        <v>1.5949999999999992E-4</v>
      </c>
      <c r="G259" s="6">
        <f t="shared" si="30"/>
        <v>9.5171449602526899</v>
      </c>
      <c r="H259" s="7">
        <f t="shared" si="31"/>
        <v>-4.1230390022426594E-14</v>
      </c>
      <c r="I259" s="8" t="str">
        <f t="shared" si="32"/>
        <v/>
      </c>
    </row>
    <row r="260" spans="1:9" x14ac:dyDescent="0.2">
      <c r="A260" s="5">
        <v>259</v>
      </c>
      <c r="B260" s="6">
        <v>7.7754000000000004E-2</v>
      </c>
      <c r="C260" s="6">
        <f t="shared" si="28"/>
        <v>-1.3245999999999994E-2</v>
      </c>
      <c r="D260" s="6">
        <f t="shared" si="29"/>
        <v>-3.4307139999999983</v>
      </c>
      <c r="E260" s="6">
        <f t="shared" si="33"/>
        <v>-3.0230159999999993</v>
      </c>
      <c r="F260" s="6">
        <f t="shared" si="34"/>
        <v>1.9550000000000123E-4</v>
      </c>
      <c r="G260" s="6">
        <f t="shared" si="30"/>
        <v>9.4956225308884221</v>
      </c>
      <c r="H260" s="7">
        <f t="shared" si="31"/>
        <v>-3.356202269021602E-14</v>
      </c>
      <c r="I260" s="8" t="str">
        <f t="shared" si="32"/>
        <v/>
      </c>
    </row>
    <row r="261" spans="1:9" x14ac:dyDescent="0.2">
      <c r="A261" s="5">
        <v>260</v>
      </c>
      <c r="B261" s="6">
        <v>7.8101000000000004E-2</v>
      </c>
      <c r="C261" s="6">
        <f t="shared" si="28"/>
        <v>-1.2898999999999994E-2</v>
      </c>
      <c r="D261" s="6">
        <f t="shared" si="29"/>
        <v>-3.3537399999999984</v>
      </c>
      <c r="E261" s="6">
        <f t="shared" si="33"/>
        <v>-3.0360884999999991</v>
      </c>
      <c r="F261" s="6">
        <f t="shared" si="34"/>
        <v>1.2999999999999817E-4</v>
      </c>
      <c r="G261" s="6">
        <f t="shared" si="30"/>
        <v>9.3262358265838543</v>
      </c>
      <c r="H261" s="7">
        <f t="shared" si="31"/>
        <v>-4.9571776941063835E-14</v>
      </c>
      <c r="I261" s="8" t="str">
        <f t="shared" si="32"/>
        <v/>
      </c>
    </row>
    <row r="262" spans="1:9" x14ac:dyDescent="0.2">
      <c r="A262" s="5">
        <v>261</v>
      </c>
      <c r="B262" s="6">
        <v>7.8014E-2</v>
      </c>
      <c r="C262" s="6">
        <f t="shared" si="28"/>
        <v>-1.2985999999999998E-2</v>
      </c>
      <c r="D262" s="6">
        <f t="shared" si="29"/>
        <v>-3.3893459999999993</v>
      </c>
      <c r="E262" s="6">
        <f t="shared" si="33"/>
        <v>-3.0490309999999989</v>
      </c>
      <c r="F262" s="6">
        <f t="shared" si="34"/>
        <v>5.7999999999995555E-5</v>
      </c>
      <c r="G262" s="6">
        <f t="shared" si="30"/>
        <v>9.3686175391904776</v>
      </c>
      <c r="H262" s="7">
        <f t="shared" si="31"/>
        <v>-1.1161407449332833E-13</v>
      </c>
      <c r="I262" s="8" t="str">
        <f t="shared" si="32"/>
        <v/>
      </c>
    </row>
    <row r="263" spans="1:9" x14ac:dyDescent="0.2">
      <c r="A263" s="5">
        <v>262</v>
      </c>
      <c r="B263" s="6">
        <v>7.8216999999999995E-2</v>
      </c>
      <c r="C263" s="6">
        <f t="shared" si="28"/>
        <v>-1.2783000000000003E-2</v>
      </c>
      <c r="D263" s="6">
        <f t="shared" si="29"/>
        <v>-3.3491460000000006</v>
      </c>
      <c r="E263" s="6">
        <f t="shared" si="33"/>
        <v>-3.0619154999999991</v>
      </c>
      <c r="F263" s="6">
        <f t="shared" si="34"/>
        <v>1.5949999999999992E-4</v>
      </c>
      <c r="G263" s="6">
        <f t="shared" si="30"/>
        <v>9.2699298764416991</v>
      </c>
      <c r="H263" s="7">
        <f t="shared" si="31"/>
        <v>-4.0159399261276787E-14</v>
      </c>
      <c r="I263" s="8" t="str">
        <f t="shared" si="32"/>
        <v/>
      </c>
    </row>
    <row r="264" spans="1:9" x14ac:dyDescent="0.2">
      <c r="A264" s="5">
        <v>263</v>
      </c>
      <c r="B264" s="6">
        <v>7.8333E-2</v>
      </c>
      <c r="C264" s="6">
        <f t="shared" si="28"/>
        <v>-1.2666999999999998E-2</v>
      </c>
      <c r="D264" s="6">
        <f t="shared" si="29"/>
        <v>-3.3314209999999993</v>
      </c>
      <c r="E264" s="6">
        <f t="shared" si="33"/>
        <v>-3.0746404999999992</v>
      </c>
      <c r="F264" s="6">
        <f t="shared" si="34"/>
        <v>-6.4999999999995617E-5</v>
      </c>
      <c r="G264" s="6">
        <f t="shared" si="30"/>
        <v>9.2136529262995364</v>
      </c>
      <c r="H264" s="7">
        <f t="shared" si="31"/>
        <v>9.7946729241614127E-14</v>
      </c>
      <c r="I264" s="8" t="str">
        <f t="shared" si="32"/>
        <v/>
      </c>
    </row>
    <row r="265" spans="1:9" x14ac:dyDescent="0.2">
      <c r="A265" s="5">
        <v>264</v>
      </c>
      <c r="B265" s="6">
        <v>7.8087000000000004E-2</v>
      </c>
      <c r="C265" s="6">
        <f t="shared" si="28"/>
        <v>-1.2912999999999994E-2</v>
      </c>
      <c r="D265" s="6">
        <f t="shared" si="29"/>
        <v>-3.4090319999999985</v>
      </c>
      <c r="E265" s="6">
        <f t="shared" si="33"/>
        <v>-3.0874304999999991</v>
      </c>
      <c r="F265" s="6">
        <f t="shared" si="34"/>
        <v>-1.4500000000000624E-5</v>
      </c>
      <c r="G265" s="6">
        <f t="shared" si="30"/>
        <v>9.3327528722906674</v>
      </c>
      <c r="H265" s="7">
        <f t="shared" si="31"/>
        <v>4.4474718706707201E-13</v>
      </c>
      <c r="I265" s="8" t="str">
        <f t="shared" si="32"/>
        <v/>
      </c>
    </row>
    <row r="266" spans="1:9" x14ac:dyDescent="0.2">
      <c r="A266" s="5">
        <v>265</v>
      </c>
      <c r="B266" s="6">
        <v>7.8303999999999999E-2</v>
      </c>
      <c r="C266" s="6">
        <f t="shared" si="28"/>
        <v>-1.2695999999999999E-2</v>
      </c>
      <c r="D266" s="6">
        <f t="shared" si="29"/>
        <v>-3.3644399999999997</v>
      </c>
      <c r="E266" s="6">
        <f t="shared" si="33"/>
        <v>-3.1002349999999992</v>
      </c>
      <c r="F266" s="6">
        <f t="shared" si="34"/>
        <v>-1.810000000000006E-4</v>
      </c>
      <c r="G266" s="6">
        <f t="shared" si="30"/>
        <v>9.2279101638350767</v>
      </c>
      <c r="H266" s="7">
        <f t="shared" si="31"/>
        <v>3.5228668519873945E-14</v>
      </c>
      <c r="I266" s="8" t="str">
        <f t="shared" si="32"/>
        <v/>
      </c>
    </row>
    <row r="267" spans="1:9" x14ac:dyDescent="0.2">
      <c r="A267" s="5">
        <v>266</v>
      </c>
      <c r="B267" s="6">
        <v>7.7725000000000002E-2</v>
      </c>
      <c r="C267" s="6">
        <f t="shared" si="28"/>
        <v>-1.3274999999999995E-2</v>
      </c>
      <c r="D267" s="6">
        <f t="shared" si="29"/>
        <v>-3.5311499999999989</v>
      </c>
      <c r="E267" s="6">
        <f t="shared" si="33"/>
        <v>-3.1132204999999993</v>
      </c>
      <c r="F267" s="6">
        <f t="shared" si="34"/>
        <v>-5.3600000000000175E-4</v>
      </c>
      <c r="G267" s="6">
        <f t="shared" si="30"/>
        <v>9.5070727684239618</v>
      </c>
      <c r="H267" s="7">
        <f t="shared" si="31"/>
        <v>1.2256133264574631E-14</v>
      </c>
      <c r="I267" s="8" t="str">
        <f t="shared" si="32"/>
        <v/>
      </c>
    </row>
    <row r="268" spans="1:9" x14ac:dyDescent="0.2">
      <c r="A268" s="5">
        <v>267</v>
      </c>
      <c r="B268" s="6">
        <v>7.7231999999999995E-2</v>
      </c>
      <c r="C268" s="6">
        <f t="shared" si="28"/>
        <v>-1.3768000000000002E-2</v>
      </c>
      <c r="D268" s="6">
        <f t="shared" si="29"/>
        <v>-3.6760560000000009</v>
      </c>
      <c r="E268" s="6">
        <f t="shared" si="33"/>
        <v>-3.1267419999999992</v>
      </c>
      <c r="F268" s="6">
        <f t="shared" si="34"/>
        <v>-3.5550000000000165E-4</v>
      </c>
      <c r="G268" s="6">
        <f t="shared" si="30"/>
        <v>9.7442778065281477</v>
      </c>
      <c r="H268" s="7">
        <f t="shared" si="31"/>
        <v>1.8940066440978617E-14</v>
      </c>
      <c r="I268" s="8" t="str">
        <f t="shared" si="32"/>
        <v/>
      </c>
    </row>
    <row r="269" spans="1:9" x14ac:dyDescent="0.2">
      <c r="A269" s="5">
        <v>268</v>
      </c>
      <c r="B269" s="6">
        <v>7.7013999999999999E-2</v>
      </c>
      <c r="C269" s="6">
        <f t="shared" si="28"/>
        <v>-1.3985999999999998E-2</v>
      </c>
      <c r="D269" s="6">
        <f t="shared" si="29"/>
        <v>-3.7482479999999994</v>
      </c>
      <c r="E269" s="6">
        <f t="shared" si="33"/>
        <v>-3.1406189999999992</v>
      </c>
      <c r="F269" s="6">
        <f t="shared" si="34"/>
        <v>-2.5349999999999678E-4</v>
      </c>
      <c r="G269" s="6">
        <f t="shared" si="30"/>
        <v>9.8489496611056531</v>
      </c>
      <c r="H269" s="7">
        <f t="shared" si="31"/>
        <v>2.6846235786620745E-14</v>
      </c>
      <c r="I269" s="8" t="str">
        <f t="shared" si="32"/>
        <v/>
      </c>
    </row>
    <row r="270" spans="1:9" x14ac:dyDescent="0.2">
      <c r="A270" s="5">
        <v>269</v>
      </c>
      <c r="B270" s="6">
        <v>7.6725000000000002E-2</v>
      </c>
      <c r="C270" s="6">
        <f t="shared" si="28"/>
        <v>-1.4274999999999996E-2</v>
      </c>
      <c r="D270" s="6">
        <f t="shared" si="29"/>
        <v>-3.839974999999999</v>
      </c>
      <c r="E270" s="6">
        <f t="shared" si="33"/>
        <v>-3.154749499999999</v>
      </c>
      <c r="F270" s="6">
        <f t="shared" si="34"/>
        <v>1.4500000000000624E-5</v>
      </c>
      <c r="G270" s="6">
        <f t="shared" si="30"/>
        <v>9.9874228903391398</v>
      </c>
      <c r="H270" s="7">
        <f t="shared" si="31"/>
        <v>-4.7594512544264828E-13</v>
      </c>
      <c r="I270" s="8" t="str">
        <f t="shared" si="32"/>
        <v/>
      </c>
    </row>
    <row r="271" spans="1:9" x14ac:dyDescent="0.2">
      <c r="A271" s="5">
        <v>270</v>
      </c>
      <c r="B271" s="6">
        <v>7.7043E-2</v>
      </c>
      <c r="C271" s="6">
        <f t="shared" si="28"/>
        <v>-1.3956999999999997E-2</v>
      </c>
      <c r="D271" s="6">
        <f t="shared" si="29"/>
        <v>-3.7683899999999992</v>
      </c>
      <c r="E271" s="6">
        <f t="shared" si="33"/>
        <v>-3.168865499999999</v>
      </c>
      <c r="F271" s="6">
        <f t="shared" si="34"/>
        <v>2.2450000000000248E-4</v>
      </c>
      <c r="G271" s="6">
        <f t="shared" si="30"/>
        <v>9.8353724235701137</v>
      </c>
      <c r="H271" s="7">
        <f t="shared" si="31"/>
        <v>-3.0272334268923891E-14</v>
      </c>
      <c r="I271" s="8" t="str">
        <f t="shared" si="32"/>
        <v/>
      </c>
    </row>
    <row r="272" spans="1:9" x14ac:dyDescent="0.2">
      <c r="A272" s="5">
        <v>271</v>
      </c>
      <c r="B272" s="6">
        <v>7.7174000000000006E-2</v>
      </c>
      <c r="C272" s="6">
        <f t="shared" si="28"/>
        <v>-1.3825999999999991E-2</v>
      </c>
      <c r="D272" s="6">
        <f t="shared" si="29"/>
        <v>-3.7468459999999975</v>
      </c>
      <c r="E272" s="6">
        <f t="shared" si="33"/>
        <v>-3.1827569999999992</v>
      </c>
      <c r="F272" s="6">
        <f t="shared" si="34"/>
        <v>1.1599999999999805E-4</v>
      </c>
      <c r="G272" s="6">
        <f t="shared" si="30"/>
        <v>9.7728662815992227</v>
      </c>
      <c r="H272" s="7">
        <f t="shared" si="31"/>
        <v>-5.8215068584278004E-14</v>
      </c>
      <c r="I272" s="8" t="str">
        <f t="shared" si="32"/>
        <v/>
      </c>
    </row>
    <row r="273" spans="1:9" x14ac:dyDescent="0.2">
      <c r="A273" s="5">
        <v>272</v>
      </c>
      <c r="B273" s="6">
        <v>7.7274999999999996E-2</v>
      </c>
      <c r="C273" s="6">
        <f t="shared" si="28"/>
        <v>-1.3725000000000001E-2</v>
      </c>
      <c r="D273" s="6">
        <f t="shared" si="29"/>
        <v>-3.7332000000000001</v>
      </c>
      <c r="E273" s="6">
        <f t="shared" si="33"/>
        <v>-3.1965324999999991</v>
      </c>
      <c r="F273" s="6">
        <f t="shared" si="34"/>
        <v>-2.2000000000001185E-5</v>
      </c>
      <c r="G273" s="6">
        <f t="shared" si="30"/>
        <v>9.7247755232857944</v>
      </c>
      <c r="H273" s="7">
        <f t="shared" si="31"/>
        <v>3.0544171576728949E-13</v>
      </c>
      <c r="I273" s="8" t="str">
        <f t="shared" si="32"/>
        <v/>
      </c>
    </row>
    <row r="274" spans="1:9" x14ac:dyDescent="0.2">
      <c r="A274" s="5">
        <v>273</v>
      </c>
      <c r="B274" s="6">
        <v>7.7130000000000004E-2</v>
      </c>
      <c r="C274" s="6">
        <f t="shared" si="28"/>
        <v>-1.3869999999999993E-2</v>
      </c>
      <c r="D274" s="6">
        <f t="shared" si="29"/>
        <v>-3.786509999999998</v>
      </c>
      <c r="E274" s="6">
        <f t="shared" si="33"/>
        <v>-3.210329999999999</v>
      </c>
      <c r="F274" s="6">
        <f t="shared" si="34"/>
        <v>-5.7999999999995555E-5</v>
      </c>
      <c r="G274" s="6">
        <f t="shared" si="30"/>
        <v>9.7936717109634905</v>
      </c>
      <c r="H274" s="7">
        <f t="shared" si="31"/>
        <v>1.1667800498184654E-13</v>
      </c>
      <c r="I274" s="8" t="str">
        <f t="shared" si="32"/>
        <v/>
      </c>
    </row>
    <row r="275" spans="1:9" x14ac:dyDescent="0.2">
      <c r="A275" s="5">
        <v>274</v>
      </c>
      <c r="B275" s="6">
        <v>7.7159000000000005E-2</v>
      </c>
      <c r="C275" s="6">
        <f t="shared" si="28"/>
        <v>-1.3840999999999992E-2</v>
      </c>
      <c r="D275" s="6">
        <f t="shared" si="29"/>
        <v>-3.7924339999999979</v>
      </c>
      <c r="E275" s="6">
        <f t="shared" si="33"/>
        <v>-3.224185499999999</v>
      </c>
      <c r="F275" s="6">
        <f t="shared" si="34"/>
        <v>-8.6500000000003241E-5</v>
      </c>
      <c r="G275" s="6">
        <f t="shared" si="30"/>
        <v>9.7799214734279509</v>
      </c>
      <c r="H275" s="7">
        <f t="shared" si="31"/>
        <v>7.8125121609578827E-14</v>
      </c>
      <c r="I275" s="8" t="str">
        <f t="shared" si="32"/>
        <v/>
      </c>
    </row>
    <row r="276" spans="1:9" x14ac:dyDescent="0.2">
      <c r="A276" s="5">
        <v>275</v>
      </c>
      <c r="B276" s="6">
        <v>7.6956999999999998E-2</v>
      </c>
      <c r="C276" s="6">
        <f t="shared" si="28"/>
        <v>-1.4043E-2</v>
      </c>
      <c r="D276" s="6">
        <f t="shared" si="29"/>
        <v>-3.8618250000000001</v>
      </c>
      <c r="E276" s="6">
        <f t="shared" si="33"/>
        <v>-3.2381274999999992</v>
      </c>
      <c r="F276" s="6">
        <f t="shared" si="34"/>
        <v>-1.4500000000000624E-5</v>
      </c>
      <c r="G276" s="6">
        <f t="shared" si="30"/>
        <v>9.8754969900548204</v>
      </c>
      <c r="H276" s="7">
        <f t="shared" si="31"/>
        <v>4.7061135844028876E-13</v>
      </c>
      <c r="I276" s="8" t="str">
        <f t="shared" si="32"/>
        <v/>
      </c>
    </row>
    <row r="277" spans="1:9" x14ac:dyDescent="0.2">
      <c r="A277" s="5">
        <v>276</v>
      </c>
      <c r="B277" s="6">
        <v>7.7130000000000004E-2</v>
      </c>
      <c r="C277" s="6">
        <f t="shared" si="28"/>
        <v>-1.3869999999999993E-2</v>
      </c>
      <c r="D277" s="6">
        <f t="shared" si="29"/>
        <v>-3.8281199999999984</v>
      </c>
      <c r="E277" s="6">
        <f t="shared" si="33"/>
        <v>-3.2520839999999991</v>
      </c>
      <c r="F277" s="6">
        <f t="shared" si="34"/>
        <v>2.6800000000000435E-4</v>
      </c>
      <c r="G277" s="6">
        <f t="shared" si="30"/>
        <v>9.7938157109634911</v>
      </c>
      <c r="H277" s="7">
        <f t="shared" si="31"/>
        <v>-2.5251581311321021E-14</v>
      </c>
      <c r="I277" s="8" t="str">
        <f t="shared" si="32"/>
        <v/>
      </c>
    </row>
    <row r="278" spans="1:9" x14ac:dyDescent="0.2">
      <c r="A278" s="5">
        <v>277</v>
      </c>
      <c r="B278" s="6">
        <v>7.7493000000000006E-2</v>
      </c>
      <c r="C278" s="6">
        <f t="shared" si="28"/>
        <v>-1.3506999999999991E-2</v>
      </c>
      <c r="D278" s="6">
        <f t="shared" si="29"/>
        <v>-3.7414389999999975</v>
      </c>
      <c r="E278" s="6">
        <f t="shared" si="33"/>
        <v>-3.2657724999999989</v>
      </c>
      <c r="F278" s="6">
        <f t="shared" si="34"/>
        <v>1.449999999999993E-4</v>
      </c>
      <c r="G278" s="6">
        <f t="shared" si="30"/>
        <v>9.6227896687082808</v>
      </c>
      <c r="H278" s="7">
        <f t="shared" si="31"/>
        <v>-4.5856873051925849E-14</v>
      </c>
      <c r="I278" s="8" t="str">
        <f t="shared" si="32"/>
        <v/>
      </c>
    </row>
    <row r="279" spans="1:9" x14ac:dyDescent="0.2">
      <c r="A279" s="5">
        <v>278</v>
      </c>
      <c r="B279" s="6">
        <v>7.7420000000000003E-2</v>
      </c>
      <c r="C279" s="6">
        <f t="shared" si="28"/>
        <v>-1.3579999999999995E-2</v>
      </c>
      <c r="D279" s="6">
        <f t="shared" si="29"/>
        <v>-3.7752399999999984</v>
      </c>
      <c r="E279" s="6">
        <f t="shared" si="33"/>
        <v>-3.2793159999999988</v>
      </c>
      <c r="F279" s="6">
        <f t="shared" si="34"/>
        <v>-8.0000000000003679E-5</v>
      </c>
      <c r="G279" s="6">
        <f t="shared" si="30"/>
        <v>9.6571103356080918</v>
      </c>
      <c r="H279" s="7">
        <f t="shared" si="31"/>
        <v>8.3412022661066609E-14</v>
      </c>
      <c r="I279" s="8" t="str">
        <f t="shared" si="32"/>
        <v/>
      </c>
    </row>
    <row r="280" spans="1:9" x14ac:dyDescent="0.2">
      <c r="A280" s="5">
        <v>279</v>
      </c>
      <c r="B280" s="6">
        <v>7.7332999999999999E-2</v>
      </c>
      <c r="C280" s="6">
        <f t="shared" si="28"/>
        <v>-1.3666999999999999E-2</v>
      </c>
      <c r="D280" s="6">
        <f t="shared" si="29"/>
        <v>-3.8130929999999994</v>
      </c>
      <c r="E280" s="6">
        <f t="shared" si="33"/>
        <v>-3.2929394999999988</v>
      </c>
      <c r="F280" s="6">
        <f t="shared" si="34"/>
        <v>-3.6000000000001309E-5</v>
      </c>
      <c r="G280" s="6">
        <f t="shared" si="30"/>
        <v>9.6979260482147129</v>
      </c>
      <c r="H280" s="7">
        <f t="shared" si="31"/>
        <v>1.8614347337798585E-13</v>
      </c>
      <c r="I280" s="8" t="str">
        <f t="shared" si="32"/>
        <v/>
      </c>
    </row>
    <row r="281" spans="1:9" x14ac:dyDescent="0.2">
      <c r="A281" s="5">
        <v>280</v>
      </c>
      <c r="B281" s="6">
        <v>7.7348E-2</v>
      </c>
      <c r="C281" s="6">
        <f t="shared" si="28"/>
        <v>-1.3651999999999997E-2</v>
      </c>
      <c r="D281" s="6">
        <f t="shared" si="29"/>
        <v>-3.8225599999999993</v>
      </c>
      <c r="E281" s="6">
        <f t="shared" si="33"/>
        <v>-3.306598999999999</v>
      </c>
      <c r="F281" s="6">
        <f t="shared" si="34"/>
        <v>-1.6649999999999998E-4</v>
      </c>
      <c r="G281" s="6">
        <f t="shared" si="30"/>
        <v>9.6909038563859848</v>
      </c>
      <c r="H281" s="7">
        <f t="shared" si="31"/>
        <v>4.0218094779630318E-14</v>
      </c>
      <c r="I281" s="8" t="str">
        <f t="shared" si="32"/>
        <v/>
      </c>
    </row>
    <row r="282" spans="1:9" x14ac:dyDescent="0.2">
      <c r="A282" s="5">
        <v>281</v>
      </c>
      <c r="B282" s="6">
        <v>7.6999999999999999E-2</v>
      </c>
      <c r="C282" s="6">
        <f t="shared" si="28"/>
        <v>-1.3999999999999999E-2</v>
      </c>
      <c r="D282" s="6">
        <f t="shared" si="29"/>
        <v>-3.9339999999999997</v>
      </c>
      <c r="E282" s="6">
        <f t="shared" si="33"/>
        <v>-3.3204249999999988</v>
      </c>
      <c r="F282" s="6">
        <f t="shared" si="34"/>
        <v>-3.5500000000000115E-4</v>
      </c>
      <c r="G282" s="6">
        <f t="shared" si="30"/>
        <v>9.8534707068124661</v>
      </c>
      <c r="H282" s="7">
        <f t="shared" si="31"/>
        <v>1.9179281033822345E-14</v>
      </c>
      <c r="I282" s="8" t="str">
        <f t="shared" si="32"/>
        <v/>
      </c>
    </row>
    <row r="283" spans="1:9" x14ac:dyDescent="0.2">
      <c r="A283" s="5">
        <v>282</v>
      </c>
      <c r="B283" s="6">
        <v>7.6637999999999998E-2</v>
      </c>
      <c r="C283" s="6">
        <f t="shared" si="28"/>
        <v>-1.4362E-2</v>
      </c>
      <c r="D283" s="6">
        <f t="shared" si="29"/>
        <v>-4.050084</v>
      </c>
      <c r="E283" s="6">
        <f t="shared" si="33"/>
        <v>-3.3346059999999991</v>
      </c>
      <c r="F283" s="6">
        <f t="shared" si="34"/>
        <v>-2.0300000000000179E-4</v>
      </c>
      <c r="G283" s="6">
        <f t="shared" si="30"/>
        <v>10.02221560294576</v>
      </c>
      <c r="H283" s="7">
        <f t="shared" si="31"/>
        <v>3.4114510925618458E-14</v>
      </c>
      <c r="I283" s="8" t="str">
        <f t="shared" si="32"/>
        <v/>
      </c>
    </row>
    <row r="284" spans="1:9" x14ac:dyDescent="0.2">
      <c r="A284" s="5">
        <v>283</v>
      </c>
      <c r="B284" s="6">
        <v>7.6593999999999995E-2</v>
      </c>
      <c r="C284" s="6">
        <f t="shared" si="28"/>
        <v>-1.4406000000000002E-2</v>
      </c>
      <c r="D284" s="6">
        <f t="shared" si="29"/>
        <v>-4.0768980000000008</v>
      </c>
      <c r="E284" s="6">
        <f t="shared" si="33"/>
        <v>-3.3489899999999992</v>
      </c>
      <c r="F284" s="6">
        <f t="shared" si="34"/>
        <v>7.9500000000003179E-5</v>
      </c>
      <c r="G284" s="6">
        <f t="shared" si="30"/>
        <v>10.042682032310029</v>
      </c>
      <c r="H284" s="7">
        <f t="shared" si="31"/>
        <v>-8.7287896926179968E-14</v>
      </c>
      <c r="I284" s="8" t="str">
        <f t="shared" si="32"/>
        <v/>
      </c>
    </row>
    <row r="285" spans="1:9" x14ac:dyDescent="0.2">
      <c r="A285" s="5">
        <v>284</v>
      </c>
      <c r="B285" s="6">
        <v>7.6797000000000004E-2</v>
      </c>
      <c r="C285" s="6">
        <f t="shared" si="28"/>
        <v>-1.4202999999999993E-2</v>
      </c>
      <c r="D285" s="6">
        <f t="shared" si="29"/>
        <v>-4.0336519999999982</v>
      </c>
      <c r="E285" s="6">
        <f t="shared" si="33"/>
        <v>-3.3632944999999994</v>
      </c>
      <c r="F285" s="6">
        <f t="shared" si="34"/>
        <v>1.4500000000000624E-5</v>
      </c>
      <c r="G285" s="6">
        <f t="shared" si="30"/>
        <v>9.9484603695612464</v>
      </c>
      <c r="H285" s="7">
        <f t="shared" si="31"/>
        <v>-4.7408838801971078E-13</v>
      </c>
      <c r="I285" s="8" t="str">
        <f t="shared" si="32"/>
        <v/>
      </c>
    </row>
    <row r="286" spans="1:9" x14ac:dyDescent="0.2">
      <c r="A286" s="5">
        <v>285</v>
      </c>
      <c r="B286" s="6">
        <v>7.6622999999999997E-2</v>
      </c>
      <c r="C286" s="6">
        <f t="shared" si="28"/>
        <v>-1.4377000000000001E-2</v>
      </c>
      <c r="D286" s="6">
        <f t="shared" si="29"/>
        <v>-4.0974450000000004</v>
      </c>
      <c r="E286" s="6">
        <f t="shared" si="33"/>
        <v>-3.3775844999999993</v>
      </c>
      <c r="F286" s="6">
        <f t="shared" si="34"/>
        <v>1.1599999999999805E-4</v>
      </c>
      <c r="G286" s="6">
        <f t="shared" si="30"/>
        <v>10.029047794774488</v>
      </c>
      <c r="H286" s="7">
        <f t="shared" si="31"/>
        <v>-5.9741092161168876E-14</v>
      </c>
      <c r="I286" s="8" t="str">
        <f t="shared" si="32"/>
        <v/>
      </c>
    </row>
    <row r="287" spans="1:9" x14ac:dyDescent="0.2">
      <c r="A287" s="5">
        <v>286</v>
      </c>
      <c r="B287" s="6">
        <v>7.7029E-2</v>
      </c>
      <c r="C287" s="6">
        <f t="shared" si="28"/>
        <v>-1.3970999999999997E-2</v>
      </c>
      <c r="D287" s="6">
        <f t="shared" si="29"/>
        <v>-3.9957059999999993</v>
      </c>
      <c r="E287" s="6">
        <f t="shared" si="33"/>
        <v>-3.3917584999999995</v>
      </c>
      <c r="F287" s="6">
        <f t="shared" si="34"/>
        <v>3.6250000000000171E-4</v>
      </c>
      <c r="G287" s="6">
        <f t="shared" si="30"/>
        <v>9.8414164692769273</v>
      </c>
      <c r="H287" s="7">
        <f t="shared" si="31"/>
        <v>-1.8759490801313126E-14</v>
      </c>
      <c r="I287" s="8" t="str">
        <f t="shared" si="32"/>
        <v/>
      </c>
    </row>
    <row r="288" spans="1:9" x14ac:dyDescent="0.2">
      <c r="A288" s="5">
        <v>287</v>
      </c>
      <c r="B288" s="6">
        <v>7.7348E-2</v>
      </c>
      <c r="C288" s="6">
        <f t="shared" si="28"/>
        <v>-1.3651999999999997E-2</v>
      </c>
      <c r="D288" s="6">
        <f t="shared" si="29"/>
        <v>-3.9181239999999993</v>
      </c>
      <c r="E288" s="6">
        <f t="shared" si="33"/>
        <v>-3.4055699999999995</v>
      </c>
      <c r="F288" s="6">
        <f t="shared" si="34"/>
        <v>-9.3999999999996864E-5</v>
      </c>
      <c r="G288" s="6">
        <f t="shared" si="30"/>
        <v>9.6943108563859859</v>
      </c>
      <c r="H288" s="7">
        <f t="shared" si="31"/>
        <v>7.1262414702391626E-14</v>
      </c>
      <c r="I288" s="8" t="str">
        <f t="shared" si="32"/>
        <v/>
      </c>
    </row>
    <row r="289" spans="1:9" x14ac:dyDescent="0.2">
      <c r="A289" s="5">
        <v>288</v>
      </c>
      <c r="B289" s="6">
        <v>7.6841000000000007E-2</v>
      </c>
      <c r="C289" s="6">
        <f t="shared" si="28"/>
        <v>-1.4158999999999991E-2</v>
      </c>
      <c r="D289" s="6">
        <f t="shared" si="29"/>
        <v>-4.077791999999997</v>
      </c>
      <c r="E289" s="6">
        <f t="shared" si="33"/>
        <v>-3.4194754999999994</v>
      </c>
      <c r="F289" s="6">
        <f t="shared" si="34"/>
        <v>1.4500000000000624E-5</v>
      </c>
      <c r="G289" s="6">
        <f t="shared" si="30"/>
        <v>9.9276049401969768</v>
      </c>
      <c r="H289" s="7">
        <f t="shared" si="31"/>
        <v>-4.7309453404417324E-13</v>
      </c>
      <c r="I289" s="8" t="str">
        <f t="shared" si="32"/>
        <v/>
      </c>
    </row>
    <row r="290" spans="1:9" x14ac:dyDescent="0.2">
      <c r="A290" s="5">
        <v>289</v>
      </c>
      <c r="B290" s="6">
        <v>7.7377000000000001E-2</v>
      </c>
      <c r="C290" s="6">
        <f t="shared" si="28"/>
        <v>-1.3622999999999996E-2</v>
      </c>
      <c r="D290" s="6">
        <f t="shared" si="29"/>
        <v>-3.9370469999999989</v>
      </c>
      <c r="E290" s="6">
        <f t="shared" si="33"/>
        <v>-3.4333664999999995</v>
      </c>
      <c r="F290" s="6">
        <f t="shared" si="34"/>
        <v>6.1549999999999799E-4</v>
      </c>
      <c r="G290" s="6">
        <f t="shared" si="30"/>
        <v>9.6815026188504447</v>
      </c>
      <c r="H290" s="7">
        <f t="shared" si="31"/>
        <v>-1.0868914093278617E-14</v>
      </c>
      <c r="I290" s="8" t="str">
        <f t="shared" si="32"/>
        <v/>
      </c>
    </row>
    <row r="291" spans="1:9" x14ac:dyDescent="0.2">
      <c r="A291" s="5">
        <v>290</v>
      </c>
      <c r="B291" s="6">
        <v>7.8072000000000003E-2</v>
      </c>
      <c r="C291" s="6">
        <f t="shared" si="28"/>
        <v>-1.2927999999999995E-2</v>
      </c>
      <c r="D291" s="6">
        <f t="shared" si="29"/>
        <v>-3.7491199999999987</v>
      </c>
      <c r="E291" s="6">
        <f t="shared" si="33"/>
        <v>-3.4466419999999998</v>
      </c>
      <c r="F291" s="6">
        <f t="shared" si="34"/>
        <v>4.8549999999999982E-4</v>
      </c>
      <c r="G291" s="6">
        <f t="shared" si="30"/>
        <v>9.3630910641193967</v>
      </c>
      <c r="H291" s="7">
        <f t="shared" si="31"/>
        <v>-1.3326050637246596E-14</v>
      </c>
      <c r="I291" s="8" t="str">
        <f t="shared" si="32"/>
        <v/>
      </c>
    </row>
    <row r="292" spans="1:9" x14ac:dyDescent="0.2">
      <c r="A292" s="5">
        <v>291</v>
      </c>
      <c r="B292" s="6">
        <v>7.8348000000000001E-2</v>
      </c>
      <c r="C292" s="6">
        <f t="shared" si="28"/>
        <v>-1.2651999999999997E-2</v>
      </c>
      <c r="D292" s="6">
        <f t="shared" si="29"/>
        <v>-3.6817319999999989</v>
      </c>
      <c r="E292" s="6">
        <f t="shared" si="33"/>
        <v>-3.4594319999999996</v>
      </c>
      <c r="F292" s="6">
        <f t="shared" si="34"/>
        <v>3.9899999999999658E-4</v>
      </c>
      <c r="G292" s="6">
        <f t="shared" si="30"/>
        <v>9.2369187344708088</v>
      </c>
      <c r="H292" s="7">
        <f t="shared" si="31"/>
        <v>-1.5996525889195914E-14</v>
      </c>
      <c r="I292" s="8" t="str">
        <f t="shared" si="32"/>
        <v/>
      </c>
    </row>
    <row r="293" spans="1:9" x14ac:dyDescent="0.2">
      <c r="A293" s="5">
        <v>292</v>
      </c>
      <c r="B293" s="6">
        <v>7.8869999999999996E-2</v>
      </c>
      <c r="C293" s="6">
        <f t="shared" si="28"/>
        <v>-1.2130000000000002E-2</v>
      </c>
      <c r="D293" s="6">
        <f t="shared" si="29"/>
        <v>-3.5419600000000004</v>
      </c>
      <c r="E293" s="6">
        <f t="shared" si="33"/>
        <v>-3.4718229999999997</v>
      </c>
      <c r="F293" s="6">
        <f t="shared" si="34"/>
        <v>2.6099999999999735E-4</v>
      </c>
      <c r="G293" s="6">
        <f t="shared" si="30"/>
        <v>8.9988104588310893</v>
      </c>
      <c r="H293" s="7">
        <f t="shared" si="31"/>
        <v>-2.3824074759321688E-14</v>
      </c>
      <c r="I293" s="8" t="str">
        <f t="shared" si="32"/>
        <v/>
      </c>
    </row>
    <row r="294" spans="1:9" x14ac:dyDescent="0.2">
      <c r="A294" s="5">
        <v>293</v>
      </c>
      <c r="B294" s="6">
        <v>7.8869999999999996E-2</v>
      </c>
      <c r="C294" s="6">
        <f t="shared" si="28"/>
        <v>-1.2130000000000002E-2</v>
      </c>
      <c r="D294" s="6">
        <f t="shared" si="29"/>
        <v>-3.5540900000000004</v>
      </c>
      <c r="E294" s="6">
        <f t="shared" si="33"/>
        <v>-3.4839529999999996</v>
      </c>
      <c r="F294" s="6">
        <f t="shared" si="34"/>
        <v>7.9500000000003179E-5</v>
      </c>
      <c r="G294" s="6">
        <f t="shared" si="30"/>
        <v>8.9988104588310893</v>
      </c>
      <c r="H294" s="7">
        <f t="shared" si="31"/>
        <v>-7.8214886945693704E-14</v>
      </c>
      <c r="I294" s="8" t="str">
        <f t="shared" si="32"/>
        <v/>
      </c>
    </row>
    <row r="295" spans="1:9" x14ac:dyDescent="0.2">
      <c r="A295" s="5">
        <v>294</v>
      </c>
      <c r="B295" s="6">
        <v>7.9029000000000002E-2</v>
      </c>
      <c r="C295" s="6">
        <f t="shared" si="28"/>
        <v>-1.1970999999999996E-2</v>
      </c>
      <c r="D295" s="6">
        <f t="shared" si="29"/>
        <v>-3.5194739999999989</v>
      </c>
      <c r="E295" s="6">
        <f t="shared" si="33"/>
        <v>-3.4960034999999996</v>
      </c>
      <c r="F295" s="6">
        <f t="shared" si="34"/>
        <v>1.6649999999999998E-4</v>
      </c>
      <c r="G295" s="6">
        <f t="shared" si="30"/>
        <v>8.9266012254465732</v>
      </c>
      <c r="H295" s="7">
        <f t="shared" si="31"/>
        <v>-3.7046172314298434E-14</v>
      </c>
      <c r="I295" s="8" t="str">
        <f t="shared" si="32"/>
        <v/>
      </c>
    </row>
    <row r="296" spans="1:9" x14ac:dyDescent="0.2">
      <c r="A296" s="5">
        <v>295</v>
      </c>
      <c r="B296" s="6">
        <v>7.9202999999999996E-2</v>
      </c>
      <c r="C296" s="6">
        <f t="shared" si="28"/>
        <v>-1.1797000000000002E-2</v>
      </c>
      <c r="D296" s="6">
        <f t="shared" si="29"/>
        <v>-3.4801150000000005</v>
      </c>
      <c r="E296" s="6">
        <f t="shared" si="33"/>
        <v>-3.5078874999999994</v>
      </c>
      <c r="F296" s="6">
        <f t="shared" si="34"/>
        <v>3.3350000000000046E-4</v>
      </c>
      <c r="G296" s="6">
        <f t="shared" si="30"/>
        <v>8.8477538002333347</v>
      </c>
      <c r="H296" s="7">
        <f t="shared" si="31"/>
        <v>-1.8331948868503815E-14</v>
      </c>
      <c r="I296" s="8" t="str">
        <f t="shared" si="32"/>
        <v/>
      </c>
    </row>
    <row r="297" spans="1:9" x14ac:dyDescent="0.2">
      <c r="A297" s="5">
        <v>296</v>
      </c>
      <c r="B297" s="6">
        <v>7.9696000000000003E-2</v>
      </c>
      <c r="C297" s="6">
        <f t="shared" si="28"/>
        <v>-1.1303999999999995E-2</v>
      </c>
      <c r="D297" s="6">
        <f t="shared" si="29"/>
        <v>-3.3459839999999983</v>
      </c>
      <c r="E297" s="6">
        <f t="shared" si="33"/>
        <v>-3.5194379999999992</v>
      </c>
      <c r="F297" s="6">
        <f t="shared" si="34"/>
        <v>3.6950000000000177E-4</v>
      </c>
      <c r="G297" s="6">
        <f t="shared" si="30"/>
        <v>8.6248457621291497</v>
      </c>
      <c r="H297" s="7">
        <f t="shared" si="31"/>
        <v>-1.6129033381672881E-14</v>
      </c>
      <c r="I297" s="8" t="str">
        <f t="shared" si="32"/>
        <v/>
      </c>
    </row>
    <row r="298" spans="1:9" x14ac:dyDescent="0.2">
      <c r="A298" s="5">
        <v>297</v>
      </c>
      <c r="B298" s="6">
        <v>7.9941999999999999E-2</v>
      </c>
      <c r="C298" s="6">
        <f t="shared" si="28"/>
        <v>-1.1057999999999998E-2</v>
      </c>
      <c r="D298" s="6">
        <f t="shared" si="29"/>
        <v>-3.2842259999999994</v>
      </c>
      <c r="E298" s="6">
        <f t="shared" si="33"/>
        <v>-3.5306189999999993</v>
      </c>
      <c r="F298" s="6">
        <f t="shared" si="34"/>
        <v>2.6799999999999741E-4</v>
      </c>
      <c r="G298" s="6">
        <f t="shared" si="30"/>
        <v>8.5138638161380182</v>
      </c>
      <c r="H298" s="7">
        <f t="shared" si="31"/>
        <v>-2.1951456998120151E-14</v>
      </c>
      <c r="I298" s="8" t="str">
        <f t="shared" si="32"/>
        <v/>
      </c>
    </row>
    <row r="299" spans="1:9" x14ac:dyDescent="0.2">
      <c r="A299" s="5">
        <v>298</v>
      </c>
      <c r="B299" s="6">
        <v>8.0231999999999998E-2</v>
      </c>
      <c r="C299" s="6">
        <f t="shared" si="28"/>
        <v>-1.0768E-2</v>
      </c>
      <c r="D299" s="6">
        <f t="shared" si="29"/>
        <v>-3.2088640000000002</v>
      </c>
      <c r="E299" s="6">
        <f t="shared" si="33"/>
        <v>-3.5415319999999992</v>
      </c>
      <c r="F299" s="6">
        <f t="shared" si="34"/>
        <v>5.1450000000000107E-4</v>
      </c>
      <c r="G299" s="6">
        <f t="shared" si="30"/>
        <v>8.383321440782618</v>
      </c>
      <c r="H299" s="7">
        <f t="shared" si="31"/>
        <v>-1.1259061351248563E-14</v>
      </c>
      <c r="I299" s="8" t="str">
        <f t="shared" si="32"/>
        <v/>
      </c>
    </row>
    <row r="300" spans="1:9" x14ac:dyDescent="0.2">
      <c r="A300" s="5">
        <v>299</v>
      </c>
      <c r="B300" s="6">
        <v>8.0971000000000001E-2</v>
      </c>
      <c r="C300" s="6">
        <f t="shared" si="28"/>
        <v>-1.0028999999999996E-2</v>
      </c>
      <c r="D300" s="6">
        <f t="shared" si="29"/>
        <v>-2.998670999999999</v>
      </c>
      <c r="E300" s="6">
        <f t="shared" si="33"/>
        <v>-3.5519304999999992</v>
      </c>
      <c r="F300" s="6">
        <f t="shared" si="34"/>
        <v>7.465000000000041E-4</v>
      </c>
      <c r="G300" s="6">
        <f t="shared" si="30"/>
        <v>8.0514024566873008</v>
      </c>
      <c r="H300" s="7">
        <f t="shared" si="31"/>
        <v>-7.4526919402089571E-15</v>
      </c>
      <c r="I300" s="8" t="str">
        <f t="shared" si="32"/>
        <v/>
      </c>
    </row>
    <row r="301" spans="1:9" x14ac:dyDescent="0.2">
      <c r="A301" s="5">
        <v>300</v>
      </c>
      <c r="B301" s="6">
        <v>8.1725000000000006E-2</v>
      </c>
      <c r="C301" s="6">
        <f t="shared" si="28"/>
        <v>-9.2749999999999916E-3</v>
      </c>
      <c r="D301" s="6">
        <f t="shared" si="29"/>
        <v>-2.7824999999999975</v>
      </c>
      <c r="E301" s="6">
        <f t="shared" si="33"/>
        <v>-3.5615824999999992</v>
      </c>
      <c r="F301" s="6">
        <f t="shared" si="34"/>
        <v>6.6650000000000043E-4</v>
      </c>
      <c r="G301" s="6">
        <f t="shared" si="30"/>
        <v>7.713500280763256</v>
      </c>
      <c r="H301" s="7">
        <f t="shared" si="31"/>
        <v>-7.996920748391132E-15</v>
      </c>
      <c r="I301" s="8" t="str">
        <f t="shared" si="32"/>
        <v/>
      </c>
    </row>
    <row r="302" spans="1:9" x14ac:dyDescent="0.2">
      <c r="A302" s="5">
        <v>301</v>
      </c>
      <c r="B302" s="6">
        <v>8.2304000000000002E-2</v>
      </c>
      <c r="C302" s="6">
        <f t="shared" si="28"/>
        <v>-8.6959999999999954E-3</v>
      </c>
      <c r="D302" s="6">
        <f t="shared" si="29"/>
        <v>-2.6174959999999987</v>
      </c>
      <c r="E302" s="6">
        <f t="shared" si="33"/>
        <v>-3.5705679999999993</v>
      </c>
      <c r="F302" s="6">
        <f t="shared" si="34"/>
        <v>6.2299999999999855E-4</v>
      </c>
      <c r="G302" s="6">
        <f t="shared" si="30"/>
        <v>7.4546026761743702</v>
      </c>
      <c r="H302" s="7">
        <f t="shared" si="31"/>
        <v>-8.2681414979835824E-15</v>
      </c>
      <c r="I302" s="8" t="str">
        <f t="shared" si="32"/>
        <v/>
      </c>
    </row>
    <row r="303" spans="1:9" x14ac:dyDescent="0.2">
      <c r="A303" s="5">
        <v>302</v>
      </c>
      <c r="B303" s="6">
        <v>8.2971000000000003E-2</v>
      </c>
      <c r="C303" s="6">
        <f t="shared" si="28"/>
        <v>-8.0289999999999945E-3</v>
      </c>
      <c r="D303" s="6">
        <f t="shared" si="29"/>
        <v>-2.4247579999999984</v>
      </c>
      <c r="E303" s="6">
        <f t="shared" si="33"/>
        <v>-3.5789304999999993</v>
      </c>
      <c r="F303" s="6">
        <f t="shared" si="34"/>
        <v>8.9149999999999646E-4</v>
      </c>
      <c r="G303" s="6">
        <f t="shared" si="30"/>
        <v>7.1570232128569469</v>
      </c>
      <c r="H303" s="7">
        <f t="shared" si="31"/>
        <v>-5.5473111268430193E-15</v>
      </c>
      <c r="I303" s="8" t="str">
        <f t="shared" si="32"/>
        <v/>
      </c>
    </row>
    <row r="304" spans="1:9" x14ac:dyDescent="0.2">
      <c r="A304" s="5">
        <v>303</v>
      </c>
      <c r="B304" s="6">
        <v>8.4086999999999995E-2</v>
      </c>
      <c r="C304" s="6">
        <f t="shared" si="28"/>
        <v>-6.9130000000000025E-3</v>
      </c>
      <c r="D304" s="6">
        <f t="shared" si="29"/>
        <v>-2.0946390000000008</v>
      </c>
      <c r="E304" s="6">
        <f t="shared" si="33"/>
        <v>-3.5864014999999991</v>
      </c>
      <c r="F304" s="6">
        <f t="shared" si="34"/>
        <v>1.1374999999999996E-3</v>
      </c>
      <c r="G304" s="6">
        <f t="shared" si="30"/>
        <v>6.6602401407996137</v>
      </c>
      <c r="H304" s="7">
        <f t="shared" si="31"/>
        <v>-4.0458514149640175E-15</v>
      </c>
      <c r="I304" s="8" t="str">
        <f t="shared" si="32"/>
        <v/>
      </c>
    </row>
    <row r="305" spans="1:9" x14ac:dyDescent="0.2">
      <c r="A305" s="5">
        <v>304</v>
      </c>
      <c r="B305" s="6">
        <v>8.5246000000000002E-2</v>
      </c>
      <c r="C305" s="6">
        <f t="shared" si="28"/>
        <v>-5.7539999999999952E-3</v>
      </c>
      <c r="D305" s="6">
        <f t="shared" si="29"/>
        <v>-1.7492159999999985</v>
      </c>
      <c r="E305" s="6">
        <f t="shared" si="33"/>
        <v>-3.5927349999999993</v>
      </c>
      <c r="F305" s="6">
        <f t="shared" si="34"/>
        <v>1.6085000000000058E-3</v>
      </c>
      <c r="G305" s="6">
        <f t="shared" si="30"/>
        <v>6.1454747854999212</v>
      </c>
      <c r="H305" s="7">
        <f t="shared" si="31"/>
        <v>-2.6400115204294462E-15</v>
      </c>
      <c r="I305" s="8" t="str">
        <f t="shared" si="32"/>
        <v/>
      </c>
    </row>
    <row r="306" spans="1:9" x14ac:dyDescent="0.2">
      <c r="A306" s="5">
        <v>305</v>
      </c>
      <c r="B306" s="6">
        <v>8.7304000000000007E-2</v>
      </c>
      <c r="C306" s="6">
        <f t="shared" si="28"/>
        <v>-3.695999999999991E-3</v>
      </c>
      <c r="D306" s="6">
        <f t="shared" si="29"/>
        <v>-1.1272799999999972</v>
      </c>
      <c r="E306" s="6">
        <f t="shared" si="33"/>
        <v>-3.5974599999999994</v>
      </c>
      <c r="F306" s="6">
        <f t="shared" si="34"/>
        <v>1.9640000000000005E-3</v>
      </c>
      <c r="G306" s="6">
        <f t="shared" si="30"/>
        <v>5.2334800665984869</v>
      </c>
      <c r="H306" s="7">
        <f t="shared" si="31"/>
        <v>-1.8412829727939016E-15</v>
      </c>
      <c r="I306" s="8" t="str">
        <f t="shared" si="32"/>
        <v/>
      </c>
    </row>
    <row r="307" spans="1:9" x14ac:dyDescent="0.2">
      <c r="A307" s="5">
        <v>306</v>
      </c>
      <c r="B307" s="6">
        <v>8.9174000000000003E-2</v>
      </c>
      <c r="C307" s="6">
        <f t="shared" si="28"/>
        <v>-1.8259999999999943E-3</v>
      </c>
      <c r="D307" s="6">
        <f t="shared" si="29"/>
        <v>-0.55875599999999825</v>
      </c>
      <c r="E307" s="6">
        <f t="shared" si="33"/>
        <v>-3.6002209999999994</v>
      </c>
      <c r="F307" s="6">
        <f t="shared" si="34"/>
        <v>1.8409999999999954E-3</v>
      </c>
      <c r="G307" s="6">
        <f t="shared" si="30"/>
        <v>4.4066668186171087</v>
      </c>
      <c r="H307" s="7">
        <f t="shared" si="31"/>
        <v>-1.6539709333324324E-15</v>
      </c>
      <c r="I307" s="8" t="str">
        <f t="shared" si="32"/>
        <v/>
      </c>
    </row>
    <row r="308" spans="1:9" x14ac:dyDescent="0.2">
      <c r="A308" s="5">
        <v>307</v>
      </c>
      <c r="B308" s="6">
        <v>9.0985999999999997E-2</v>
      </c>
      <c r="C308" s="6">
        <f t="shared" si="28"/>
        <v>-1.4000000000000123E-5</v>
      </c>
      <c r="D308" s="6">
        <f t="shared" si="29"/>
        <v>-4.2980000000000379E-3</v>
      </c>
      <c r="E308" s="6">
        <f t="shared" si="33"/>
        <v>-3.6011409999999993</v>
      </c>
      <c r="F308" s="6">
        <f t="shared" si="34"/>
        <v>2.1159999999999998E-3</v>
      </c>
      <c r="G308" s="6">
        <f t="shared" si="30"/>
        <v>3.6073100457068117</v>
      </c>
      <c r="H308" s="7">
        <f t="shared" si="31"/>
        <v>-1.1779836265881042E-15</v>
      </c>
      <c r="I308" s="8" t="str">
        <f t="shared" si="32"/>
        <v/>
      </c>
    </row>
    <row r="309" spans="1:9" x14ac:dyDescent="0.2">
      <c r="A309" s="5">
        <v>308</v>
      </c>
      <c r="B309" s="6">
        <v>9.3406000000000003E-2</v>
      </c>
      <c r="C309" s="6">
        <f t="shared" si="28"/>
        <v>2.4060000000000054E-3</v>
      </c>
      <c r="D309" s="6">
        <f t="shared" si="29"/>
        <v>0.74104800000000171</v>
      </c>
      <c r="E309" s="6">
        <f t="shared" si="33"/>
        <v>-3.5999449999999991</v>
      </c>
      <c r="F309" s="6">
        <f t="shared" si="34"/>
        <v>2.245999999999998E-3</v>
      </c>
      <c r="G309" s="6">
        <f t="shared" si="30"/>
        <v>2.5421564306720823</v>
      </c>
      <c r="H309" s="7">
        <f t="shared" si="31"/>
        <v>-7.8210302458719202E-16</v>
      </c>
      <c r="I309" s="8" t="str">
        <f t="shared" si="32"/>
        <v/>
      </c>
    </row>
    <row r="310" spans="1:9" x14ac:dyDescent="0.2">
      <c r="A310" s="5">
        <v>309</v>
      </c>
      <c r="B310" s="6">
        <v>9.5477999999999993E-2</v>
      </c>
      <c r="C310" s="6">
        <f t="shared" si="28"/>
        <v>4.4779999999999959E-3</v>
      </c>
      <c r="D310" s="6">
        <f t="shared" si="29"/>
        <v>1.3837019999999987</v>
      </c>
      <c r="E310" s="6">
        <f t="shared" si="33"/>
        <v>-3.5965029999999989</v>
      </c>
      <c r="F310" s="6">
        <f t="shared" si="34"/>
        <v>1.4274999999999982E-3</v>
      </c>
      <c r="G310" s="6">
        <f t="shared" si="30"/>
        <v>1.6322456660638411</v>
      </c>
      <c r="H310" s="7">
        <f t="shared" si="31"/>
        <v>-7.9009780154677239E-16</v>
      </c>
      <c r="I310" s="8" t="str">
        <f t="shared" si="32"/>
        <v/>
      </c>
    </row>
    <row r="311" spans="1:9" x14ac:dyDescent="0.2">
      <c r="A311" s="5">
        <v>310</v>
      </c>
      <c r="B311" s="6">
        <v>9.6260999999999999E-2</v>
      </c>
      <c r="C311" s="6">
        <f t="shared" si="28"/>
        <v>5.2610000000000018E-3</v>
      </c>
      <c r="D311" s="6">
        <f t="shared" si="29"/>
        <v>1.6309100000000005</v>
      </c>
      <c r="E311" s="6">
        <f t="shared" si="33"/>
        <v>-3.591633499999999</v>
      </c>
      <c r="F311" s="6">
        <f t="shared" si="34"/>
        <v>6.6700000000000093E-4</v>
      </c>
      <c r="G311" s="6">
        <f t="shared" si="30"/>
        <v>1.2891772526042558</v>
      </c>
      <c r="H311" s="7">
        <f t="shared" si="31"/>
        <v>-1.3355441398333317E-15</v>
      </c>
      <c r="I311" s="8" t="str">
        <f t="shared" si="32"/>
        <v/>
      </c>
    </row>
    <row r="312" spans="1:9" x14ac:dyDescent="0.2">
      <c r="A312" s="5">
        <v>311</v>
      </c>
      <c r="B312" s="6">
        <v>9.6811999999999995E-2</v>
      </c>
      <c r="C312" s="6">
        <f t="shared" si="28"/>
        <v>5.8119999999999977E-3</v>
      </c>
      <c r="D312" s="6">
        <f t="shared" si="29"/>
        <v>1.8075319999999993</v>
      </c>
      <c r="E312" s="6">
        <f t="shared" si="33"/>
        <v>-3.5860969999999992</v>
      </c>
      <c r="F312" s="6">
        <f t="shared" si="34"/>
        <v>1.0435000000000028E-3</v>
      </c>
      <c r="G312" s="6">
        <f t="shared" si="30"/>
        <v>1.0483097394289955</v>
      </c>
      <c r="H312" s="7">
        <f t="shared" si="31"/>
        <v>-6.9417443172586238E-16</v>
      </c>
      <c r="I312" s="8" t="str">
        <f t="shared" si="32"/>
        <v/>
      </c>
    </row>
    <row r="313" spans="1:9" x14ac:dyDescent="0.2">
      <c r="A313" s="5">
        <v>312</v>
      </c>
      <c r="B313" s="6">
        <v>9.8348000000000005E-2</v>
      </c>
      <c r="C313" s="6">
        <f t="shared" si="28"/>
        <v>7.3480000000000073E-3</v>
      </c>
      <c r="D313" s="6">
        <f t="shared" si="29"/>
        <v>2.2925760000000022</v>
      </c>
      <c r="E313" s="6">
        <f t="shared" si="33"/>
        <v>-3.5795169999999992</v>
      </c>
      <c r="F313" s="6">
        <f t="shared" si="34"/>
        <v>1.6665000000000013E-3</v>
      </c>
      <c r="G313" s="6">
        <f t="shared" si="30"/>
        <v>0.37838929616728034</v>
      </c>
      <c r="H313" s="7">
        <f t="shared" si="31"/>
        <v>-1.5689350699882595E-16</v>
      </c>
      <c r="I313" s="8" t="str">
        <f t="shared" si="32"/>
        <v/>
      </c>
    </row>
    <row r="314" spans="1:9" x14ac:dyDescent="0.2">
      <c r="A314" s="5">
        <v>313</v>
      </c>
      <c r="B314" s="6">
        <v>0.100145</v>
      </c>
      <c r="C314" s="6">
        <f t="shared" si="28"/>
        <v>9.1450000000000004E-3</v>
      </c>
      <c r="D314" s="6">
        <f t="shared" si="29"/>
        <v>2.8623850000000002</v>
      </c>
      <c r="E314" s="6">
        <f t="shared" si="33"/>
        <v>-3.5712704999999993</v>
      </c>
      <c r="F314" s="6">
        <f t="shared" si="34"/>
        <v>1.6664999999999944E-3</v>
      </c>
      <c r="G314" s="6">
        <f t="shared" si="30"/>
        <v>-0.40356828491428809</v>
      </c>
      <c r="H314" s="7">
        <f t="shared" si="31"/>
        <v>1.6733360106918215E-16</v>
      </c>
      <c r="I314" s="8" t="str">
        <f t="shared" si="32"/>
        <v/>
      </c>
    </row>
    <row r="315" spans="1:9" x14ac:dyDescent="0.2">
      <c r="A315" s="5">
        <v>314</v>
      </c>
      <c r="B315" s="6">
        <v>0.10168099999999999</v>
      </c>
      <c r="C315" s="6">
        <f t="shared" si="28"/>
        <v>1.0680999999999996E-2</v>
      </c>
      <c r="D315" s="6">
        <f t="shared" si="29"/>
        <v>3.3538339999999986</v>
      </c>
      <c r="E315" s="6">
        <f t="shared" si="33"/>
        <v>-3.5613574999999993</v>
      </c>
      <c r="F315" s="6">
        <f t="shared" si="34"/>
        <v>1.3840000000000033E-3</v>
      </c>
      <c r="G315" s="6">
        <f t="shared" si="30"/>
        <v>-1.0704167281759971</v>
      </c>
      <c r="H315" s="7">
        <f t="shared" si="31"/>
        <v>5.3442681830890238E-16</v>
      </c>
      <c r="I315" s="8" t="str">
        <f t="shared" si="32"/>
        <v/>
      </c>
    </row>
    <row r="316" spans="1:9" x14ac:dyDescent="0.2">
      <c r="A316" s="5">
        <v>315</v>
      </c>
      <c r="B316" s="6">
        <v>0.102913</v>
      </c>
      <c r="C316" s="6">
        <f t="shared" si="28"/>
        <v>1.1913000000000007E-2</v>
      </c>
      <c r="D316" s="6">
        <f t="shared" si="29"/>
        <v>3.7525950000000021</v>
      </c>
      <c r="E316" s="6">
        <f t="shared" si="33"/>
        <v>-3.5500604999999994</v>
      </c>
      <c r="F316" s="6">
        <f t="shared" si="34"/>
        <v>1.3985000000000039E-3</v>
      </c>
      <c r="G316" s="6">
        <f t="shared" si="30"/>
        <v>-1.6040527503754993</v>
      </c>
      <c r="H316" s="7">
        <f t="shared" si="31"/>
        <v>7.9255173620214515E-16</v>
      </c>
      <c r="I316" s="8" t="str">
        <f t="shared" si="32"/>
        <v/>
      </c>
    </row>
    <row r="317" spans="1:9" x14ac:dyDescent="0.2">
      <c r="A317" s="5">
        <v>316</v>
      </c>
      <c r="B317" s="6">
        <v>0.104478</v>
      </c>
      <c r="C317" s="6">
        <f t="shared" si="28"/>
        <v>1.3478000000000004E-2</v>
      </c>
      <c r="D317" s="6">
        <f t="shared" si="29"/>
        <v>4.2590480000000008</v>
      </c>
      <c r="E317" s="6">
        <f t="shared" si="33"/>
        <v>-3.5373649999999994</v>
      </c>
      <c r="F317" s="6">
        <f t="shared" si="34"/>
        <v>1.5579999999999969E-3</v>
      </c>
      <c r="G317" s="6">
        <f t="shared" si="30"/>
        <v>-2.2803614311727483</v>
      </c>
      <c r="H317" s="7">
        <f t="shared" si="31"/>
        <v>1.0113644404443128E-15</v>
      </c>
      <c r="I317" s="8" t="str">
        <f t="shared" si="32"/>
        <v/>
      </c>
    </row>
    <row r="318" spans="1:9" x14ac:dyDescent="0.2">
      <c r="A318" s="5">
        <v>317</v>
      </c>
      <c r="B318" s="6">
        <v>0.106029</v>
      </c>
      <c r="C318" s="6">
        <f t="shared" si="28"/>
        <v>1.5029000000000001E-2</v>
      </c>
      <c r="D318" s="6">
        <f t="shared" si="29"/>
        <v>4.7641930000000006</v>
      </c>
      <c r="E318" s="6">
        <f t="shared" si="33"/>
        <v>-3.5231114999999993</v>
      </c>
      <c r="F318" s="6">
        <f t="shared" si="34"/>
        <v>1.8190000000000012E-3</v>
      </c>
      <c r="G318" s="6">
        <f t="shared" si="30"/>
        <v>-2.9490690662631853</v>
      </c>
      <c r="H318" s="7">
        <f t="shared" si="31"/>
        <v>1.1202725401849645E-15</v>
      </c>
      <c r="I318" s="8" t="str">
        <f t="shared" si="32"/>
        <v/>
      </c>
    </row>
    <row r="319" spans="1:9" x14ac:dyDescent="0.2">
      <c r="A319" s="5">
        <v>318</v>
      </c>
      <c r="B319" s="6">
        <v>0.108116</v>
      </c>
      <c r="C319" s="6">
        <f t="shared" si="28"/>
        <v>1.7116000000000006E-2</v>
      </c>
      <c r="D319" s="6">
        <f t="shared" si="29"/>
        <v>5.4428880000000017</v>
      </c>
      <c r="E319" s="6">
        <f t="shared" si="33"/>
        <v>-3.5070389999999994</v>
      </c>
      <c r="F319" s="6">
        <f t="shared" si="34"/>
        <v>2.471000000000001E-3</v>
      </c>
      <c r="G319" s="6">
        <f t="shared" si="30"/>
        <v>-3.8467840227001608</v>
      </c>
      <c r="H319" s="7">
        <f t="shared" si="31"/>
        <v>1.0757132160088982E-15</v>
      </c>
      <c r="I319" s="8" t="str">
        <f t="shared" si="32"/>
        <v/>
      </c>
    </row>
    <row r="320" spans="1:9" x14ac:dyDescent="0.2">
      <c r="A320" s="5">
        <v>319</v>
      </c>
      <c r="B320" s="6">
        <v>0.110971</v>
      </c>
      <c r="C320" s="6">
        <f t="shared" si="28"/>
        <v>1.9971000000000003E-2</v>
      </c>
      <c r="D320" s="6">
        <f t="shared" si="29"/>
        <v>6.3707490000000009</v>
      </c>
      <c r="E320" s="6">
        <f t="shared" si="33"/>
        <v>-3.4884954999999995</v>
      </c>
      <c r="F320" s="6">
        <f t="shared" si="34"/>
        <v>2.6664999999999953E-3</v>
      </c>
      <c r="G320" s="6">
        <f t="shared" si="30"/>
        <v>-5.0719962007679875</v>
      </c>
      <c r="H320" s="7">
        <f t="shared" si="31"/>
        <v>1.3143431852052934E-15</v>
      </c>
      <c r="I320" s="8" t="str">
        <f t="shared" si="32"/>
        <v/>
      </c>
    </row>
    <row r="321" spans="1:9" x14ac:dyDescent="0.2">
      <c r="A321" s="5">
        <v>320</v>
      </c>
      <c r="B321" s="6">
        <v>0.11344899999999999</v>
      </c>
      <c r="C321" s="6">
        <f t="shared" si="28"/>
        <v>2.2448999999999997E-2</v>
      </c>
      <c r="D321" s="6">
        <f t="shared" si="29"/>
        <v>7.183679999999999</v>
      </c>
      <c r="E321" s="6">
        <f t="shared" si="33"/>
        <v>-3.4672854999999996</v>
      </c>
      <c r="F321" s="6">
        <f t="shared" si="34"/>
        <v>2.3839999999999972E-3</v>
      </c>
      <c r="G321" s="6">
        <f t="shared" si="30"/>
        <v>-6.1329422908737925</v>
      </c>
      <c r="H321" s="7">
        <f t="shared" si="31"/>
        <v>1.7776001293848268E-15</v>
      </c>
      <c r="I321" s="8" t="str">
        <f t="shared" si="32"/>
        <v/>
      </c>
    </row>
    <row r="322" spans="1:9" x14ac:dyDescent="0.2">
      <c r="A322" s="5">
        <v>321</v>
      </c>
      <c r="B322" s="6">
        <v>0.11573899999999999</v>
      </c>
      <c r="C322" s="6">
        <f t="shared" ref="C322:C385" si="35">B322-$B$2</f>
        <v>2.4738999999999997E-2</v>
      </c>
      <c r="D322" s="6">
        <f t="shared" ref="D322:D385" si="36">A322*C322</f>
        <v>7.9412189999999994</v>
      </c>
      <c r="E322" s="6">
        <f t="shared" si="33"/>
        <v>-3.4436914999999995</v>
      </c>
      <c r="F322" s="6">
        <f t="shared" si="34"/>
        <v>1.7899999999999999E-3</v>
      </c>
      <c r="G322" s="6">
        <f t="shared" ref="G322:G385" si="37">(A322-$L$5)*C322-E322</f>
        <v>-7.1111069100595454</v>
      </c>
      <c r="H322" s="7">
        <f t="shared" ref="H322:H385" si="38">IF(ABS(F322)&lt;0.000000001,"",-(G322)/(2*$L$4*F322)*0.000000000001)</f>
        <v>2.745083903133134E-15</v>
      </c>
      <c r="I322" s="8" t="str">
        <f t="shared" ref="I322:I385" si="39">IF(AND(B322&gt;=0.5,B322&lt;=2.5,ISNUMBER(H322),H322&gt;0),H322,"")</f>
        <v/>
      </c>
    </row>
    <row r="323" spans="1:9" x14ac:dyDescent="0.2">
      <c r="A323" s="5">
        <v>322</v>
      </c>
      <c r="B323" s="6">
        <v>0.11702899999999999</v>
      </c>
      <c r="C323" s="6">
        <f t="shared" si="35"/>
        <v>2.6028999999999997E-2</v>
      </c>
      <c r="D323" s="6">
        <f t="shared" si="36"/>
        <v>8.3813379999999995</v>
      </c>
      <c r="E323" s="6">
        <f t="shared" ref="E323:E386" si="40">E322+(C322+C323)/2*(A323-A322)</f>
        <v>-3.4183074999999996</v>
      </c>
      <c r="F323" s="6">
        <f t="shared" ref="F323:F386" si="41">(B324-B322)/(A324-A322)</f>
        <v>1.1234999999999995E-3</v>
      </c>
      <c r="G323" s="6">
        <f t="shared" si="37"/>
        <v>-7.6608354073301239</v>
      </c>
      <c r="H323" s="7">
        <f t="shared" si="38"/>
        <v>4.7116660475315456E-15</v>
      </c>
      <c r="I323" s="8" t="str">
        <f t="shared" si="39"/>
        <v/>
      </c>
    </row>
    <row r="324" spans="1:9" x14ac:dyDescent="0.2">
      <c r="A324" s="5">
        <v>323</v>
      </c>
      <c r="B324" s="6">
        <v>0.11798599999999999</v>
      </c>
      <c r="C324" s="6">
        <f t="shared" si="35"/>
        <v>2.6985999999999996E-2</v>
      </c>
      <c r="D324" s="6">
        <f t="shared" si="36"/>
        <v>8.7164779999999986</v>
      </c>
      <c r="E324" s="6">
        <f t="shared" si="40"/>
        <v>-3.3917999999999995</v>
      </c>
      <c r="F324" s="6">
        <f t="shared" si="41"/>
        <v>1.3840000000000033E-3</v>
      </c>
      <c r="G324" s="6">
        <f t="shared" si="37"/>
        <v>-8.0677002460029463</v>
      </c>
      <c r="H324" s="7">
        <f t="shared" si="38"/>
        <v>4.027959634831486E-15</v>
      </c>
      <c r="I324" s="8" t="str">
        <f t="shared" si="39"/>
        <v/>
      </c>
    </row>
    <row r="325" spans="1:9" x14ac:dyDescent="0.2">
      <c r="A325" s="5">
        <v>324</v>
      </c>
      <c r="B325" s="6">
        <v>0.119797</v>
      </c>
      <c r="C325" s="6">
        <f t="shared" si="35"/>
        <v>2.8797000000000003E-2</v>
      </c>
      <c r="D325" s="6">
        <f t="shared" si="36"/>
        <v>9.3302280000000017</v>
      </c>
      <c r="E325" s="6">
        <f t="shared" si="40"/>
        <v>-3.3639084999999995</v>
      </c>
      <c r="F325" s="6">
        <f t="shared" si="41"/>
        <v>1.5795000000000045E-3</v>
      </c>
      <c r="G325" s="6">
        <f t="shared" si="37"/>
        <v>-8.8358288727913337</v>
      </c>
      <c r="H325" s="7">
        <f t="shared" si="38"/>
        <v>3.8654415625397807E-15</v>
      </c>
      <c r="I325" s="8" t="str">
        <f t="shared" si="39"/>
        <v/>
      </c>
    </row>
    <row r="326" spans="1:9" x14ac:dyDescent="0.2">
      <c r="A326" s="5">
        <v>325</v>
      </c>
      <c r="B326" s="6">
        <v>0.121145</v>
      </c>
      <c r="C326" s="6">
        <f t="shared" si="35"/>
        <v>3.0145000000000005E-2</v>
      </c>
      <c r="D326" s="6">
        <f t="shared" si="36"/>
        <v>9.7971250000000012</v>
      </c>
      <c r="E326" s="6">
        <f t="shared" si="40"/>
        <v>-3.3344374999999995</v>
      </c>
      <c r="F326" s="6">
        <f t="shared" si="41"/>
        <v>1.4274999999999982E-3</v>
      </c>
      <c r="G326" s="6">
        <f t="shared" si="37"/>
        <v>-9.4062298451329927</v>
      </c>
      <c r="H326" s="7">
        <f t="shared" si="38"/>
        <v>4.553139074588627E-15</v>
      </c>
      <c r="I326" s="8" t="str">
        <f t="shared" si="39"/>
        <v/>
      </c>
    </row>
    <row r="327" spans="1:9" x14ac:dyDescent="0.2">
      <c r="A327" s="5">
        <v>326</v>
      </c>
      <c r="B327" s="6">
        <v>0.122652</v>
      </c>
      <c r="C327" s="6">
        <f t="shared" si="35"/>
        <v>3.1652E-2</v>
      </c>
      <c r="D327" s="6">
        <f t="shared" si="36"/>
        <v>10.318552</v>
      </c>
      <c r="E327" s="6">
        <f t="shared" si="40"/>
        <v>-3.3035389999999993</v>
      </c>
      <c r="F327" s="6">
        <f t="shared" si="41"/>
        <v>1.514500000000002E-3</v>
      </c>
      <c r="G327" s="6">
        <f t="shared" si="37"/>
        <v>-10.042404050859162</v>
      </c>
      <c r="H327" s="7">
        <f t="shared" si="38"/>
        <v>4.5818393683517182E-15</v>
      </c>
      <c r="I327" s="8" t="str">
        <f t="shared" si="39"/>
        <v/>
      </c>
    </row>
    <row r="328" spans="1:9" x14ac:dyDescent="0.2">
      <c r="A328" s="5">
        <v>327</v>
      </c>
      <c r="B328" s="6">
        <v>0.12417400000000001</v>
      </c>
      <c r="C328" s="6">
        <f t="shared" si="35"/>
        <v>3.3174000000000009E-2</v>
      </c>
      <c r="D328" s="6">
        <f t="shared" si="36"/>
        <v>10.847898000000002</v>
      </c>
      <c r="E328" s="6">
        <f t="shared" si="40"/>
        <v>-3.2711259999999993</v>
      </c>
      <c r="F328" s="6">
        <f t="shared" si="41"/>
        <v>2.1090000000000067E-3</v>
      </c>
      <c r="G328" s="6">
        <f t="shared" si="37"/>
        <v>-10.683388448414064</v>
      </c>
      <c r="H328" s="7">
        <f t="shared" si="38"/>
        <v>3.5002888619222881E-15</v>
      </c>
      <c r="I328" s="8" t="str">
        <f t="shared" si="39"/>
        <v/>
      </c>
    </row>
    <row r="329" spans="1:9" x14ac:dyDescent="0.2">
      <c r="A329" s="5">
        <v>328</v>
      </c>
      <c r="B329" s="6">
        <v>0.12687000000000001</v>
      </c>
      <c r="C329" s="6">
        <f t="shared" si="35"/>
        <v>3.5870000000000013E-2</v>
      </c>
      <c r="D329" s="6">
        <f t="shared" si="36"/>
        <v>11.765360000000005</v>
      </c>
      <c r="E329" s="6">
        <f t="shared" si="40"/>
        <v>-3.2366039999999994</v>
      </c>
      <c r="F329" s="6">
        <f t="shared" si="41"/>
        <v>2.4129999999999985E-3</v>
      </c>
      <c r="G329" s="6">
        <f t="shared" si="37"/>
        <v>-11.816102393097379</v>
      </c>
      <c r="H329" s="7">
        <f t="shared" si="38"/>
        <v>3.3836728755201136E-15</v>
      </c>
      <c r="I329" s="8" t="str">
        <f t="shared" si="39"/>
        <v/>
      </c>
    </row>
    <row r="330" spans="1:9" x14ac:dyDescent="0.2">
      <c r="A330" s="5">
        <v>329</v>
      </c>
      <c r="B330" s="6">
        <v>0.129</v>
      </c>
      <c r="C330" s="6">
        <f t="shared" si="35"/>
        <v>3.8000000000000006E-2</v>
      </c>
      <c r="D330" s="6">
        <f t="shared" si="36"/>
        <v>12.502000000000002</v>
      </c>
      <c r="E330" s="6">
        <f t="shared" si="40"/>
        <v>-3.1996689999999992</v>
      </c>
      <c r="F330" s="6">
        <f t="shared" si="41"/>
        <v>2.5794999999999985E-3</v>
      </c>
      <c r="G330" s="6">
        <f t="shared" si="37"/>
        <v>-12.708883632776704</v>
      </c>
      <c r="H330" s="7">
        <f t="shared" si="38"/>
        <v>3.4044214414929488E-15</v>
      </c>
      <c r="I330" s="8" t="str">
        <f t="shared" si="39"/>
        <v/>
      </c>
    </row>
    <row r="331" spans="1:9" x14ac:dyDescent="0.2">
      <c r="A331" s="5">
        <v>330</v>
      </c>
      <c r="B331" s="6">
        <v>0.13202900000000001</v>
      </c>
      <c r="C331" s="6">
        <f t="shared" si="35"/>
        <v>4.102900000000001E-2</v>
      </c>
      <c r="D331" s="6">
        <f t="shared" si="36"/>
        <v>13.539570000000003</v>
      </c>
      <c r="E331" s="6">
        <f t="shared" si="40"/>
        <v>-3.1601544999999991</v>
      </c>
      <c r="F331" s="6">
        <f t="shared" si="41"/>
        <v>3.0724999999999919E-3</v>
      </c>
      <c r="G331" s="6">
        <f t="shared" si="37"/>
        <v>-13.975448236057774</v>
      </c>
      <c r="H331" s="7">
        <f t="shared" si="38"/>
        <v>3.1430066546522906E-15</v>
      </c>
      <c r="I331" s="8" t="str">
        <f t="shared" si="39"/>
        <v/>
      </c>
    </row>
    <row r="332" spans="1:9" x14ac:dyDescent="0.2">
      <c r="A332" s="5">
        <v>331</v>
      </c>
      <c r="B332" s="6">
        <v>0.13514499999999999</v>
      </c>
      <c r="C332" s="6">
        <f t="shared" si="35"/>
        <v>4.414499999999999E-2</v>
      </c>
      <c r="D332" s="6">
        <f t="shared" si="36"/>
        <v>14.611994999999997</v>
      </c>
      <c r="E332" s="6">
        <f t="shared" si="40"/>
        <v>-3.1175674999999989</v>
      </c>
      <c r="F332" s="6">
        <f t="shared" si="41"/>
        <v>2.1665000000000018E-3</v>
      </c>
      <c r="G332" s="6">
        <f t="shared" si="37"/>
        <v>-15.275275551945455</v>
      </c>
      <c r="H332" s="7">
        <f t="shared" si="38"/>
        <v>4.8719385966114767E-15</v>
      </c>
      <c r="I332" s="8" t="str">
        <f t="shared" si="39"/>
        <v/>
      </c>
    </row>
    <row r="333" spans="1:9" x14ac:dyDescent="0.2">
      <c r="A333" s="5">
        <v>332</v>
      </c>
      <c r="B333" s="6">
        <v>0.13636200000000001</v>
      </c>
      <c r="C333" s="6">
        <f t="shared" si="35"/>
        <v>4.5362000000000013E-2</v>
      </c>
      <c r="D333" s="6">
        <f t="shared" si="36"/>
        <v>15.060184000000005</v>
      </c>
      <c r="E333" s="6">
        <f t="shared" si="40"/>
        <v>-3.0728139999999988</v>
      </c>
      <c r="F333" s="6">
        <f t="shared" si="41"/>
        <v>1.2680000000000052E-3</v>
      </c>
      <c r="G333" s="6">
        <f t="shared" si="37"/>
        <v>-15.781725382316234</v>
      </c>
      <c r="H333" s="7">
        <f t="shared" si="38"/>
        <v>8.6001628415472639E-15</v>
      </c>
      <c r="I333" s="8" t="str">
        <f t="shared" si="39"/>
        <v/>
      </c>
    </row>
    <row r="334" spans="1:9" x14ac:dyDescent="0.2">
      <c r="A334" s="5">
        <v>333</v>
      </c>
      <c r="B334" s="6">
        <v>0.137681</v>
      </c>
      <c r="C334" s="6">
        <f t="shared" si="35"/>
        <v>4.6681E-2</v>
      </c>
      <c r="D334" s="6">
        <f t="shared" si="36"/>
        <v>15.544772999999999</v>
      </c>
      <c r="E334" s="6">
        <f t="shared" si="40"/>
        <v>-3.0267924999999987</v>
      </c>
      <c r="F334" s="6">
        <f t="shared" si="41"/>
        <v>1.3119999999999937E-3</v>
      </c>
      <c r="G334" s="6">
        <f t="shared" si="37"/>
        <v>-16.329303117122347</v>
      </c>
      <c r="H334" s="7">
        <f t="shared" si="38"/>
        <v>8.6001348678368948E-15</v>
      </c>
      <c r="I334" s="8" t="str">
        <f t="shared" si="39"/>
        <v/>
      </c>
    </row>
    <row r="335" spans="1:9" x14ac:dyDescent="0.2">
      <c r="A335" s="5">
        <v>334</v>
      </c>
      <c r="B335" s="6">
        <v>0.138986</v>
      </c>
      <c r="C335" s="6">
        <f t="shared" si="35"/>
        <v>4.7986000000000001E-2</v>
      </c>
      <c r="D335" s="6">
        <f t="shared" si="36"/>
        <v>16.027324</v>
      </c>
      <c r="E335" s="6">
        <f t="shared" si="40"/>
        <v>-2.9794589999999985</v>
      </c>
      <c r="F335" s="6">
        <f t="shared" si="41"/>
        <v>1.8259999999999943E-3</v>
      </c>
      <c r="G335" s="6">
        <f t="shared" si="37"/>
        <v>-16.869763806221652</v>
      </c>
      <c r="H335" s="7">
        <f t="shared" si="38"/>
        <v>6.3838059180116002E-15</v>
      </c>
      <c r="I335" s="8" t="str">
        <f t="shared" si="39"/>
        <v/>
      </c>
    </row>
    <row r="336" spans="1:9" x14ac:dyDescent="0.2">
      <c r="A336" s="5">
        <v>335</v>
      </c>
      <c r="B336" s="6">
        <v>0.14133299999999999</v>
      </c>
      <c r="C336" s="6">
        <f t="shared" si="35"/>
        <v>5.0332999999999989E-2</v>
      </c>
      <c r="D336" s="6">
        <f t="shared" si="36"/>
        <v>16.861554999999996</v>
      </c>
      <c r="E336" s="6">
        <f t="shared" si="40"/>
        <v>-2.9302994999999985</v>
      </c>
      <c r="F336" s="6">
        <f t="shared" si="41"/>
        <v>2.1810000000000024E-3</v>
      </c>
      <c r="G336" s="6">
        <f t="shared" si="37"/>
        <v>-17.839417754356568</v>
      </c>
      <c r="H336" s="7">
        <f t="shared" si="38"/>
        <v>5.6519258597596572E-15</v>
      </c>
      <c r="I336" s="8" t="str">
        <f t="shared" si="39"/>
        <v/>
      </c>
    </row>
    <row r="337" spans="1:9" x14ac:dyDescent="0.2">
      <c r="A337" s="5">
        <v>336</v>
      </c>
      <c r="B337" s="6">
        <v>0.143348</v>
      </c>
      <c r="C337" s="6">
        <f t="shared" si="35"/>
        <v>5.2348000000000006E-2</v>
      </c>
      <c r="D337" s="6">
        <f t="shared" si="36"/>
        <v>17.588928000000003</v>
      </c>
      <c r="E337" s="6">
        <f t="shared" si="40"/>
        <v>-2.8789589999999987</v>
      </c>
      <c r="F337" s="6">
        <f t="shared" si="41"/>
        <v>1.8840000000000107E-3</v>
      </c>
      <c r="G337" s="6">
        <f t="shared" si="37"/>
        <v>-18.669892190015652</v>
      </c>
      <c r="H337" s="7">
        <f t="shared" si="38"/>
        <v>6.8475049961091661E-15</v>
      </c>
      <c r="I337" s="8" t="str">
        <f t="shared" si="39"/>
        <v/>
      </c>
    </row>
    <row r="338" spans="1:9" x14ac:dyDescent="0.2">
      <c r="A338" s="5">
        <v>337</v>
      </c>
      <c r="B338" s="6">
        <v>0.14510100000000001</v>
      </c>
      <c r="C338" s="6">
        <f t="shared" si="35"/>
        <v>5.410100000000001E-2</v>
      </c>
      <c r="D338" s="6">
        <f t="shared" si="36"/>
        <v>18.232037000000002</v>
      </c>
      <c r="E338" s="6">
        <f t="shared" si="40"/>
        <v>-2.8257344999999985</v>
      </c>
      <c r="F338" s="6">
        <f t="shared" si="41"/>
        <v>1.7245000000000038E-3</v>
      </c>
      <c r="G338" s="6">
        <f t="shared" si="37"/>
        <v>-19.390631341732959</v>
      </c>
      <c r="H338" s="7">
        <f t="shared" si="38"/>
        <v>7.7696274842296186E-15</v>
      </c>
      <c r="I338" s="8" t="str">
        <f t="shared" si="39"/>
        <v/>
      </c>
    </row>
    <row r="339" spans="1:9" x14ac:dyDescent="0.2">
      <c r="A339" s="5">
        <v>338</v>
      </c>
      <c r="B339" s="6">
        <v>0.14679700000000001</v>
      </c>
      <c r="C339" s="6">
        <f t="shared" si="35"/>
        <v>5.5797000000000013E-2</v>
      </c>
      <c r="D339" s="6">
        <f t="shared" si="36"/>
        <v>18.859386000000004</v>
      </c>
      <c r="E339" s="6">
        <f t="shared" si="40"/>
        <v>-2.7707854999999983</v>
      </c>
      <c r="F339" s="6">
        <f t="shared" si="41"/>
        <v>1.7319999999999974E-3</v>
      </c>
      <c r="G339" s="6">
        <f t="shared" si="37"/>
        <v>-20.086239164501098</v>
      </c>
      <c r="H339" s="7">
        <f t="shared" si="38"/>
        <v>8.0134990162181156E-15</v>
      </c>
      <c r="I339" s="8" t="str">
        <f t="shared" si="39"/>
        <v/>
      </c>
    </row>
    <row r="340" spans="1:9" x14ac:dyDescent="0.2">
      <c r="A340" s="5">
        <v>339</v>
      </c>
      <c r="B340" s="6">
        <v>0.148565</v>
      </c>
      <c r="C340" s="6">
        <f t="shared" si="35"/>
        <v>5.7565000000000005E-2</v>
      </c>
      <c r="D340" s="6">
        <f t="shared" si="36"/>
        <v>19.514535000000002</v>
      </c>
      <c r="E340" s="6">
        <f t="shared" si="40"/>
        <v>-2.7141044999999981</v>
      </c>
      <c r="F340" s="6">
        <f t="shared" si="41"/>
        <v>1.8259999999999943E-3</v>
      </c>
      <c r="G340" s="6">
        <f t="shared" si="37"/>
        <v>-20.809609508047128</v>
      </c>
      <c r="H340" s="7">
        <f t="shared" si="38"/>
        <v>7.8747106275422782E-15</v>
      </c>
      <c r="I340" s="8" t="str">
        <f t="shared" si="39"/>
        <v/>
      </c>
    </row>
    <row r="341" spans="1:9" x14ac:dyDescent="0.2">
      <c r="A341" s="5">
        <v>340</v>
      </c>
      <c r="B341" s="6">
        <v>0.150449</v>
      </c>
      <c r="C341" s="6">
        <f t="shared" si="35"/>
        <v>5.9449000000000002E-2</v>
      </c>
      <c r="D341" s="6">
        <f t="shared" si="36"/>
        <v>20.21266</v>
      </c>
      <c r="E341" s="6">
        <f t="shared" si="40"/>
        <v>-2.6555974999999981</v>
      </c>
      <c r="F341" s="6">
        <f t="shared" si="41"/>
        <v>2.1449999999999941E-3</v>
      </c>
      <c r="G341" s="6">
        <f t="shared" si="37"/>
        <v>-21.578556801735317</v>
      </c>
      <c r="H341" s="7">
        <f t="shared" si="38"/>
        <v>6.9513082095786844E-15</v>
      </c>
      <c r="I341" s="8" t="str">
        <f t="shared" si="39"/>
        <v/>
      </c>
    </row>
    <row r="342" spans="1:9" x14ac:dyDescent="0.2">
      <c r="A342" s="5">
        <v>341</v>
      </c>
      <c r="B342" s="6">
        <v>0.15285499999999999</v>
      </c>
      <c r="C342" s="6">
        <f t="shared" si="35"/>
        <v>6.1854999999999993E-2</v>
      </c>
      <c r="D342" s="6">
        <f t="shared" si="36"/>
        <v>21.092554999999997</v>
      </c>
      <c r="E342" s="6">
        <f t="shared" si="40"/>
        <v>-2.5949454999999979</v>
      </c>
      <c r="F342" s="6">
        <f t="shared" si="41"/>
        <v>2.3839999999999972E-3</v>
      </c>
      <c r="G342" s="6">
        <f t="shared" si="37"/>
        <v>-22.558150371063231</v>
      </c>
      <c r="H342" s="7">
        <f t="shared" si="38"/>
        <v>6.538357792466886E-15</v>
      </c>
      <c r="I342" s="8" t="str">
        <f t="shared" si="39"/>
        <v/>
      </c>
    </row>
    <row r="343" spans="1:9" x14ac:dyDescent="0.2">
      <c r="A343" s="5">
        <v>342</v>
      </c>
      <c r="B343" s="6">
        <v>0.15521699999999999</v>
      </c>
      <c r="C343" s="6">
        <f t="shared" si="35"/>
        <v>6.4216999999999996E-2</v>
      </c>
      <c r="D343" s="6">
        <f t="shared" si="36"/>
        <v>21.962213999999999</v>
      </c>
      <c r="E343" s="6">
        <f t="shared" si="40"/>
        <v>-2.531909499999998</v>
      </c>
      <c r="F343" s="6">
        <f t="shared" si="41"/>
        <v>1.8115000000000075E-3</v>
      </c>
      <c r="G343" s="6">
        <f t="shared" si="37"/>
        <v>-23.517467511026879</v>
      </c>
      <c r="H343" s="7">
        <f t="shared" si="38"/>
        <v>8.9706447944848029E-15</v>
      </c>
      <c r="I343" s="8" t="str">
        <f t="shared" si="39"/>
        <v/>
      </c>
    </row>
    <row r="344" spans="1:9" x14ac:dyDescent="0.2">
      <c r="A344" s="5">
        <v>343</v>
      </c>
      <c r="B344" s="6">
        <v>0.15647800000000001</v>
      </c>
      <c r="C344" s="6">
        <f t="shared" si="35"/>
        <v>6.5478000000000008E-2</v>
      </c>
      <c r="D344" s="6">
        <f t="shared" si="36"/>
        <v>22.458954000000002</v>
      </c>
      <c r="E344" s="6">
        <f t="shared" si="40"/>
        <v>-2.4670619999999981</v>
      </c>
      <c r="F344" s="6">
        <f t="shared" si="41"/>
        <v>1.7609999999999987E-3</v>
      </c>
      <c r="G344" s="6">
        <f t="shared" si="37"/>
        <v>-24.028356770761921</v>
      </c>
      <c r="H344" s="7">
        <f t="shared" si="38"/>
        <v>9.4283601123201023E-15</v>
      </c>
      <c r="I344" s="8" t="str">
        <f t="shared" si="39"/>
        <v/>
      </c>
    </row>
    <row r="345" spans="1:9" x14ac:dyDescent="0.2">
      <c r="A345" s="5">
        <v>344</v>
      </c>
      <c r="B345" s="6">
        <v>0.15873899999999999</v>
      </c>
      <c r="C345" s="6">
        <f t="shared" si="35"/>
        <v>6.7738999999999994E-2</v>
      </c>
      <c r="D345" s="6">
        <f t="shared" si="36"/>
        <v>23.302215999999998</v>
      </c>
      <c r="E345" s="6">
        <f t="shared" si="40"/>
        <v>-2.400453499999998</v>
      </c>
      <c r="F345" s="6">
        <f t="shared" si="41"/>
        <v>2.3259999999999947E-3</v>
      </c>
      <c r="G345" s="6">
        <f t="shared" si="37"/>
        <v>-24.942131152412127</v>
      </c>
      <c r="H345" s="7">
        <f t="shared" si="38"/>
        <v>7.4096090533563265E-15</v>
      </c>
      <c r="I345" s="8" t="str">
        <f t="shared" si="39"/>
        <v/>
      </c>
    </row>
    <row r="346" spans="1:9" x14ac:dyDescent="0.2">
      <c r="A346" s="5">
        <v>345</v>
      </c>
      <c r="B346" s="6">
        <v>0.16113</v>
      </c>
      <c r="C346" s="6">
        <f t="shared" si="35"/>
        <v>7.0129999999999998E-2</v>
      </c>
      <c r="D346" s="6">
        <f t="shared" si="36"/>
        <v>24.194849999999999</v>
      </c>
      <c r="E346" s="6">
        <f t="shared" si="40"/>
        <v>-2.3315189999999979</v>
      </c>
      <c r="F346" s="6">
        <f t="shared" si="41"/>
        <v>2.195500000000003E-3</v>
      </c>
      <c r="G346" s="6">
        <f t="shared" si="37"/>
        <v>-25.906053529911318</v>
      </c>
      <c r="H346" s="7">
        <f t="shared" si="38"/>
        <v>8.1534096546768677E-15</v>
      </c>
      <c r="I346" s="8" t="str">
        <f t="shared" si="39"/>
        <v/>
      </c>
    </row>
    <row r="347" spans="1:9" x14ac:dyDescent="0.2">
      <c r="A347" s="5">
        <v>346</v>
      </c>
      <c r="B347" s="6">
        <v>0.16313</v>
      </c>
      <c r="C347" s="6">
        <f t="shared" si="35"/>
        <v>7.213E-2</v>
      </c>
      <c r="D347" s="6">
        <f t="shared" si="36"/>
        <v>24.956980000000001</v>
      </c>
      <c r="E347" s="6">
        <f t="shared" si="40"/>
        <v>-2.2603889999999978</v>
      </c>
      <c r="F347" s="6">
        <f t="shared" si="41"/>
        <v>1.9419999999999993E-3</v>
      </c>
      <c r="G347" s="6">
        <f t="shared" si="37"/>
        <v>-26.710345773741672</v>
      </c>
      <c r="H347" s="7">
        <f t="shared" si="38"/>
        <v>9.5038972141173926E-15</v>
      </c>
      <c r="I347" s="8" t="str">
        <f t="shared" si="39"/>
        <v/>
      </c>
    </row>
    <row r="348" spans="1:9" x14ac:dyDescent="0.2">
      <c r="A348" s="5">
        <v>347</v>
      </c>
      <c r="B348" s="6">
        <v>0.16501399999999999</v>
      </c>
      <c r="C348" s="6">
        <f t="shared" si="35"/>
        <v>7.4013999999999996E-2</v>
      </c>
      <c r="D348" s="6">
        <f t="shared" si="36"/>
        <v>25.682858</v>
      </c>
      <c r="E348" s="6">
        <f t="shared" si="40"/>
        <v>-2.187316999999998</v>
      </c>
      <c r="F348" s="6">
        <f t="shared" si="41"/>
        <v>2.1305000000000074E-3</v>
      </c>
      <c r="G348" s="6">
        <f t="shared" si="37"/>
        <v>-27.466105067429861</v>
      </c>
      <c r="H348" s="7">
        <f t="shared" si="38"/>
        <v>8.9081389927172415E-15</v>
      </c>
      <c r="I348" s="8" t="str">
        <f t="shared" si="39"/>
        <v/>
      </c>
    </row>
    <row r="349" spans="1:9" x14ac:dyDescent="0.2">
      <c r="A349" s="5">
        <v>348</v>
      </c>
      <c r="B349" s="6">
        <v>0.16739100000000001</v>
      </c>
      <c r="C349" s="6">
        <f t="shared" si="35"/>
        <v>7.6391000000000014E-2</v>
      </c>
      <c r="D349" s="6">
        <f t="shared" si="36"/>
        <v>26.584068000000006</v>
      </c>
      <c r="E349" s="6">
        <f t="shared" si="40"/>
        <v>-2.1121144999999979</v>
      </c>
      <c r="F349" s="6">
        <f t="shared" si="41"/>
        <v>2.9860000000000025E-3</v>
      </c>
      <c r="G349" s="6">
        <f t="shared" si="37"/>
        <v>-28.417252399222242</v>
      </c>
      <c r="H349" s="7">
        <f t="shared" si="38"/>
        <v>6.5760291159791884E-15</v>
      </c>
      <c r="I349" s="8" t="str">
        <f t="shared" si="39"/>
        <v/>
      </c>
    </row>
    <row r="350" spans="1:9" x14ac:dyDescent="0.2">
      <c r="A350" s="5">
        <v>349</v>
      </c>
      <c r="B350" s="6">
        <v>0.170986</v>
      </c>
      <c r="C350" s="6">
        <f t="shared" si="35"/>
        <v>7.9986000000000002E-2</v>
      </c>
      <c r="D350" s="6">
        <f t="shared" si="36"/>
        <v>27.915113999999999</v>
      </c>
      <c r="E350" s="6">
        <f t="shared" si="40"/>
        <v>-2.0339259999999979</v>
      </c>
      <c r="F350" s="6">
        <f t="shared" si="41"/>
        <v>3.4059999999999924E-3</v>
      </c>
      <c r="G350" s="6">
        <f t="shared" si="37"/>
        <v>-29.852182707507296</v>
      </c>
      <c r="H350" s="7">
        <f t="shared" si="38"/>
        <v>6.0562374375243577E-15</v>
      </c>
      <c r="I350" s="8" t="str">
        <f t="shared" si="39"/>
        <v/>
      </c>
    </row>
    <row r="351" spans="1:9" x14ac:dyDescent="0.2">
      <c r="A351" s="5">
        <v>350</v>
      </c>
      <c r="B351" s="6">
        <v>0.174203</v>
      </c>
      <c r="C351" s="6">
        <f t="shared" si="35"/>
        <v>8.3202999999999999E-2</v>
      </c>
      <c r="D351" s="6">
        <f t="shared" si="36"/>
        <v>29.12105</v>
      </c>
      <c r="E351" s="6">
        <f t="shared" si="40"/>
        <v>-1.9523314999999979</v>
      </c>
      <c r="F351" s="6">
        <f t="shared" si="41"/>
        <v>2.6444999999999941E-3</v>
      </c>
      <c r="G351" s="6">
        <f t="shared" si="37"/>
        <v>-31.133018781708415</v>
      </c>
      <c r="H351" s="7">
        <f t="shared" si="38"/>
        <v>8.1348417420336408E-15</v>
      </c>
      <c r="I351" s="8" t="str">
        <f t="shared" si="39"/>
        <v/>
      </c>
    </row>
    <row r="352" spans="1:9" x14ac:dyDescent="0.2">
      <c r="A352" s="5">
        <v>351</v>
      </c>
      <c r="B352" s="6">
        <v>0.17627499999999999</v>
      </c>
      <c r="C352" s="6">
        <f t="shared" si="35"/>
        <v>8.527499999999999E-2</v>
      </c>
      <c r="D352" s="6">
        <f t="shared" si="36"/>
        <v>29.931524999999997</v>
      </c>
      <c r="E352" s="6">
        <f t="shared" si="40"/>
        <v>-1.8680924999999979</v>
      </c>
      <c r="F352" s="6">
        <f t="shared" si="41"/>
        <v>2.4855000000000016E-3</v>
      </c>
      <c r="G352" s="6">
        <f t="shared" si="37"/>
        <v>-31.955905546316654</v>
      </c>
      <c r="H352" s="7">
        <f t="shared" si="38"/>
        <v>8.8840052699011453E-15</v>
      </c>
      <c r="I352" s="8" t="str">
        <f t="shared" si="39"/>
        <v/>
      </c>
    </row>
    <row r="353" spans="1:9" x14ac:dyDescent="0.2">
      <c r="A353" s="5">
        <v>352</v>
      </c>
      <c r="B353" s="6">
        <v>0.179174</v>
      </c>
      <c r="C353" s="6">
        <f t="shared" si="35"/>
        <v>8.8174000000000002E-2</v>
      </c>
      <c r="D353" s="6">
        <f t="shared" si="36"/>
        <v>31.037248000000002</v>
      </c>
      <c r="E353" s="6">
        <f t="shared" si="40"/>
        <v>-1.7813679999999978</v>
      </c>
      <c r="F353" s="6">
        <f t="shared" si="41"/>
        <v>2.7830000000000077E-3</v>
      </c>
      <c r="G353" s="6">
        <f t="shared" si="37"/>
        <v>-33.104333153748755</v>
      </c>
      <c r="H353" s="7">
        <f t="shared" si="38"/>
        <v>8.2194561671194132E-15</v>
      </c>
      <c r="I353" s="8" t="str">
        <f t="shared" si="39"/>
        <v/>
      </c>
    </row>
    <row r="354" spans="1:9" x14ac:dyDescent="0.2">
      <c r="A354" s="5">
        <v>353</v>
      </c>
      <c r="B354" s="6">
        <v>0.181841</v>
      </c>
      <c r="C354" s="6">
        <f t="shared" si="35"/>
        <v>9.0841000000000005E-2</v>
      </c>
      <c r="D354" s="6">
        <f t="shared" si="36"/>
        <v>32.066873000000001</v>
      </c>
      <c r="E354" s="6">
        <f t="shared" si="40"/>
        <v>-1.6918604999999978</v>
      </c>
      <c r="F354" s="6">
        <f t="shared" si="41"/>
        <v>3.2900000000000013E-3</v>
      </c>
      <c r="G354" s="6">
        <f t="shared" si="37"/>
        <v>-34.158187860896533</v>
      </c>
      <c r="H354" s="7">
        <f t="shared" si="38"/>
        <v>7.1741486465209675E-15</v>
      </c>
      <c r="I354" s="8" t="str">
        <f t="shared" si="39"/>
        <v/>
      </c>
    </row>
    <row r="355" spans="1:9" x14ac:dyDescent="0.2">
      <c r="A355" s="5">
        <v>354</v>
      </c>
      <c r="B355" s="6">
        <v>0.185754</v>
      </c>
      <c r="C355" s="6">
        <f t="shared" si="35"/>
        <v>9.4754000000000005E-2</v>
      </c>
      <c r="D355" s="6">
        <f t="shared" si="36"/>
        <v>33.542916000000005</v>
      </c>
      <c r="E355" s="6">
        <f t="shared" si="40"/>
        <v>-1.5990629999999977</v>
      </c>
      <c r="F355" s="6">
        <f t="shared" si="41"/>
        <v>3.2534999999999925E-3</v>
      </c>
      <c r="G355" s="6">
        <f t="shared" si="37"/>
        <v>-35.700481635950617</v>
      </c>
      <c r="H355" s="7">
        <f t="shared" si="38"/>
        <v>7.5821908242946559E-15</v>
      </c>
      <c r="I355" s="8" t="str">
        <f t="shared" si="39"/>
        <v/>
      </c>
    </row>
    <row r="356" spans="1:9" x14ac:dyDescent="0.2">
      <c r="A356" s="5">
        <v>355</v>
      </c>
      <c r="B356" s="6">
        <v>0.18834799999999999</v>
      </c>
      <c r="C356" s="6">
        <f t="shared" si="35"/>
        <v>9.734799999999999E-2</v>
      </c>
      <c r="D356" s="6">
        <f t="shared" si="36"/>
        <v>34.558539999999994</v>
      </c>
      <c r="E356" s="6">
        <f t="shared" si="40"/>
        <v>-1.5030119999999978</v>
      </c>
      <c r="F356" s="6">
        <f t="shared" si="41"/>
        <v>2.9129999999999989E-3</v>
      </c>
      <c r="G356" s="6">
        <f t="shared" si="37"/>
        <v>-36.720302676198578</v>
      </c>
      <c r="H356" s="7">
        <f t="shared" si="38"/>
        <v>8.7103822431968467E-15</v>
      </c>
      <c r="I356" s="8" t="str">
        <f t="shared" si="39"/>
        <v/>
      </c>
    </row>
    <row r="357" spans="1:9" x14ac:dyDescent="0.2">
      <c r="A357" s="5">
        <v>356</v>
      </c>
      <c r="B357" s="6">
        <v>0.19158</v>
      </c>
      <c r="C357" s="6">
        <f t="shared" si="35"/>
        <v>0.10058</v>
      </c>
      <c r="D357" s="6">
        <f t="shared" si="36"/>
        <v>35.806480000000001</v>
      </c>
      <c r="E357" s="6">
        <f t="shared" si="40"/>
        <v>-1.4040479999999977</v>
      </c>
      <c r="F357" s="6">
        <f t="shared" si="41"/>
        <v>3.3475000000000033E-3</v>
      </c>
      <c r="G357" s="6">
        <f t="shared" si="37"/>
        <v>-37.98771894222844</v>
      </c>
      <c r="H357" s="7">
        <f t="shared" si="38"/>
        <v>7.8414084548274312E-15</v>
      </c>
      <c r="I357" s="8" t="str">
        <f t="shared" si="39"/>
        <v/>
      </c>
    </row>
    <row r="358" spans="1:9" x14ac:dyDescent="0.2">
      <c r="A358" s="5">
        <v>357</v>
      </c>
      <c r="B358" s="6">
        <v>0.19504299999999999</v>
      </c>
      <c r="C358" s="6">
        <f t="shared" si="35"/>
        <v>0.104043</v>
      </c>
      <c r="D358" s="6">
        <f t="shared" si="36"/>
        <v>37.143350999999996</v>
      </c>
      <c r="E358" s="6">
        <f t="shared" si="40"/>
        <v>-1.3017364999999979</v>
      </c>
      <c r="F358" s="6">
        <f t="shared" si="41"/>
        <v>3.4200000000000064E-3</v>
      </c>
      <c r="G358" s="6">
        <f t="shared" si="37"/>
        <v>-39.342257962420689</v>
      </c>
      <c r="H358" s="7">
        <f t="shared" si="38"/>
        <v>7.9488558592718304E-15</v>
      </c>
      <c r="I358" s="8" t="str">
        <f t="shared" si="39"/>
        <v/>
      </c>
    </row>
    <row r="359" spans="1:9" x14ac:dyDescent="0.2">
      <c r="A359" s="5">
        <v>358</v>
      </c>
      <c r="B359" s="6">
        <v>0.19842000000000001</v>
      </c>
      <c r="C359" s="6">
        <f t="shared" si="35"/>
        <v>0.10742000000000002</v>
      </c>
      <c r="D359" s="6">
        <f t="shared" si="36"/>
        <v>38.456360000000004</v>
      </c>
      <c r="E359" s="6">
        <f t="shared" si="40"/>
        <v>-1.1960049999999978</v>
      </c>
      <c r="F359" s="6">
        <f t="shared" si="41"/>
        <v>3.0290000000000039E-3</v>
      </c>
      <c r="G359" s="6">
        <f t="shared" si="37"/>
        <v>-40.659781416128247</v>
      </c>
      <c r="H359" s="7">
        <f t="shared" si="38"/>
        <v>9.2754974933045863E-15</v>
      </c>
      <c r="I359" s="8" t="str">
        <f t="shared" si="39"/>
        <v/>
      </c>
    </row>
    <row r="360" spans="1:9" x14ac:dyDescent="0.2">
      <c r="A360" s="5">
        <v>359</v>
      </c>
      <c r="B360" s="6">
        <v>0.201101</v>
      </c>
      <c r="C360" s="6">
        <f t="shared" si="35"/>
        <v>0.110101</v>
      </c>
      <c r="D360" s="6">
        <f t="shared" si="36"/>
        <v>39.526259000000003</v>
      </c>
      <c r="E360" s="6">
        <f t="shared" si="40"/>
        <v>-1.0872444999999977</v>
      </c>
      <c r="F360" s="6">
        <f t="shared" si="41"/>
        <v>2.8114999999999946E-3</v>
      </c>
      <c r="G360" s="6">
        <f t="shared" si="37"/>
        <v>-41.703082168982831</v>
      </c>
      <c r="H360" s="7">
        <f t="shared" si="38"/>
        <v>1.0249472441619169E-14</v>
      </c>
      <c r="I360" s="8" t="str">
        <f t="shared" si="39"/>
        <v/>
      </c>
    </row>
    <row r="361" spans="1:9" x14ac:dyDescent="0.2">
      <c r="A361" s="5">
        <v>360</v>
      </c>
      <c r="B361" s="6">
        <v>0.204043</v>
      </c>
      <c r="C361" s="6">
        <f t="shared" si="35"/>
        <v>0.113043</v>
      </c>
      <c r="D361" s="6">
        <f t="shared" si="36"/>
        <v>40.695480000000003</v>
      </c>
      <c r="E361" s="6">
        <f t="shared" si="40"/>
        <v>-0.97567249999999772</v>
      </c>
      <c r="F361" s="6">
        <f t="shared" si="41"/>
        <v>2.9204999999999925E-3</v>
      </c>
      <c r="G361" s="6">
        <f t="shared" si="37"/>
        <v>-42.845008059657282</v>
      </c>
      <c r="H361" s="7">
        <f t="shared" si="38"/>
        <v>1.01371171259629E-14</v>
      </c>
      <c r="I361" s="8" t="str">
        <f t="shared" si="39"/>
        <v/>
      </c>
    </row>
    <row r="362" spans="1:9" x14ac:dyDescent="0.2">
      <c r="A362" s="5">
        <v>361</v>
      </c>
      <c r="B362" s="6">
        <v>0.20694199999999999</v>
      </c>
      <c r="C362" s="6">
        <f t="shared" si="35"/>
        <v>0.11594199999999999</v>
      </c>
      <c r="D362" s="6">
        <f t="shared" si="36"/>
        <v>41.855061999999997</v>
      </c>
      <c r="E362" s="6">
        <f t="shared" si="40"/>
        <v>-0.86117999999999773</v>
      </c>
      <c r="F362" s="6">
        <f t="shared" si="41"/>
        <v>3.4855000000000025E-3</v>
      </c>
      <c r="G362" s="6">
        <f t="shared" si="37"/>
        <v>-43.967344667089371</v>
      </c>
      <c r="H362" s="7">
        <f t="shared" si="38"/>
        <v>8.716388860755544E-15</v>
      </c>
      <c r="I362" s="8" t="str">
        <f t="shared" si="39"/>
        <v/>
      </c>
    </row>
    <row r="363" spans="1:9" x14ac:dyDescent="0.2">
      <c r="A363" s="5">
        <v>362</v>
      </c>
      <c r="B363" s="6">
        <v>0.21101400000000001</v>
      </c>
      <c r="C363" s="6">
        <f t="shared" si="35"/>
        <v>0.12001400000000001</v>
      </c>
      <c r="D363" s="6">
        <f t="shared" si="36"/>
        <v>43.445068000000006</v>
      </c>
      <c r="E363" s="6">
        <f t="shared" si="40"/>
        <v>-0.7432019999999977</v>
      </c>
      <c r="F363" s="6">
        <f t="shared" si="41"/>
        <v>3.8915000000000061E-3</v>
      </c>
      <c r="G363" s="6">
        <f t="shared" si="37"/>
        <v>-45.539731675527975</v>
      </c>
      <c r="H363" s="7">
        <f t="shared" si="38"/>
        <v>8.0862074475524326E-15</v>
      </c>
      <c r="I363" s="8" t="str">
        <f t="shared" si="39"/>
        <v/>
      </c>
    </row>
    <row r="364" spans="1:9" x14ac:dyDescent="0.2">
      <c r="A364" s="5">
        <v>363</v>
      </c>
      <c r="B364" s="6">
        <v>0.214725</v>
      </c>
      <c r="C364" s="6">
        <f t="shared" si="35"/>
        <v>0.123725</v>
      </c>
      <c r="D364" s="6">
        <f t="shared" si="36"/>
        <v>44.912174999999998</v>
      </c>
      <c r="E364" s="6">
        <f t="shared" si="40"/>
        <v>-0.62133249999999773</v>
      </c>
      <c r="F364" s="6">
        <f t="shared" si="41"/>
        <v>3.2029999999999975E-3</v>
      </c>
      <c r="G364" s="6">
        <f t="shared" si="37"/>
        <v>-46.969008933955188</v>
      </c>
      <c r="H364" s="7">
        <f t="shared" si="38"/>
        <v>1.0132716783005573E-14</v>
      </c>
      <c r="I364" s="8" t="str">
        <f t="shared" si="39"/>
        <v/>
      </c>
    </row>
    <row r="365" spans="1:9" x14ac:dyDescent="0.2">
      <c r="A365" s="5">
        <v>364</v>
      </c>
      <c r="B365" s="6">
        <v>0.21742</v>
      </c>
      <c r="C365" s="6">
        <f t="shared" si="35"/>
        <v>0.12642</v>
      </c>
      <c r="D365" s="6">
        <f t="shared" si="36"/>
        <v>46.01688</v>
      </c>
      <c r="E365" s="6">
        <f t="shared" si="40"/>
        <v>-0.4962599999999977</v>
      </c>
      <c r="F365" s="6">
        <f t="shared" si="41"/>
        <v>3.0435000000000045E-3</v>
      </c>
      <c r="G365" s="6">
        <f t="shared" si="37"/>
        <v>-48.004282732516593</v>
      </c>
      <c r="H365" s="7">
        <f t="shared" si="38"/>
        <v>1.0898785995482248E-14</v>
      </c>
      <c r="I365" s="8" t="str">
        <f t="shared" si="39"/>
        <v/>
      </c>
    </row>
    <row r="366" spans="1:9" x14ac:dyDescent="0.2">
      <c r="A366" s="5">
        <v>365</v>
      </c>
      <c r="B366" s="6">
        <v>0.22081200000000001</v>
      </c>
      <c r="C366" s="6">
        <f t="shared" si="35"/>
        <v>0.12981200000000001</v>
      </c>
      <c r="D366" s="6">
        <f t="shared" si="36"/>
        <v>47.381380000000007</v>
      </c>
      <c r="E366" s="6">
        <f t="shared" si="40"/>
        <v>-0.3681439999999977</v>
      </c>
      <c r="F366" s="6">
        <f t="shared" si="41"/>
        <v>3.5724999999999923E-3</v>
      </c>
      <c r="G366" s="6">
        <f t="shared" si="37"/>
        <v>-49.303914378052873</v>
      </c>
      <c r="H366" s="7">
        <f t="shared" si="38"/>
        <v>9.5363154637459205E-15</v>
      </c>
      <c r="I366" s="8" t="str">
        <f t="shared" si="39"/>
        <v/>
      </c>
    </row>
    <row r="367" spans="1:9" x14ac:dyDescent="0.2">
      <c r="A367" s="5">
        <v>366</v>
      </c>
      <c r="B367" s="6">
        <v>0.22456499999999999</v>
      </c>
      <c r="C367" s="6">
        <f t="shared" si="35"/>
        <v>0.13356499999999999</v>
      </c>
      <c r="D367" s="6">
        <f t="shared" si="36"/>
        <v>48.884789999999995</v>
      </c>
      <c r="E367" s="6">
        <f t="shared" si="40"/>
        <v>-0.23645549999999771</v>
      </c>
      <c r="F367" s="6">
        <f t="shared" si="41"/>
        <v>3.8619999999999904E-3</v>
      </c>
      <c r="G367" s="6">
        <f t="shared" si="37"/>
        <v>-50.738108773600523</v>
      </c>
      <c r="H367" s="7">
        <f t="shared" si="38"/>
        <v>9.0780684252082142E-15</v>
      </c>
      <c r="I367" s="8" t="str">
        <f t="shared" si="39"/>
        <v/>
      </c>
    </row>
    <row r="368" spans="1:9" x14ac:dyDescent="0.2">
      <c r="A368" s="5">
        <v>367</v>
      </c>
      <c r="B368" s="6">
        <v>0.22853599999999999</v>
      </c>
      <c r="C368" s="6">
        <f t="shared" si="35"/>
        <v>0.13753599999999999</v>
      </c>
      <c r="D368" s="6">
        <f t="shared" si="36"/>
        <v>50.475711999999994</v>
      </c>
      <c r="E368" s="6">
        <f t="shared" si="40"/>
        <v>-0.10090499999999772</v>
      </c>
      <c r="F368" s="6">
        <f t="shared" si="41"/>
        <v>4.4130000000000003E-3</v>
      </c>
      <c r="G368" s="6">
        <f t="shared" si="37"/>
        <v>-52.251640023725692</v>
      </c>
      <c r="H368" s="7">
        <f t="shared" si="38"/>
        <v>8.1815849660799291E-15</v>
      </c>
      <c r="I368" s="8" t="str">
        <f t="shared" si="39"/>
        <v/>
      </c>
    </row>
    <row r="369" spans="1:9" x14ac:dyDescent="0.2">
      <c r="A369" s="5">
        <v>368</v>
      </c>
      <c r="B369" s="6">
        <v>0.23339099999999999</v>
      </c>
      <c r="C369" s="6">
        <f t="shared" si="35"/>
        <v>0.14239099999999999</v>
      </c>
      <c r="D369" s="6">
        <f t="shared" si="36"/>
        <v>52.399887999999997</v>
      </c>
      <c r="E369" s="6">
        <f t="shared" si="40"/>
        <v>3.9058500000002272E-2</v>
      </c>
      <c r="F369" s="6">
        <f t="shared" si="41"/>
        <v>4.1595000000000104E-3</v>
      </c>
      <c r="G369" s="6">
        <f t="shared" si="37"/>
        <v>-54.097249445623866</v>
      </c>
      <c r="H369" s="7">
        <f t="shared" si="38"/>
        <v>8.9868087946464807E-15</v>
      </c>
      <c r="I369" s="8" t="str">
        <f t="shared" si="39"/>
        <v/>
      </c>
    </row>
    <row r="370" spans="1:9" x14ac:dyDescent="0.2">
      <c r="A370" s="5">
        <v>369</v>
      </c>
      <c r="B370" s="6">
        <v>0.23685500000000001</v>
      </c>
      <c r="C370" s="6">
        <f t="shared" si="35"/>
        <v>0.14585500000000001</v>
      </c>
      <c r="D370" s="6">
        <f t="shared" si="36"/>
        <v>53.820495000000001</v>
      </c>
      <c r="E370" s="6">
        <f t="shared" si="40"/>
        <v>0.18318150000000227</v>
      </c>
      <c r="F370" s="6">
        <f t="shared" si="41"/>
        <v>3.3480000000000038E-3</v>
      </c>
      <c r="G370" s="6">
        <f t="shared" si="37"/>
        <v>-55.410611611938052</v>
      </c>
      <c r="H370" s="7">
        <f t="shared" si="38"/>
        <v>1.1436126237741745E-14</v>
      </c>
      <c r="I370" s="8" t="str">
        <f t="shared" si="39"/>
        <v/>
      </c>
    </row>
    <row r="371" spans="1:9" x14ac:dyDescent="0.2">
      <c r="A371" s="5">
        <v>370</v>
      </c>
      <c r="B371" s="6">
        <v>0.24008699999999999</v>
      </c>
      <c r="C371" s="6">
        <f t="shared" si="35"/>
        <v>0.149087</v>
      </c>
      <c r="D371" s="6">
        <f t="shared" si="36"/>
        <v>55.162190000000002</v>
      </c>
      <c r="E371" s="6">
        <f t="shared" si="40"/>
        <v>0.33065250000000229</v>
      </c>
      <c r="F371" s="6">
        <f t="shared" si="41"/>
        <v>3.4784999999999955E-3</v>
      </c>
      <c r="G371" s="6">
        <f t="shared" si="37"/>
        <v>-56.632779877967891</v>
      </c>
      <c r="H371" s="7">
        <f t="shared" si="38"/>
        <v>1.1249865194567618E-14</v>
      </c>
      <c r="I371" s="8" t="str">
        <f t="shared" si="39"/>
        <v/>
      </c>
    </row>
    <row r="372" spans="1:9" x14ac:dyDescent="0.2">
      <c r="A372" s="5">
        <v>371</v>
      </c>
      <c r="B372" s="6">
        <v>0.243812</v>
      </c>
      <c r="C372" s="6">
        <f t="shared" si="35"/>
        <v>0.152812</v>
      </c>
      <c r="D372" s="6">
        <f t="shared" si="36"/>
        <v>56.693252000000001</v>
      </c>
      <c r="E372" s="6">
        <f t="shared" si="40"/>
        <v>0.48160200000000231</v>
      </c>
      <c r="F372" s="6">
        <f t="shared" si="41"/>
        <v>3.6665000000000031E-3</v>
      </c>
      <c r="G372" s="6">
        <f t="shared" si="37"/>
        <v>-58.037649182101923</v>
      </c>
      <c r="H372" s="7">
        <f t="shared" si="38"/>
        <v>1.0937789721276693E-14</v>
      </c>
      <c r="I372" s="8" t="str">
        <f t="shared" si="39"/>
        <v/>
      </c>
    </row>
    <row r="373" spans="1:9" x14ac:dyDescent="0.2">
      <c r="A373" s="5">
        <v>372</v>
      </c>
      <c r="B373" s="6">
        <v>0.24742</v>
      </c>
      <c r="C373" s="6">
        <f t="shared" si="35"/>
        <v>0.15642</v>
      </c>
      <c r="D373" s="6">
        <f t="shared" si="36"/>
        <v>58.18824</v>
      </c>
      <c r="E373" s="6">
        <f t="shared" si="40"/>
        <v>0.63621800000000228</v>
      </c>
      <c r="F373" s="6">
        <f t="shared" si="41"/>
        <v>3.6085000000000006E-3</v>
      </c>
      <c r="G373" s="6">
        <f t="shared" si="37"/>
        <v>-59.394784389971882</v>
      </c>
      <c r="H373" s="7">
        <f t="shared" si="38"/>
        <v>1.1373471577567774E-14</v>
      </c>
      <c r="I373" s="8" t="str">
        <f t="shared" si="39"/>
        <v/>
      </c>
    </row>
    <row r="374" spans="1:9" x14ac:dyDescent="0.2">
      <c r="A374" s="5">
        <v>373</v>
      </c>
      <c r="B374" s="6">
        <v>0.251029</v>
      </c>
      <c r="C374" s="6">
        <f t="shared" si="35"/>
        <v>0.160029</v>
      </c>
      <c r="D374" s="6">
        <f t="shared" si="36"/>
        <v>59.690817000000003</v>
      </c>
      <c r="E374" s="6">
        <f t="shared" si="40"/>
        <v>0.79444250000000227</v>
      </c>
      <c r="F374" s="6">
        <f t="shared" si="41"/>
        <v>3.253999999999993E-3</v>
      </c>
      <c r="G374" s="6">
        <f t="shared" si="37"/>
        <v>-60.748686743963752</v>
      </c>
      <c r="H374" s="7">
        <f t="shared" si="38"/>
        <v>1.290003211252942E-14</v>
      </c>
      <c r="I374" s="8" t="str">
        <f t="shared" si="39"/>
        <v/>
      </c>
    </row>
    <row r="375" spans="1:9" x14ac:dyDescent="0.2">
      <c r="A375" s="5">
        <v>374</v>
      </c>
      <c r="B375" s="6">
        <v>0.25392799999999999</v>
      </c>
      <c r="C375" s="6">
        <f t="shared" si="35"/>
        <v>0.16292799999999999</v>
      </c>
      <c r="D375" s="6">
        <f t="shared" si="36"/>
        <v>60.935071999999998</v>
      </c>
      <c r="E375" s="6">
        <f t="shared" si="40"/>
        <v>0.95592100000000224</v>
      </c>
      <c r="F375" s="6">
        <f t="shared" si="41"/>
        <v>2.8914999999999913E-3</v>
      </c>
      <c r="G375" s="6">
        <f t="shared" si="37"/>
        <v>-61.833336351395843</v>
      </c>
      <c r="H375" s="7">
        <f t="shared" si="38"/>
        <v>1.4776477945975357E-14</v>
      </c>
      <c r="I375" s="8" t="str">
        <f t="shared" si="39"/>
        <v/>
      </c>
    </row>
    <row r="376" spans="1:9" x14ac:dyDescent="0.2">
      <c r="A376" s="5">
        <v>375</v>
      </c>
      <c r="B376" s="6">
        <v>0.25681199999999998</v>
      </c>
      <c r="C376" s="6">
        <f t="shared" si="35"/>
        <v>0.16581199999999999</v>
      </c>
      <c r="D376" s="6">
        <f t="shared" si="36"/>
        <v>62.179499999999997</v>
      </c>
      <c r="E376" s="6">
        <f t="shared" si="40"/>
        <v>1.1202910000000021</v>
      </c>
      <c r="F376" s="6">
        <f t="shared" si="41"/>
        <v>3.0505000000000115E-3</v>
      </c>
      <c r="G376" s="6">
        <f t="shared" si="37"/>
        <v>-62.909489766999208</v>
      </c>
      <c r="H376" s="7">
        <f t="shared" si="38"/>
        <v>1.4250056281949394E-14</v>
      </c>
      <c r="I376" s="8" t="str">
        <f t="shared" si="39"/>
        <v/>
      </c>
    </row>
    <row r="377" spans="1:9" x14ac:dyDescent="0.2">
      <c r="A377" s="5">
        <v>376</v>
      </c>
      <c r="B377" s="6">
        <v>0.26002900000000001</v>
      </c>
      <c r="C377" s="6">
        <f t="shared" si="35"/>
        <v>0.16902900000000001</v>
      </c>
      <c r="D377" s="6">
        <f t="shared" si="36"/>
        <v>63.554904000000008</v>
      </c>
      <c r="E377" s="6">
        <f t="shared" si="40"/>
        <v>1.2877115000000021</v>
      </c>
      <c r="F377" s="6">
        <f t="shared" si="41"/>
        <v>3.5725000000000062E-3</v>
      </c>
      <c r="G377" s="6">
        <f t="shared" si="37"/>
        <v>-64.106683841200351</v>
      </c>
      <c r="H377" s="7">
        <f t="shared" si="38"/>
        <v>1.2399452825523311E-14</v>
      </c>
      <c r="I377" s="8" t="str">
        <f t="shared" si="39"/>
        <v/>
      </c>
    </row>
    <row r="378" spans="1:9" x14ac:dyDescent="0.2">
      <c r="A378" s="5">
        <v>377</v>
      </c>
      <c r="B378" s="6">
        <v>0.263957</v>
      </c>
      <c r="C378" s="6">
        <f t="shared" si="35"/>
        <v>0.172957</v>
      </c>
      <c r="D378" s="6">
        <f t="shared" si="36"/>
        <v>65.204789000000005</v>
      </c>
      <c r="E378" s="6">
        <f t="shared" si="40"/>
        <v>1.4587045000000021</v>
      </c>
      <c r="F378" s="6">
        <f t="shared" si="41"/>
        <v>3.3839999999999981E-3</v>
      </c>
      <c r="G378" s="6">
        <f t="shared" si="37"/>
        <v>-65.564545808083139</v>
      </c>
      <c r="H378" s="7">
        <f t="shared" si="38"/>
        <v>1.3387828760731403E-14</v>
      </c>
      <c r="I378" s="8" t="str">
        <f t="shared" si="39"/>
        <v/>
      </c>
    </row>
    <row r="379" spans="1:9" x14ac:dyDescent="0.2">
      <c r="A379" s="5">
        <v>378</v>
      </c>
      <c r="B379" s="6">
        <v>0.26679700000000001</v>
      </c>
      <c r="C379" s="6">
        <f t="shared" si="35"/>
        <v>0.17579700000000001</v>
      </c>
      <c r="D379" s="6">
        <f t="shared" si="36"/>
        <v>66.451266000000004</v>
      </c>
      <c r="E379" s="6">
        <f t="shared" si="40"/>
        <v>1.6330815000000021</v>
      </c>
      <c r="F379" s="6">
        <f t="shared" si="41"/>
        <v>3.7314999999999987E-3</v>
      </c>
      <c r="G379" s="6">
        <f t="shared" si="37"/>
        <v>-66.615760794322256</v>
      </c>
      <c r="H379" s="7">
        <f t="shared" si="38"/>
        <v>1.2335733898124848E-14</v>
      </c>
      <c r="I379" s="8" t="str">
        <f t="shared" si="39"/>
        <v/>
      </c>
    </row>
    <row r="380" spans="1:9" x14ac:dyDescent="0.2">
      <c r="A380" s="5">
        <v>379</v>
      </c>
      <c r="B380" s="6">
        <v>0.27141999999999999</v>
      </c>
      <c r="C380" s="6">
        <f t="shared" si="35"/>
        <v>0.18042</v>
      </c>
      <c r="D380" s="6">
        <f t="shared" si="36"/>
        <v>68.379180000000005</v>
      </c>
      <c r="E380" s="6">
        <f t="shared" si="40"/>
        <v>1.8111900000000021</v>
      </c>
      <c r="F380" s="6">
        <f t="shared" si="41"/>
        <v>4.5074999999999976E-3</v>
      </c>
      <c r="G380" s="6">
        <f t="shared" si="37"/>
        <v>-68.322323315936103</v>
      </c>
      <c r="H380" s="7">
        <f t="shared" si="38"/>
        <v>1.0473656754119362E-14</v>
      </c>
      <c r="I380" s="8" t="str">
        <f t="shared" si="39"/>
        <v/>
      </c>
    </row>
    <row r="381" spans="1:9" x14ac:dyDescent="0.2">
      <c r="A381" s="5">
        <v>380</v>
      </c>
      <c r="B381" s="6">
        <v>0.275812</v>
      </c>
      <c r="C381" s="6">
        <f t="shared" si="35"/>
        <v>0.184812</v>
      </c>
      <c r="D381" s="6">
        <f t="shared" si="36"/>
        <v>70.228560000000002</v>
      </c>
      <c r="E381" s="6">
        <f t="shared" si="40"/>
        <v>1.993806000000002</v>
      </c>
      <c r="F381" s="6">
        <f t="shared" si="41"/>
        <v>4.2610000000000148E-3</v>
      </c>
      <c r="G381" s="6">
        <f t="shared" si="37"/>
        <v>-69.939221083387565</v>
      </c>
      <c r="H381" s="7">
        <f t="shared" si="38"/>
        <v>1.1341766532306802E-14</v>
      </c>
      <c r="I381" s="8" t="str">
        <f t="shared" si="39"/>
        <v/>
      </c>
    </row>
    <row r="382" spans="1:9" x14ac:dyDescent="0.2">
      <c r="A382" s="5">
        <v>381</v>
      </c>
      <c r="B382" s="6">
        <v>0.27994200000000002</v>
      </c>
      <c r="C382" s="6">
        <f t="shared" si="35"/>
        <v>0.18894200000000003</v>
      </c>
      <c r="D382" s="6">
        <f t="shared" si="36"/>
        <v>71.986902000000015</v>
      </c>
      <c r="E382" s="6">
        <f t="shared" si="40"/>
        <v>2.1806830000000019</v>
      </c>
      <c r="F382" s="6">
        <f t="shared" si="41"/>
        <v>4.0145000000000042E-3</v>
      </c>
      <c r="G382" s="6">
        <f t="shared" si="37"/>
        <v>-71.455534566897256</v>
      </c>
      <c r="H382" s="7">
        <f t="shared" si="38"/>
        <v>1.2299171474744774E-14</v>
      </c>
      <c r="I382" s="8" t="str">
        <f t="shared" si="39"/>
        <v/>
      </c>
    </row>
    <row r="383" spans="1:9" x14ac:dyDescent="0.2">
      <c r="A383" s="5">
        <v>382</v>
      </c>
      <c r="B383" s="6">
        <v>0.28384100000000001</v>
      </c>
      <c r="C383" s="6">
        <f t="shared" si="35"/>
        <v>0.19284100000000001</v>
      </c>
      <c r="D383" s="6">
        <f t="shared" si="36"/>
        <v>73.665261999999998</v>
      </c>
      <c r="E383" s="6">
        <f t="shared" si="40"/>
        <v>2.3715745000000021</v>
      </c>
      <c r="F383" s="6">
        <f t="shared" si="41"/>
        <v>4.3189999999999895E-3</v>
      </c>
      <c r="G383" s="6">
        <f t="shared" si="37"/>
        <v>-72.883138296244525</v>
      </c>
      <c r="H383" s="7">
        <f t="shared" si="38"/>
        <v>1.1660449888437707E-14</v>
      </c>
      <c r="I383" s="8" t="str">
        <f t="shared" si="39"/>
        <v/>
      </c>
    </row>
    <row r="384" spans="1:9" x14ac:dyDescent="0.2">
      <c r="A384" s="5">
        <v>383</v>
      </c>
      <c r="B384" s="6">
        <v>0.28858</v>
      </c>
      <c r="C384" s="6">
        <f t="shared" si="35"/>
        <v>0.19758000000000001</v>
      </c>
      <c r="D384" s="6">
        <f t="shared" si="36"/>
        <v>75.673140000000004</v>
      </c>
      <c r="E384" s="6">
        <f t="shared" si="40"/>
        <v>2.5667850000000021</v>
      </c>
      <c r="F384" s="6">
        <f t="shared" si="41"/>
        <v>4.9420000000000019E-3</v>
      </c>
      <c r="G384" s="6">
        <f t="shared" si="37"/>
        <v>-74.613565768000527</v>
      </c>
      <c r="H384" s="7">
        <f t="shared" si="38"/>
        <v>1.0432454527801728E-14</v>
      </c>
      <c r="I384" s="8" t="str">
        <f t="shared" si="39"/>
        <v/>
      </c>
    </row>
    <row r="385" spans="1:9" x14ac:dyDescent="0.2">
      <c r="A385" s="5">
        <v>384</v>
      </c>
      <c r="B385" s="6">
        <v>0.29372500000000001</v>
      </c>
      <c r="C385" s="6">
        <f t="shared" si="35"/>
        <v>0.20272500000000002</v>
      </c>
      <c r="D385" s="6">
        <f t="shared" si="36"/>
        <v>77.846400000000003</v>
      </c>
      <c r="E385" s="6">
        <f t="shared" si="40"/>
        <v>2.7669375000000023</v>
      </c>
      <c r="F385" s="6">
        <f t="shared" si="41"/>
        <v>4.8475000000000046E-3</v>
      </c>
      <c r="G385" s="6">
        <f t="shared" si="37"/>
        <v>-76.487097565254118</v>
      </c>
      <c r="H385" s="7">
        <f t="shared" si="38"/>
        <v>1.0902894496238942E-14</v>
      </c>
      <c r="I385" s="8" t="str">
        <f t="shared" si="39"/>
        <v/>
      </c>
    </row>
    <row r="386" spans="1:9" x14ac:dyDescent="0.2">
      <c r="A386" s="5">
        <v>385</v>
      </c>
      <c r="B386" s="6">
        <v>0.29827500000000001</v>
      </c>
      <c r="C386" s="6">
        <f t="shared" ref="C386:C449" si="42">B386-$B$2</f>
        <v>0.20727500000000001</v>
      </c>
      <c r="D386" s="6">
        <f t="shared" ref="D386:D449" si="43">A386*C386</f>
        <v>79.800875000000005</v>
      </c>
      <c r="E386" s="6">
        <f t="shared" si="40"/>
        <v>2.9719375000000023</v>
      </c>
      <c r="F386" s="6">
        <f t="shared" si="41"/>
        <v>4.6589999999999965E-3</v>
      </c>
      <c r="G386" s="6">
        <f t="shared" ref="G386:G449" si="44">(A386-$L$5)*C386-E386</f>
        <v>-78.139412419968167</v>
      </c>
      <c r="H386" s="7">
        <f t="shared" ref="H386:H449" si="45">IF(ABS(F386)&lt;0.000000001,"",-(G386)/(2*$L$4*F386)*0.000000000001)</f>
        <v>1.1589077759346679E-14</v>
      </c>
      <c r="I386" s="8" t="str">
        <f t="shared" ref="I386:I449" si="46">IF(AND(B386&gt;=0.5,B386&lt;=2.5,ISNUMBER(H386),H386&gt;0),H386,"")</f>
        <v/>
      </c>
    </row>
    <row r="387" spans="1:9" x14ac:dyDescent="0.2">
      <c r="A387" s="5">
        <v>386</v>
      </c>
      <c r="B387" s="6">
        <v>0.30304300000000001</v>
      </c>
      <c r="C387" s="6">
        <f t="shared" si="42"/>
        <v>0.21204300000000001</v>
      </c>
      <c r="D387" s="6">
        <f t="shared" si="43"/>
        <v>81.84859800000001</v>
      </c>
      <c r="E387" s="6">
        <f t="shared" ref="E387:E450" si="47">E386+(C386+C387)/2*(A387-A386)</f>
        <v>3.1815965000000022</v>
      </c>
      <c r="F387" s="6">
        <f t="shared" ref="F387:F450" si="48">(B388-B386)/(A388-A386)</f>
        <v>4.5800000000000007E-3</v>
      </c>
      <c r="G387" s="6">
        <f t="shared" si="44"/>
        <v>-79.866125129259729</v>
      </c>
      <c r="H387" s="7">
        <f t="shared" si="45"/>
        <v>1.2049487691524744E-14</v>
      </c>
      <c r="I387" s="8" t="str">
        <f t="shared" si="46"/>
        <v/>
      </c>
    </row>
    <row r="388" spans="1:9" x14ac:dyDescent="0.2">
      <c r="A388" s="5">
        <v>387</v>
      </c>
      <c r="B388" s="6">
        <v>0.30743500000000001</v>
      </c>
      <c r="C388" s="6">
        <f t="shared" si="42"/>
        <v>0.21643500000000002</v>
      </c>
      <c r="D388" s="6">
        <f t="shared" si="43"/>
        <v>83.760345000000001</v>
      </c>
      <c r="E388" s="6">
        <f t="shared" si="47"/>
        <v>3.3958355000000022</v>
      </c>
      <c r="F388" s="6">
        <f t="shared" si="48"/>
        <v>4.1960000000000053E-3</v>
      </c>
      <c r="G388" s="6">
        <f t="shared" si="44"/>
        <v>-81.452278896711192</v>
      </c>
      <c r="H388" s="7">
        <f t="shared" si="45"/>
        <v>1.341341020520858E-14</v>
      </c>
      <c r="I388" s="8" t="str">
        <f t="shared" si="46"/>
        <v/>
      </c>
    </row>
    <row r="389" spans="1:9" x14ac:dyDescent="0.2">
      <c r="A389" s="5">
        <v>388</v>
      </c>
      <c r="B389" s="6">
        <v>0.31143500000000002</v>
      </c>
      <c r="C389" s="6">
        <f t="shared" si="42"/>
        <v>0.22043500000000002</v>
      </c>
      <c r="D389" s="6">
        <f t="shared" si="43"/>
        <v>85.528780000000012</v>
      </c>
      <c r="E389" s="6">
        <f t="shared" si="47"/>
        <v>3.6142705000000022</v>
      </c>
      <c r="F389" s="6">
        <f t="shared" si="48"/>
        <v>3.7969999999999948E-3</v>
      </c>
      <c r="G389" s="6">
        <f t="shared" si="44"/>
        <v>-82.892863384371907</v>
      </c>
      <c r="H389" s="7">
        <f t="shared" si="45"/>
        <v>1.5085092960629942E-14</v>
      </c>
      <c r="I389" s="8" t="str">
        <f t="shared" si="46"/>
        <v/>
      </c>
    </row>
    <row r="390" spans="1:9" x14ac:dyDescent="0.2">
      <c r="A390" s="5">
        <v>389</v>
      </c>
      <c r="B390" s="6">
        <v>0.315029</v>
      </c>
      <c r="C390" s="6">
        <f t="shared" si="42"/>
        <v>0.22402900000000001</v>
      </c>
      <c r="D390" s="6">
        <f t="shared" si="43"/>
        <v>87.147281000000007</v>
      </c>
      <c r="E390" s="6">
        <f t="shared" si="47"/>
        <v>3.8365025000000021</v>
      </c>
      <c r="F390" s="6">
        <f t="shared" si="48"/>
        <v>4.0145000000000042E-3</v>
      </c>
      <c r="G390" s="6">
        <f t="shared" si="44"/>
        <v>-84.183634546535046</v>
      </c>
      <c r="H390" s="7">
        <f t="shared" si="45"/>
        <v>1.4489975660118292E-14</v>
      </c>
      <c r="I390" s="8" t="str">
        <f t="shared" si="46"/>
        <v/>
      </c>
    </row>
    <row r="391" spans="1:9" x14ac:dyDescent="0.2">
      <c r="A391" s="5">
        <v>390</v>
      </c>
      <c r="B391" s="6">
        <v>0.31946400000000003</v>
      </c>
      <c r="C391" s="6">
        <f t="shared" si="42"/>
        <v>0.22846400000000003</v>
      </c>
      <c r="D391" s="6">
        <f t="shared" si="43"/>
        <v>89.100960000000015</v>
      </c>
      <c r="E391" s="6">
        <f t="shared" si="47"/>
        <v>4.0627490000000019</v>
      </c>
      <c r="F391" s="6">
        <f t="shared" si="48"/>
        <v>5.1595000000000113E-3</v>
      </c>
      <c r="G391" s="6">
        <f t="shared" si="44"/>
        <v>-85.772012597228851</v>
      </c>
      <c r="H391" s="7">
        <f t="shared" si="45"/>
        <v>1.1487074297465929E-14</v>
      </c>
      <c r="I391" s="8" t="str">
        <f t="shared" si="46"/>
        <v/>
      </c>
    </row>
    <row r="392" spans="1:9" x14ac:dyDescent="0.2">
      <c r="A392" s="5">
        <v>391</v>
      </c>
      <c r="B392" s="6">
        <v>0.32534800000000003</v>
      </c>
      <c r="C392" s="6">
        <f t="shared" si="42"/>
        <v>0.23434800000000003</v>
      </c>
      <c r="D392" s="6">
        <f t="shared" si="43"/>
        <v>91.630068000000009</v>
      </c>
      <c r="E392" s="6">
        <f t="shared" si="47"/>
        <v>4.2941550000000017</v>
      </c>
      <c r="F392" s="6">
        <f t="shared" si="48"/>
        <v>5.782499999999996E-3</v>
      </c>
      <c r="G392" s="6">
        <f t="shared" si="44"/>
        <v>-87.873460378577747</v>
      </c>
      <c r="H392" s="7">
        <f t="shared" si="45"/>
        <v>1.0500585937414074E-14</v>
      </c>
      <c r="I392" s="8" t="str">
        <f t="shared" si="46"/>
        <v/>
      </c>
    </row>
    <row r="393" spans="1:9" x14ac:dyDescent="0.2">
      <c r="A393" s="5">
        <v>392</v>
      </c>
      <c r="B393" s="6">
        <v>0.33102900000000002</v>
      </c>
      <c r="C393" s="6">
        <f t="shared" si="42"/>
        <v>0.24002900000000002</v>
      </c>
      <c r="D393" s="6">
        <f t="shared" si="43"/>
        <v>94.091368000000003</v>
      </c>
      <c r="E393" s="6">
        <f t="shared" si="47"/>
        <v>4.531343500000002</v>
      </c>
      <c r="F393" s="6">
        <f t="shared" si="48"/>
        <v>5.3694999999999993E-3</v>
      </c>
      <c r="G393" s="6">
        <f t="shared" si="44"/>
        <v>-89.896726497177866</v>
      </c>
      <c r="H393" s="7">
        <f t="shared" si="45"/>
        <v>1.1568617901220568E-14</v>
      </c>
      <c r="I393" s="8" t="str">
        <f t="shared" si="46"/>
        <v/>
      </c>
    </row>
    <row r="394" spans="1:9" x14ac:dyDescent="0.2">
      <c r="A394" s="5">
        <v>393</v>
      </c>
      <c r="B394" s="6">
        <v>0.33608700000000002</v>
      </c>
      <c r="C394" s="6">
        <f t="shared" si="42"/>
        <v>0.24508700000000003</v>
      </c>
      <c r="D394" s="6">
        <f t="shared" si="43"/>
        <v>96.319191000000004</v>
      </c>
      <c r="E394" s="6">
        <f t="shared" si="47"/>
        <v>4.7739015000000018</v>
      </c>
      <c r="F394" s="6">
        <f t="shared" si="48"/>
        <v>5.550499999999986E-3</v>
      </c>
      <c r="G394" s="6">
        <f t="shared" si="44"/>
        <v>-91.693055581824837</v>
      </c>
      <c r="H394" s="7">
        <f t="shared" si="45"/>
        <v>1.141499655007264E-14</v>
      </c>
      <c r="I394" s="8" t="str">
        <f t="shared" si="46"/>
        <v/>
      </c>
    </row>
    <row r="395" spans="1:9" x14ac:dyDescent="0.2">
      <c r="A395" s="5">
        <v>394</v>
      </c>
      <c r="B395" s="6">
        <v>0.34212999999999999</v>
      </c>
      <c r="C395" s="6">
        <f t="shared" si="42"/>
        <v>0.25112999999999996</v>
      </c>
      <c r="D395" s="6">
        <f t="shared" si="43"/>
        <v>98.945219999999992</v>
      </c>
      <c r="E395" s="6">
        <f t="shared" si="47"/>
        <v>5.0220100000000016</v>
      </c>
      <c r="F395" s="6">
        <f t="shared" si="48"/>
        <v>6.2174999999999869E-3</v>
      </c>
      <c r="G395" s="6">
        <f t="shared" si="44"/>
        <v>-93.833160596558201</v>
      </c>
      <c r="H395" s="7">
        <f t="shared" si="45"/>
        <v>1.0428263520506568E-14</v>
      </c>
      <c r="I395" s="8" t="str">
        <f t="shared" si="46"/>
        <v/>
      </c>
    </row>
    <row r="396" spans="1:9" x14ac:dyDescent="0.2">
      <c r="A396" s="5">
        <v>395</v>
      </c>
      <c r="B396" s="6">
        <v>0.348522</v>
      </c>
      <c r="C396" s="6">
        <f t="shared" si="42"/>
        <v>0.25752200000000003</v>
      </c>
      <c r="D396" s="6">
        <f t="shared" si="43"/>
        <v>101.72119000000001</v>
      </c>
      <c r="E396" s="6">
        <f t="shared" si="47"/>
        <v>5.2763360000000015</v>
      </c>
      <c r="F396" s="6">
        <f t="shared" si="48"/>
        <v>5.891499999999994E-3</v>
      </c>
      <c r="G396" s="6">
        <f t="shared" si="44"/>
        <v>-96.090470607840047</v>
      </c>
      <c r="H396" s="7">
        <f t="shared" si="45"/>
        <v>1.1270051081715544E-14</v>
      </c>
      <c r="I396" s="8" t="str">
        <f t="shared" si="46"/>
        <v/>
      </c>
    </row>
    <row r="397" spans="1:9" x14ac:dyDescent="0.2">
      <c r="A397" s="5">
        <v>396</v>
      </c>
      <c r="B397" s="6">
        <v>0.35391299999999998</v>
      </c>
      <c r="C397" s="6">
        <f t="shared" si="42"/>
        <v>0.26291299999999995</v>
      </c>
      <c r="D397" s="6">
        <f t="shared" si="43"/>
        <v>104.11354799999998</v>
      </c>
      <c r="E397" s="6">
        <f t="shared" si="47"/>
        <v>5.5365535000000019</v>
      </c>
      <c r="F397" s="6">
        <f t="shared" si="48"/>
        <v>5.3114999999999968E-3</v>
      </c>
      <c r="G397" s="6">
        <f t="shared" si="44"/>
        <v>-97.988890351084734</v>
      </c>
      <c r="H397" s="7">
        <f t="shared" si="45"/>
        <v>1.2747678443251439E-14</v>
      </c>
      <c r="I397" s="8" t="str">
        <f t="shared" si="46"/>
        <v/>
      </c>
    </row>
    <row r="398" spans="1:9" x14ac:dyDescent="0.2">
      <c r="A398" s="5">
        <v>397</v>
      </c>
      <c r="B398" s="6">
        <v>0.35914499999999999</v>
      </c>
      <c r="C398" s="6">
        <f t="shared" si="42"/>
        <v>0.26814499999999997</v>
      </c>
      <c r="D398" s="6">
        <f t="shared" si="43"/>
        <v>106.45356499999998</v>
      </c>
      <c r="E398" s="6">
        <f t="shared" si="47"/>
        <v>5.8020825000000018</v>
      </c>
      <c r="F398" s="6">
        <f t="shared" si="48"/>
        <v>5.5145000000000055E-3</v>
      </c>
      <c r="G398" s="6">
        <f t="shared" si="44"/>
        <v>-99.82608686094494</v>
      </c>
      <c r="H398" s="7">
        <f t="shared" si="45"/>
        <v>1.2508618649649873E-14</v>
      </c>
      <c r="I398" s="8" t="str">
        <f t="shared" si="46"/>
        <v/>
      </c>
    </row>
    <row r="399" spans="1:9" x14ac:dyDescent="0.2">
      <c r="A399" s="5">
        <v>398</v>
      </c>
      <c r="B399" s="6">
        <v>0.36494199999999999</v>
      </c>
      <c r="C399" s="6">
        <f t="shared" si="42"/>
        <v>0.27394200000000002</v>
      </c>
      <c r="D399" s="6">
        <f t="shared" si="43"/>
        <v>109.02891600000001</v>
      </c>
      <c r="E399" s="6">
        <f t="shared" si="47"/>
        <v>6.073126000000002</v>
      </c>
      <c r="F399" s="6">
        <f t="shared" si="48"/>
        <v>5.5000000000000049E-3</v>
      </c>
      <c r="G399" s="6">
        <f t="shared" si="44"/>
        <v>-101.85588392968724</v>
      </c>
      <c r="H399" s="7">
        <f t="shared" si="45"/>
        <v>1.2796608363446298E-14</v>
      </c>
      <c r="I399" s="8" t="str">
        <f t="shared" si="46"/>
        <v/>
      </c>
    </row>
    <row r="400" spans="1:9" x14ac:dyDescent="0.2">
      <c r="A400" s="5">
        <v>399</v>
      </c>
      <c r="B400" s="6">
        <v>0.370145</v>
      </c>
      <c r="C400" s="6">
        <f t="shared" si="42"/>
        <v>0.27914499999999998</v>
      </c>
      <c r="D400" s="6">
        <f t="shared" si="43"/>
        <v>111.37885499999999</v>
      </c>
      <c r="E400" s="6">
        <f t="shared" si="47"/>
        <v>6.3496695000000019</v>
      </c>
      <c r="F400" s="6">
        <f t="shared" si="48"/>
        <v>5.246500000000015E-3</v>
      </c>
      <c r="G400" s="6">
        <f t="shared" si="44"/>
        <v>-103.67249120201188</v>
      </c>
      <c r="H400" s="7">
        <f t="shared" si="45"/>
        <v>1.3654169931236316E-14</v>
      </c>
      <c r="I400" s="8" t="str">
        <f t="shared" si="46"/>
        <v/>
      </c>
    </row>
    <row r="401" spans="1:9" x14ac:dyDescent="0.2">
      <c r="A401" s="5">
        <v>400</v>
      </c>
      <c r="B401" s="6">
        <v>0.37543500000000002</v>
      </c>
      <c r="C401" s="6">
        <f t="shared" si="42"/>
        <v>0.28443499999999999</v>
      </c>
      <c r="D401" s="6">
        <f t="shared" si="43"/>
        <v>113.774</v>
      </c>
      <c r="E401" s="6">
        <f t="shared" si="47"/>
        <v>6.6314595000000018</v>
      </c>
      <c r="F401" s="6">
        <f t="shared" si="48"/>
        <v>6.2244999999999939E-3</v>
      </c>
      <c r="G401" s="6">
        <f t="shared" si="44"/>
        <v>-105.51418418694318</v>
      </c>
      <c r="H401" s="7">
        <f t="shared" si="45"/>
        <v>1.1713260993404032E-14</v>
      </c>
      <c r="I401" s="8" t="str">
        <f t="shared" si="46"/>
        <v/>
      </c>
    </row>
    <row r="402" spans="1:9" x14ac:dyDescent="0.2">
      <c r="A402" s="5">
        <v>401</v>
      </c>
      <c r="B402" s="6">
        <v>0.38259399999999999</v>
      </c>
      <c r="C402" s="6">
        <f t="shared" si="42"/>
        <v>0.29159400000000002</v>
      </c>
      <c r="D402" s="6">
        <f t="shared" si="43"/>
        <v>116.92919400000001</v>
      </c>
      <c r="E402" s="6">
        <f t="shared" si="47"/>
        <v>6.9194740000000019</v>
      </c>
      <c r="F402" s="6">
        <f t="shared" si="48"/>
        <v>7.0069999999999855E-3</v>
      </c>
      <c r="G402" s="6">
        <f t="shared" si="44"/>
        <v>-107.99940327373393</v>
      </c>
      <c r="H402" s="7">
        <f t="shared" si="45"/>
        <v>1.0650271634088701E-14</v>
      </c>
      <c r="I402" s="8" t="str">
        <f t="shared" si="46"/>
        <v/>
      </c>
    </row>
    <row r="403" spans="1:9" x14ac:dyDescent="0.2">
      <c r="A403" s="5">
        <v>402</v>
      </c>
      <c r="B403" s="6">
        <v>0.38944899999999999</v>
      </c>
      <c r="C403" s="6">
        <f t="shared" si="42"/>
        <v>0.29844899999999996</v>
      </c>
      <c r="D403" s="6">
        <f t="shared" si="43"/>
        <v>119.97649799999999</v>
      </c>
      <c r="E403" s="6">
        <f t="shared" si="47"/>
        <v>7.2144955000000017</v>
      </c>
      <c r="F403" s="6">
        <f t="shared" si="48"/>
        <v>7.0725000000000093E-3</v>
      </c>
      <c r="G403" s="6">
        <f t="shared" si="44"/>
        <v>-110.37223493946244</v>
      </c>
      <c r="H403" s="7">
        <f t="shared" si="45"/>
        <v>1.0783464842577722E-14</v>
      </c>
      <c r="I403" s="8" t="str">
        <f t="shared" si="46"/>
        <v/>
      </c>
    </row>
    <row r="404" spans="1:9" x14ac:dyDescent="0.2">
      <c r="A404" s="5">
        <v>403</v>
      </c>
      <c r="B404" s="6">
        <v>0.39673900000000001</v>
      </c>
      <c r="C404" s="6">
        <f t="shared" si="42"/>
        <v>0.30573899999999998</v>
      </c>
      <c r="D404" s="6">
        <f t="shared" si="43"/>
        <v>123.21281699999999</v>
      </c>
      <c r="E404" s="6">
        <f t="shared" si="47"/>
        <v>7.516589500000002</v>
      </c>
      <c r="F404" s="6">
        <f t="shared" si="48"/>
        <v>7.4929999999999997E-3</v>
      </c>
      <c r="G404" s="6">
        <f t="shared" si="44"/>
        <v>-112.88835016822409</v>
      </c>
      <c r="H404" s="7">
        <f t="shared" si="45"/>
        <v>1.0410338221719679E-14</v>
      </c>
      <c r="I404" s="8" t="str">
        <f t="shared" si="46"/>
        <v/>
      </c>
    </row>
    <row r="405" spans="1:9" x14ac:dyDescent="0.2">
      <c r="A405" s="5">
        <v>404</v>
      </c>
      <c r="B405" s="6">
        <v>0.40443499999999999</v>
      </c>
      <c r="C405" s="6">
        <f t="shared" si="42"/>
        <v>0.31343500000000002</v>
      </c>
      <c r="D405" s="6">
        <f t="shared" si="43"/>
        <v>126.62774</v>
      </c>
      <c r="E405" s="6">
        <f t="shared" si="47"/>
        <v>7.8261765000000016</v>
      </c>
      <c r="F405" s="6">
        <f t="shared" si="48"/>
        <v>7.5435000000000085E-3</v>
      </c>
      <c r="G405" s="6">
        <f t="shared" si="44"/>
        <v>-115.5368987224833</v>
      </c>
      <c r="H405" s="7">
        <f t="shared" si="45"/>
        <v>1.0583254925237123E-14</v>
      </c>
      <c r="I405" s="8" t="str">
        <f t="shared" si="46"/>
        <v/>
      </c>
    </row>
    <row r="406" spans="1:9" x14ac:dyDescent="0.2">
      <c r="A406" s="5">
        <v>405</v>
      </c>
      <c r="B406" s="6">
        <v>0.41182600000000003</v>
      </c>
      <c r="C406" s="6">
        <f t="shared" si="42"/>
        <v>0.32082600000000006</v>
      </c>
      <c r="D406" s="6">
        <f t="shared" si="43"/>
        <v>129.93453000000002</v>
      </c>
      <c r="E406" s="6">
        <f t="shared" si="47"/>
        <v>8.1433070000000018</v>
      </c>
      <c r="F406" s="6">
        <f t="shared" si="48"/>
        <v>7.6664999999999928E-3</v>
      </c>
      <c r="G406" s="6">
        <f t="shared" si="44"/>
        <v>-118.07309170955838</v>
      </c>
      <c r="H406" s="7">
        <f t="shared" si="45"/>
        <v>1.0642048685170286E-14</v>
      </c>
      <c r="I406" s="8" t="str">
        <f t="shared" si="46"/>
        <v/>
      </c>
    </row>
    <row r="407" spans="1:9" x14ac:dyDescent="0.2">
      <c r="A407" s="5">
        <v>406</v>
      </c>
      <c r="B407" s="6">
        <v>0.41976799999999997</v>
      </c>
      <c r="C407" s="6">
        <f t="shared" si="42"/>
        <v>0.32876799999999995</v>
      </c>
      <c r="D407" s="6">
        <f t="shared" si="43"/>
        <v>133.47980799999999</v>
      </c>
      <c r="E407" s="6">
        <f t="shared" si="47"/>
        <v>8.4681040000000021</v>
      </c>
      <c r="F407" s="6">
        <f t="shared" si="48"/>
        <v>7.3984999999999745E-3</v>
      </c>
      <c r="G407" s="6">
        <f t="shared" si="44"/>
        <v>-120.79041620980867</v>
      </c>
      <c r="H407" s="7">
        <f t="shared" si="45"/>
        <v>1.1281328503664564E-14</v>
      </c>
      <c r="I407" s="8" t="str">
        <f t="shared" si="46"/>
        <v/>
      </c>
    </row>
    <row r="408" spans="1:9" x14ac:dyDescent="0.2">
      <c r="A408" s="5">
        <v>407</v>
      </c>
      <c r="B408" s="6">
        <v>0.42662299999999997</v>
      </c>
      <c r="C408" s="6">
        <f t="shared" si="42"/>
        <v>0.335623</v>
      </c>
      <c r="D408" s="6">
        <f t="shared" si="43"/>
        <v>136.59856099999999</v>
      </c>
      <c r="E408" s="6">
        <f t="shared" si="47"/>
        <v>8.8002995000000013</v>
      </c>
      <c r="F408" s="6">
        <f t="shared" si="48"/>
        <v>7.6230000000000186E-3</v>
      </c>
      <c r="G408" s="6">
        <f t="shared" si="44"/>
        <v>-123.12897287553722</v>
      </c>
      <c r="H408" s="7">
        <f t="shared" si="45"/>
        <v>1.1161068743070335E-14</v>
      </c>
      <c r="I408" s="8" t="str">
        <f t="shared" si="46"/>
        <v/>
      </c>
    </row>
    <row r="409" spans="1:9" x14ac:dyDescent="0.2">
      <c r="A409" s="5">
        <v>408</v>
      </c>
      <c r="B409" s="6">
        <v>0.43501400000000001</v>
      </c>
      <c r="C409" s="6">
        <f t="shared" si="42"/>
        <v>0.34401400000000004</v>
      </c>
      <c r="D409" s="6">
        <f t="shared" si="43"/>
        <v>140.35771200000002</v>
      </c>
      <c r="E409" s="6">
        <f t="shared" si="47"/>
        <v>9.1401180000000011</v>
      </c>
      <c r="F409" s="6">
        <f t="shared" si="48"/>
        <v>8.2465000000000177E-3</v>
      </c>
      <c r="G409" s="6">
        <f t="shared" si="44"/>
        <v>-125.98313898452747</v>
      </c>
      <c r="H409" s="7">
        <f t="shared" si="45"/>
        <v>1.0556360374985222E-14</v>
      </c>
      <c r="I409" s="8" t="str">
        <f t="shared" si="46"/>
        <v/>
      </c>
    </row>
    <row r="410" spans="1:9" x14ac:dyDescent="0.2">
      <c r="A410" s="5">
        <v>409</v>
      </c>
      <c r="B410" s="6">
        <v>0.44311600000000001</v>
      </c>
      <c r="C410" s="6">
        <f t="shared" si="42"/>
        <v>0.35211599999999998</v>
      </c>
      <c r="D410" s="6">
        <f t="shared" si="43"/>
        <v>144.015444</v>
      </c>
      <c r="E410" s="6">
        <f t="shared" si="47"/>
        <v>9.4881830000000011</v>
      </c>
      <c r="F410" s="6">
        <f t="shared" si="48"/>
        <v>7.91349999999999E-3</v>
      </c>
      <c r="G410" s="6">
        <f t="shared" si="44"/>
        <v>-128.73090086428422</v>
      </c>
      <c r="H410" s="7">
        <f t="shared" si="45"/>
        <v>1.1240500465201739E-14</v>
      </c>
      <c r="I410" s="8" t="str">
        <f t="shared" si="46"/>
        <v/>
      </c>
    </row>
    <row r="411" spans="1:9" x14ac:dyDescent="0.2">
      <c r="A411" s="5">
        <v>410</v>
      </c>
      <c r="B411" s="6">
        <v>0.45084099999999999</v>
      </c>
      <c r="C411" s="6">
        <f t="shared" si="42"/>
        <v>0.35984099999999997</v>
      </c>
      <c r="D411" s="6">
        <f t="shared" si="43"/>
        <v>147.53480999999999</v>
      </c>
      <c r="E411" s="6">
        <f t="shared" si="47"/>
        <v>9.844161500000002</v>
      </c>
      <c r="F411" s="6">
        <f t="shared" si="48"/>
        <v>7.8695000000000015E-3</v>
      </c>
      <c r="G411" s="6">
        <f t="shared" si="44"/>
        <v>-131.34307965607894</v>
      </c>
      <c r="H411" s="7">
        <f t="shared" si="45"/>
        <v>1.1532713455833879E-14</v>
      </c>
      <c r="I411" s="8" t="str">
        <f t="shared" si="46"/>
        <v/>
      </c>
    </row>
    <row r="412" spans="1:9" x14ac:dyDescent="0.2">
      <c r="A412" s="5">
        <v>411</v>
      </c>
      <c r="B412" s="6">
        <v>0.45885500000000001</v>
      </c>
      <c r="C412" s="6">
        <f t="shared" si="42"/>
        <v>0.36785500000000004</v>
      </c>
      <c r="D412" s="6">
        <f t="shared" si="43"/>
        <v>151.18840500000002</v>
      </c>
      <c r="E412" s="6">
        <f t="shared" si="47"/>
        <v>10.208009500000003</v>
      </c>
      <c r="F412" s="6">
        <f t="shared" si="48"/>
        <v>8.3840000000000026E-3</v>
      </c>
      <c r="G412" s="6">
        <f t="shared" si="44"/>
        <v>-134.04496867710719</v>
      </c>
      <c r="H412" s="7">
        <f t="shared" si="45"/>
        <v>1.1047670023397639E-14</v>
      </c>
      <c r="I412" s="8" t="str">
        <f t="shared" si="46"/>
        <v/>
      </c>
    </row>
    <row r="413" spans="1:9" x14ac:dyDescent="0.2">
      <c r="A413" s="5">
        <v>412</v>
      </c>
      <c r="B413" s="6">
        <v>0.467609</v>
      </c>
      <c r="C413" s="6">
        <f t="shared" si="42"/>
        <v>0.37660899999999997</v>
      </c>
      <c r="D413" s="6">
        <f t="shared" si="43"/>
        <v>155.16290799999999</v>
      </c>
      <c r="E413" s="6">
        <f t="shared" si="47"/>
        <v>10.580241500000003</v>
      </c>
      <c r="F413" s="6">
        <f t="shared" si="48"/>
        <v>8.1519999999999926E-3</v>
      </c>
      <c r="G413" s="6">
        <f t="shared" si="44"/>
        <v>-136.98759182835263</v>
      </c>
      <c r="H413" s="7">
        <f t="shared" si="45"/>
        <v>1.1611504804610748E-14</v>
      </c>
      <c r="I413" s="8" t="str">
        <f t="shared" si="46"/>
        <v/>
      </c>
    </row>
    <row r="414" spans="1:9" x14ac:dyDescent="0.2">
      <c r="A414" s="5">
        <v>413</v>
      </c>
      <c r="B414" s="6">
        <v>0.475159</v>
      </c>
      <c r="C414" s="6">
        <f t="shared" si="42"/>
        <v>0.38415900000000003</v>
      </c>
      <c r="D414" s="6">
        <f t="shared" si="43"/>
        <v>158.657667</v>
      </c>
      <c r="E414" s="6">
        <f t="shared" si="47"/>
        <v>10.960625500000003</v>
      </c>
      <c r="F414" s="6">
        <f t="shared" si="48"/>
        <v>7.0505000000000151E-3</v>
      </c>
      <c r="G414" s="6">
        <f t="shared" si="44"/>
        <v>-139.51794504881221</v>
      </c>
      <c r="H414" s="7">
        <f t="shared" si="45"/>
        <v>1.3673559983848252E-14</v>
      </c>
      <c r="I414" s="8" t="str">
        <f t="shared" si="46"/>
        <v/>
      </c>
    </row>
    <row r="415" spans="1:9" x14ac:dyDescent="0.2">
      <c r="A415" s="5">
        <v>414</v>
      </c>
      <c r="B415" s="6">
        <v>0.48171000000000003</v>
      </c>
      <c r="C415" s="6">
        <f t="shared" si="42"/>
        <v>0.39071</v>
      </c>
      <c r="D415" s="6">
        <f t="shared" si="43"/>
        <v>161.75394</v>
      </c>
      <c r="E415" s="6">
        <f t="shared" si="47"/>
        <v>11.348060000000002</v>
      </c>
      <c r="F415" s="6">
        <f t="shared" si="48"/>
        <v>7.5365000000000015E-3</v>
      </c>
      <c r="G415" s="6">
        <f t="shared" si="44"/>
        <v>-141.70693629347855</v>
      </c>
      <c r="H415" s="7">
        <f t="shared" si="45"/>
        <v>1.2992503765026652E-14</v>
      </c>
      <c r="I415" s="8" t="str">
        <f t="shared" si="46"/>
        <v/>
      </c>
    </row>
    <row r="416" spans="1:9" x14ac:dyDescent="0.2">
      <c r="A416" s="5">
        <v>415</v>
      </c>
      <c r="B416" s="6">
        <v>0.490232</v>
      </c>
      <c r="C416" s="6">
        <f t="shared" si="42"/>
        <v>0.39923200000000003</v>
      </c>
      <c r="D416" s="6">
        <f t="shared" si="43"/>
        <v>165.68128000000002</v>
      </c>
      <c r="E416" s="6">
        <f t="shared" si="47"/>
        <v>11.743031000000002</v>
      </c>
      <c r="F416" s="6">
        <f t="shared" si="48"/>
        <v>9.1304999999999858E-3</v>
      </c>
      <c r="G416" s="6">
        <f t="shared" si="44"/>
        <v>-144.54600754443968</v>
      </c>
      <c r="H416" s="7">
        <f t="shared" si="45"/>
        <v>1.0939135101107032E-14</v>
      </c>
      <c r="I416" s="8" t="str">
        <f t="shared" si="46"/>
        <v/>
      </c>
    </row>
    <row r="417" spans="1:9" x14ac:dyDescent="0.2">
      <c r="A417" s="5">
        <v>416</v>
      </c>
      <c r="B417" s="6">
        <v>0.499971</v>
      </c>
      <c r="C417" s="6">
        <f t="shared" si="42"/>
        <v>0.40897099999999997</v>
      </c>
      <c r="D417" s="6">
        <f t="shared" si="43"/>
        <v>170.131936</v>
      </c>
      <c r="E417" s="6">
        <f t="shared" si="47"/>
        <v>12.147132500000001</v>
      </c>
      <c r="F417" s="6">
        <f t="shared" si="48"/>
        <v>8.9710000000000067E-3</v>
      </c>
      <c r="G417" s="6">
        <f t="shared" si="44"/>
        <v>-147.78077862577155</v>
      </c>
      <c r="H417" s="7">
        <f t="shared" si="45"/>
        <v>1.1382785183694867E-14</v>
      </c>
      <c r="I417" s="8" t="str">
        <f t="shared" si="46"/>
        <v/>
      </c>
    </row>
    <row r="418" spans="1:9" x14ac:dyDescent="0.2">
      <c r="A418" s="5">
        <v>417</v>
      </c>
      <c r="B418" s="6">
        <v>0.50817400000000001</v>
      </c>
      <c r="C418" s="6">
        <f t="shared" si="42"/>
        <v>0.41717400000000004</v>
      </c>
      <c r="D418" s="6">
        <f t="shared" si="43"/>
        <v>173.96155800000003</v>
      </c>
      <c r="E418" s="6">
        <f t="shared" si="47"/>
        <v>12.560205000000002</v>
      </c>
      <c r="F418" s="6">
        <f t="shared" si="48"/>
        <v>7.6595000000000135E-3</v>
      </c>
      <c r="G418" s="6">
        <f t="shared" si="44"/>
        <v>-150.49717026384178</v>
      </c>
      <c r="H418" s="7">
        <f t="shared" si="45"/>
        <v>1.3576860627255312E-14</v>
      </c>
      <c r="I418" s="8">
        <f t="shared" si="46"/>
        <v>1.3576860627255312E-14</v>
      </c>
    </row>
    <row r="419" spans="1:9" x14ac:dyDescent="0.2">
      <c r="A419" s="5">
        <v>418</v>
      </c>
      <c r="B419" s="6">
        <v>0.51529000000000003</v>
      </c>
      <c r="C419" s="6">
        <f t="shared" si="42"/>
        <v>0.42429000000000006</v>
      </c>
      <c r="D419" s="6">
        <f t="shared" si="43"/>
        <v>177.35322000000002</v>
      </c>
      <c r="E419" s="6">
        <f t="shared" si="47"/>
        <v>12.980937000000001</v>
      </c>
      <c r="F419" s="6">
        <f t="shared" si="48"/>
        <v>7.9059999999999686E-3</v>
      </c>
      <c r="G419" s="6">
        <f t="shared" si="44"/>
        <v>-152.84649006739019</v>
      </c>
      <c r="H419" s="7">
        <f t="shared" si="45"/>
        <v>1.3358881771276742E-14</v>
      </c>
      <c r="I419" s="8">
        <f t="shared" si="46"/>
        <v>1.3358881771276742E-14</v>
      </c>
    </row>
    <row r="420" spans="1:9" x14ac:dyDescent="0.2">
      <c r="A420" s="5">
        <v>419</v>
      </c>
      <c r="B420" s="6">
        <v>0.52398599999999995</v>
      </c>
      <c r="C420" s="6">
        <f t="shared" si="42"/>
        <v>0.43298599999999998</v>
      </c>
      <c r="D420" s="6">
        <f t="shared" si="43"/>
        <v>181.421134</v>
      </c>
      <c r="E420" s="6">
        <f t="shared" si="47"/>
        <v>13.409575</v>
      </c>
      <c r="F420" s="6">
        <f t="shared" si="48"/>
        <v>9.3044999999999933E-3</v>
      </c>
      <c r="G420" s="6">
        <f t="shared" si="44"/>
        <v>-155.70874474356452</v>
      </c>
      <c r="H420" s="7">
        <f t="shared" si="45"/>
        <v>1.1563556043051608E-14</v>
      </c>
      <c r="I420" s="8">
        <f t="shared" si="46"/>
        <v>1.1563556043051608E-14</v>
      </c>
    </row>
    <row r="421" spans="1:9" x14ac:dyDescent="0.2">
      <c r="A421" s="5">
        <v>420</v>
      </c>
      <c r="B421" s="6">
        <v>0.53389900000000001</v>
      </c>
      <c r="C421" s="6">
        <f t="shared" si="42"/>
        <v>0.44289900000000004</v>
      </c>
      <c r="D421" s="6">
        <f t="shared" si="43"/>
        <v>186.01758000000001</v>
      </c>
      <c r="E421" s="6">
        <f t="shared" si="47"/>
        <v>13.8475175</v>
      </c>
      <c r="F421" s="6">
        <f t="shared" si="48"/>
        <v>9.2825000000000268E-3</v>
      </c>
      <c r="G421" s="6">
        <f t="shared" si="44"/>
        <v>-158.96165725010968</v>
      </c>
      <c r="H421" s="7">
        <f t="shared" si="45"/>
        <v>1.1833109138607558E-14</v>
      </c>
      <c r="I421" s="8">
        <f t="shared" si="46"/>
        <v>1.1833109138607558E-14</v>
      </c>
    </row>
    <row r="422" spans="1:9" x14ac:dyDescent="0.2">
      <c r="A422" s="5">
        <v>421</v>
      </c>
      <c r="B422" s="6">
        <v>0.54255100000000001</v>
      </c>
      <c r="C422" s="6">
        <f t="shared" si="42"/>
        <v>0.45155100000000004</v>
      </c>
      <c r="D422" s="6">
        <f t="shared" si="43"/>
        <v>190.10297100000003</v>
      </c>
      <c r="E422" s="6">
        <f t="shared" si="47"/>
        <v>14.2947425</v>
      </c>
      <c r="F422" s="6">
        <f t="shared" si="48"/>
        <v>9.187999999999974E-3</v>
      </c>
      <c r="G422" s="6">
        <f t="shared" si="44"/>
        <v>-161.79212549691979</v>
      </c>
      <c r="H422" s="7">
        <f t="shared" si="45"/>
        <v>1.216768169450902E-14</v>
      </c>
      <c r="I422" s="8">
        <f t="shared" si="46"/>
        <v>1.216768169450902E-14</v>
      </c>
    </row>
    <row r="423" spans="1:9" x14ac:dyDescent="0.2">
      <c r="A423" s="5">
        <v>422</v>
      </c>
      <c r="B423" s="6">
        <v>0.55227499999999996</v>
      </c>
      <c r="C423" s="6">
        <f t="shared" si="42"/>
        <v>0.46127499999999999</v>
      </c>
      <c r="D423" s="6">
        <f t="shared" si="43"/>
        <v>194.65805</v>
      </c>
      <c r="E423" s="6">
        <f t="shared" si="47"/>
        <v>14.751155499999999</v>
      </c>
      <c r="F423" s="6">
        <f t="shared" si="48"/>
        <v>9.1450000000000142E-3</v>
      </c>
      <c r="G423" s="6">
        <f t="shared" si="44"/>
        <v>-164.96357038642296</v>
      </c>
      <c r="H423" s="7">
        <f t="shared" si="45"/>
        <v>1.2464526464514098E-14</v>
      </c>
      <c r="I423" s="8">
        <f t="shared" si="46"/>
        <v>1.2464526464514098E-14</v>
      </c>
    </row>
    <row r="424" spans="1:9" x14ac:dyDescent="0.2">
      <c r="A424" s="5">
        <v>423</v>
      </c>
      <c r="B424" s="6">
        <v>0.56084100000000003</v>
      </c>
      <c r="C424" s="6">
        <f t="shared" si="42"/>
        <v>0.46984100000000006</v>
      </c>
      <c r="D424" s="6">
        <f t="shared" si="43"/>
        <v>198.74274300000002</v>
      </c>
      <c r="E424" s="6">
        <f t="shared" si="47"/>
        <v>15.216713499999999</v>
      </c>
      <c r="F424" s="6">
        <f t="shared" si="48"/>
        <v>8.8190000000000213E-3</v>
      </c>
      <c r="G424" s="6">
        <f t="shared" si="44"/>
        <v>-167.74877206674836</v>
      </c>
      <c r="H424" s="7">
        <f t="shared" si="45"/>
        <v>1.3143512827531525E-14</v>
      </c>
      <c r="I424" s="8">
        <f t="shared" si="46"/>
        <v>1.3143512827531525E-14</v>
      </c>
    </row>
    <row r="425" spans="1:9" x14ac:dyDescent="0.2">
      <c r="A425" s="5">
        <v>424</v>
      </c>
      <c r="B425" s="6">
        <v>0.569913</v>
      </c>
      <c r="C425" s="6">
        <f t="shared" si="42"/>
        <v>0.47891300000000003</v>
      </c>
      <c r="D425" s="6">
        <f t="shared" si="43"/>
        <v>203.05911200000003</v>
      </c>
      <c r="E425" s="6">
        <f t="shared" si="47"/>
        <v>15.6910905</v>
      </c>
      <c r="F425" s="6">
        <f t="shared" si="48"/>
        <v>9.2605000000000048E-3</v>
      </c>
      <c r="G425" s="6">
        <f t="shared" si="44"/>
        <v>-170.68942568476285</v>
      </c>
      <c r="H425" s="7">
        <f t="shared" si="45"/>
        <v>1.2736310176582814E-14</v>
      </c>
      <c r="I425" s="8">
        <f t="shared" si="46"/>
        <v>1.2736310176582814E-14</v>
      </c>
    </row>
    <row r="426" spans="1:9" x14ac:dyDescent="0.2">
      <c r="A426" s="5">
        <v>425</v>
      </c>
      <c r="B426" s="6">
        <v>0.57936200000000004</v>
      </c>
      <c r="C426" s="6">
        <f t="shared" si="42"/>
        <v>0.48836200000000007</v>
      </c>
      <c r="D426" s="6">
        <f t="shared" si="43"/>
        <v>207.55385000000004</v>
      </c>
      <c r="E426" s="6">
        <f t="shared" si="47"/>
        <v>16.174727999999998</v>
      </c>
      <c r="F426" s="6">
        <f t="shared" si="48"/>
        <v>9.1375000000000206E-3</v>
      </c>
      <c r="G426" s="6">
        <f t="shared" si="44"/>
        <v>-173.74283339073935</v>
      </c>
      <c r="H426" s="7">
        <f t="shared" si="45"/>
        <v>1.3138656420794565E-14</v>
      </c>
      <c r="I426" s="8">
        <f t="shared" si="46"/>
        <v>1.3138656420794565E-14</v>
      </c>
    </row>
    <row r="427" spans="1:9" x14ac:dyDescent="0.2">
      <c r="A427" s="5">
        <v>426</v>
      </c>
      <c r="B427" s="6">
        <v>0.58818800000000004</v>
      </c>
      <c r="C427" s="6">
        <f t="shared" si="42"/>
        <v>0.49718800000000007</v>
      </c>
      <c r="D427" s="6">
        <f t="shared" si="43"/>
        <v>211.80208800000003</v>
      </c>
      <c r="E427" s="6">
        <f t="shared" si="47"/>
        <v>16.667503</v>
      </c>
      <c r="F427" s="6">
        <f t="shared" si="48"/>
        <v>8.4204999999999974E-3</v>
      </c>
      <c r="G427" s="6">
        <f t="shared" si="44"/>
        <v>-176.58609506276272</v>
      </c>
      <c r="H427" s="7">
        <f t="shared" si="45"/>
        <v>1.4490723472179409E-14</v>
      </c>
      <c r="I427" s="8">
        <f t="shared" si="46"/>
        <v>1.4490723472179409E-14</v>
      </c>
    </row>
    <row r="428" spans="1:9" x14ac:dyDescent="0.2">
      <c r="A428" s="5">
        <v>427</v>
      </c>
      <c r="B428" s="6">
        <v>0.59620300000000004</v>
      </c>
      <c r="C428" s="6">
        <f t="shared" si="42"/>
        <v>0.50520300000000007</v>
      </c>
      <c r="D428" s="6">
        <f t="shared" si="43"/>
        <v>215.72168100000002</v>
      </c>
      <c r="E428" s="6">
        <f t="shared" si="47"/>
        <v>17.168698500000001</v>
      </c>
      <c r="F428" s="6">
        <f t="shared" si="48"/>
        <v>8.6089999999999778E-3</v>
      </c>
      <c r="G428" s="6">
        <f t="shared" si="44"/>
        <v>-179.16008122991283</v>
      </c>
      <c r="H428" s="7">
        <f t="shared" si="45"/>
        <v>1.4380036520421319E-14</v>
      </c>
      <c r="I428" s="8">
        <f t="shared" si="46"/>
        <v>1.4380036520421319E-14</v>
      </c>
    </row>
    <row r="429" spans="1:9" x14ac:dyDescent="0.2">
      <c r="A429" s="5">
        <v>428</v>
      </c>
      <c r="B429" s="6">
        <v>0.605406</v>
      </c>
      <c r="C429" s="6">
        <f t="shared" si="42"/>
        <v>0.51440600000000003</v>
      </c>
      <c r="D429" s="6">
        <f t="shared" si="43"/>
        <v>220.16576800000001</v>
      </c>
      <c r="E429" s="6">
        <f t="shared" si="47"/>
        <v>17.678503000000003</v>
      </c>
      <c r="F429" s="6">
        <f t="shared" si="48"/>
        <v>9.6809999999999952E-3</v>
      </c>
      <c r="G429" s="6">
        <f t="shared" si="44"/>
        <v>-182.1063859898982</v>
      </c>
      <c r="H429" s="7">
        <f t="shared" si="45"/>
        <v>1.299799607977471E-14</v>
      </c>
      <c r="I429" s="8">
        <f t="shared" si="46"/>
        <v>1.299799607977471E-14</v>
      </c>
    </row>
    <row r="430" spans="1:9" x14ac:dyDescent="0.2">
      <c r="A430" s="5">
        <v>429</v>
      </c>
      <c r="B430" s="6">
        <v>0.61556500000000003</v>
      </c>
      <c r="C430" s="6">
        <f t="shared" si="42"/>
        <v>0.52456500000000006</v>
      </c>
      <c r="D430" s="6">
        <f t="shared" si="43"/>
        <v>225.03838500000003</v>
      </c>
      <c r="E430" s="6">
        <f t="shared" si="47"/>
        <v>18.197988500000001</v>
      </c>
      <c r="F430" s="6">
        <f t="shared" si="48"/>
        <v>1.0253500000000026E-2</v>
      </c>
      <c r="G430" s="6">
        <f t="shared" si="44"/>
        <v>-185.3485914424345</v>
      </c>
      <c r="H430" s="7">
        <f t="shared" si="45"/>
        <v>1.2490752422391033E-14</v>
      </c>
      <c r="I430" s="8">
        <f t="shared" si="46"/>
        <v>1.2490752422391033E-14</v>
      </c>
    </row>
    <row r="431" spans="1:9" x14ac:dyDescent="0.2">
      <c r="A431" s="5">
        <v>430</v>
      </c>
      <c r="B431" s="6">
        <v>0.62591300000000005</v>
      </c>
      <c r="C431" s="6">
        <f t="shared" si="42"/>
        <v>0.53491300000000008</v>
      </c>
      <c r="D431" s="6">
        <f t="shared" si="43"/>
        <v>230.01259000000005</v>
      </c>
      <c r="E431" s="6">
        <f t="shared" si="47"/>
        <v>18.7277275</v>
      </c>
      <c r="F431" s="6">
        <f t="shared" si="48"/>
        <v>1.0210500000000011E-2</v>
      </c>
      <c r="G431" s="6">
        <f t="shared" si="44"/>
        <v>-188.64076751201276</v>
      </c>
      <c r="H431" s="7">
        <f t="shared" si="45"/>
        <v>1.276615141758064E-14</v>
      </c>
      <c r="I431" s="8">
        <f t="shared" si="46"/>
        <v>1.276615141758064E-14</v>
      </c>
    </row>
    <row r="432" spans="1:9" x14ac:dyDescent="0.2">
      <c r="A432" s="5">
        <v>431</v>
      </c>
      <c r="B432" s="6">
        <v>0.63598600000000005</v>
      </c>
      <c r="C432" s="6">
        <f t="shared" si="42"/>
        <v>0.54498600000000008</v>
      </c>
      <c r="D432" s="6">
        <f t="shared" si="43"/>
        <v>234.88896600000004</v>
      </c>
      <c r="E432" s="6">
        <f t="shared" si="47"/>
        <v>19.267676999999999</v>
      </c>
      <c r="F432" s="6">
        <f t="shared" si="48"/>
        <v>9.4274999999999776E-3</v>
      </c>
      <c r="G432" s="6">
        <f t="shared" si="44"/>
        <v>-191.8353803980643</v>
      </c>
      <c r="H432" s="7">
        <f t="shared" si="45"/>
        <v>1.4060592203693571E-14</v>
      </c>
      <c r="I432" s="8">
        <f t="shared" si="46"/>
        <v>1.4060592203693571E-14</v>
      </c>
    </row>
    <row r="433" spans="1:9" x14ac:dyDescent="0.2">
      <c r="A433" s="5">
        <v>432</v>
      </c>
      <c r="B433" s="6">
        <v>0.64476800000000001</v>
      </c>
      <c r="C433" s="6">
        <f t="shared" si="42"/>
        <v>0.55376800000000004</v>
      </c>
      <c r="D433" s="6">
        <f t="shared" si="43"/>
        <v>239.22777600000001</v>
      </c>
      <c r="E433" s="6">
        <f t="shared" si="47"/>
        <v>19.817053999999999</v>
      </c>
      <c r="F433" s="6">
        <f t="shared" si="48"/>
        <v>1.0231499999999949E-2</v>
      </c>
      <c r="G433" s="6">
        <f t="shared" si="44"/>
        <v>-194.61177564072335</v>
      </c>
      <c r="H433" s="7">
        <f t="shared" si="45"/>
        <v>1.3143204119865867E-14</v>
      </c>
      <c r="I433" s="8">
        <f t="shared" si="46"/>
        <v>1.3143204119865867E-14</v>
      </c>
    </row>
    <row r="434" spans="1:9" x14ac:dyDescent="0.2">
      <c r="A434" s="5">
        <v>433</v>
      </c>
      <c r="B434" s="6">
        <v>0.65644899999999995</v>
      </c>
      <c r="C434" s="6">
        <f t="shared" si="42"/>
        <v>0.56544899999999998</v>
      </c>
      <c r="D434" s="6">
        <f t="shared" si="43"/>
        <v>244.839417</v>
      </c>
      <c r="E434" s="6">
        <f t="shared" si="47"/>
        <v>20.376662499999998</v>
      </c>
      <c r="F434" s="6">
        <f t="shared" si="48"/>
        <v>1.1087000000000014E-2</v>
      </c>
      <c r="G434" s="6">
        <f t="shared" si="44"/>
        <v>-198.29299749081454</v>
      </c>
      <c r="H434" s="7">
        <f t="shared" si="45"/>
        <v>1.2358471956958436E-14</v>
      </c>
      <c r="I434" s="8">
        <f t="shared" si="46"/>
        <v>1.2358471956958436E-14</v>
      </c>
    </row>
    <row r="435" spans="1:9" x14ac:dyDescent="0.2">
      <c r="A435" s="5">
        <v>434</v>
      </c>
      <c r="B435" s="6">
        <v>0.66694200000000003</v>
      </c>
      <c r="C435" s="6">
        <f t="shared" si="42"/>
        <v>0.57594200000000007</v>
      </c>
      <c r="D435" s="6">
        <f t="shared" si="43"/>
        <v>249.95882800000004</v>
      </c>
      <c r="E435" s="6">
        <f t="shared" si="47"/>
        <v>20.947357999999998</v>
      </c>
      <c r="F435" s="6">
        <f t="shared" si="48"/>
        <v>1.0282500000000028E-2</v>
      </c>
      <c r="G435" s="6">
        <f t="shared" si="44"/>
        <v>-201.58933274807049</v>
      </c>
      <c r="H435" s="7">
        <f t="shared" si="45"/>
        <v>1.3546910929056122E-14</v>
      </c>
      <c r="I435" s="8">
        <f t="shared" si="46"/>
        <v>1.3546910929056122E-14</v>
      </c>
    </row>
    <row r="436" spans="1:9" x14ac:dyDescent="0.2">
      <c r="A436" s="5">
        <v>435</v>
      </c>
      <c r="B436" s="6">
        <v>0.677014</v>
      </c>
      <c r="C436" s="6">
        <f t="shared" si="42"/>
        <v>0.58601400000000003</v>
      </c>
      <c r="D436" s="6">
        <f t="shared" si="43"/>
        <v>254.91609000000003</v>
      </c>
      <c r="E436" s="6">
        <f t="shared" si="47"/>
        <v>21.528335999999996</v>
      </c>
      <c r="F436" s="6">
        <f t="shared" si="48"/>
        <v>1.0355000000000003E-2</v>
      </c>
      <c r="G436" s="6">
        <f t="shared" si="44"/>
        <v>-204.74334048800014</v>
      </c>
      <c r="H436" s="7">
        <f t="shared" si="45"/>
        <v>1.3662529970993794E-14</v>
      </c>
      <c r="I436" s="8">
        <f t="shared" si="46"/>
        <v>1.3662529970993794E-14</v>
      </c>
    </row>
    <row r="437" spans="1:9" x14ac:dyDescent="0.2">
      <c r="A437" s="5">
        <v>436</v>
      </c>
      <c r="B437" s="6">
        <v>0.68765200000000004</v>
      </c>
      <c r="C437" s="6">
        <f t="shared" si="42"/>
        <v>0.59665200000000007</v>
      </c>
      <c r="D437" s="6">
        <f t="shared" si="43"/>
        <v>260.14027200000004</v>
      </c>
      <c r="E437" s="6">
        <f t="shared" si="47"/>
        <v>22.119668999999995</v>
      </c>
      <c r="F437" s="6">
        <f t="shared" si="48"/>
        <v>9.8914999999999975E-3</v>
      </c>
      <c r="G437" s="6">
        <f t="shared" si="44"/>
        <v>-208.06395093293378</v>
      </c>
      <c r="H437" s="7">
        <f t="shared" si="45"/>
        <v>1.4534701995711921E-14</v>
      </c>
      <c r="I437" s="8">
        <f t="shared" si="46"/>
        <v>1.4534701995711921E-14</v>
      </c>
    </row>
    <row r="438" spans="1:9" x14ac:dyDescent="0.2">
      <c r="A438" s="5">
        <v>437</v>
      </c>
      <c r="B438" s="6">
        <v>0.696797</v>
      </c>
      <c r="C438" s="6">
        <f t="shared" si="42"/>
        <v>0.60579700000000003</v>
      </c>
      <c r="D438" s="6">
        <f t="shared" si="43"/>
        <v>264.73328900000001</v>
      </c>
      <c r="E438" s="6">
        <f t="shared" si="47"/>
        <v>22.720893499999995</v>
      </c>
      <c r="F438" s="6">
        <f t="shared" si="48"/>
        <v>1.0209999999999997E-2</v>
      </c>
      <c r="G438" s="6">
        <f t="shared" si="44"/>
        <v>-210.90938221784805</v>
      </c>
      <c r="H438" s="7">
        <f t="shared" si="45"/>
        <v>1.4273865614376163E-14</v>
      </c>
      <c r="I438" s="8">
        <f t="shared" si="46"/>
        <v>1.4273865614376163E-14</v>
      </c>
    </row>
    <row r="439" spans="1:9" x14ac:dyDescent="0.2">
      <c r="A439" s="5">
        <v>438</v>
      </c>
      <c r="B439" s="6">
        <v>0.70807200000000003</v>
      </c>
      <c r="C439" s="6">
        <f t="shared" si="42"/>
        <v>0.61707200000000006</v>
      </c>
      <c r="D439" s="6">
        <f t="shared" si="43"/>
        <v>270.27753600000005</v>
      </c>
      <c r="E439" s="6">
        <f t="shared" si="47"/>
        <v>23.332327999999997</v>
      </c>
      <c r="F439" s="6">
        <f t="shared" si="48"/>
        <v>1.1311499999999974E-2</v>
      </c>
      <c r="G439" s="6">
        <f t="shared" si="44"/>
        <v>-214.40627974244168</v>
      </c>
      <c r="H439" s="7">
        <f t="shared" si="45"/>
        <v>1.309751026691591E-14</v>
      </c>
      <c r="I439" s="8">
        <f t="shared" si="46"/>
        <v>1.309751026691591E-14</v>
      </c>
    </row>
    <row r="440" spans="1:9" x14ac:dyDescent="0.2">
      <c r="A440" s="5">
        <v>439</v>
      </c>
      <c r="B440" s="6">
        <v>0.71941999999999995</v>
      </c>
      <c r="C440" s="6">
        <f t="shared" si="42"/>
        <v>0.62841999999999998</v>
      </c>
      <c r="D440" s="6">
        <f t="shared" si="43"/>
        <v>275.87637999999998</v>
      </c>
      <c r="E440" s="6">
        <f t="shared" si="47"/>
        <v>23.955073999999996</v>
      </c>
      <c r="F440" s="6">
        <f t="shared" si="48"/>
        <v>1.1898999999999993E-2</v>
      </c>
      <c r="G440" s="6">
        <f t="shared" si="44"/>
        <v>-217.9144699339351</v>
      </c>
      <c r="H440" s="7">
        <f t="shared" si="45"/>
        <v>1.2654560043690884E-14</v>
      </c>
      <c r="I440" s="8">
        <f t="shared" si="46"/>
        <v>1.2654560043690884E-14</v>
      </c>
    </row>
    <row r="441" spans="1:9" x14ac:dyDescent="0.2">
      <c r="A441" s="5">
        <v>440</v>
      </c>
      <c r="B441" s="6">
        <v>0.73187000000000002</v>
      </c>
      <c r="C441" s="6">
        <f t="shared" si="42"/>
        <v>0.64087000000000005</v>
      </c>
      <c r="D441" s="6">
        <f t="shared" si="43"/>
        <v>281.9828</v>
      </c>
      <c r="E441" s="6">
        <f t="shared" si="47"/>
        <v>24.589718999999995</v>
      </c>
      <c r="F441" s="6">
        <f t="shared" si="48"/>
        <v>1.227550000000005E-2</v>
      </c>
      <c r="G441" s="6">
        <f t="shared" si="44"/>
        <v>-221.75088915177906</v>
      </c>
      <c r="H441" s="7">
        <f t="shared" si="45"/>
        <v>1.2482386488969205E-14</v>
      </c>
      <c r="I441" s="8">
        <f t="shared" si="46"/>
        <v>1.2482386488969205E-14</v>
      </c>
    </row>
    <row r="442" spans="1:9" x14ac:dyDescent="0.2">
      <c r="A442" s="5">
        <v>441</v>
      </c>
      <c r="B442" s="6">
        <v>0.74397100000000005</v>
      </c>
      <c r="C442" s="6">
        <f t="shared" si="42"/>
        <v>0.65297100000000008</v>
      </c>
      <c r="D442" s="6">
        <f t="shared" si="43"/>
        <v>287.96021100000002</v>
      </c>
      <c r="E442" s="6">
        <f t="shared" si="47"/>
        <v>25.236639499999995</v>
      </c>
      <c r="F442" s="6">
        <f t="shared" si="48"/>
        <v>1.1564999999999992E-2</v>
      </c>
      <c r="G442" s="6">
        <f t="shared" si="44"/>
        <v>-225.4676643730746</v>
      </c>
      <c r="H442" s="7">
        <f t="shared" si="45"/>
        <v>1.3471317594969069E-14</v>
      </c>
      <c r="I442" s="8">
        <f t="shared" si="46"/>
        <v>1.3471317594969069E-14</v>
      </c>
    </row>
    <row r="443" spans="1:9" x14ac:dyDescent="0.2">
      <c r="A443" s="5">
        <v>442</v>
      </c>
      <c r="B443" s="6">
        <v>0.755</v>
      </c>
      <c r="C443" s="6">
        <f t="shared" si="42"/>
        <v>0.66400000000000003</v>
      </c>
      <c r="D443" s="6">
        <f t="shared" si="43"/>
        <v>293.488</v>
      </c>
      <c r="E443" s="6">
        <f t="shared" si="47"/>
        <v>25.895124999999997</v>
      </c>
      <c r="F443" s="6">
        <f t="shared" si="48"/>
        <v>1.0847999999999969E-2</v>
      </c>
      <c r="G443" s="6">
        <f t="shared" si="44"/>
        <v>-228.84414995167708</v>
      </c>
      <c r="H443" s="7">
        <f t="shared" si="45"/>
        <v>1.457677950380417E-14</v>
      </c>
      <c r="I443" s="8">
        <f t="shared" si="46"/>
        <v>1.457677950380417E-14</v>
      </c>
    </row>
    <row r="444" spans="1:9" x14ac:dyDescent="0.2">
      <c r="A444" s="5">
        <v>443</v>
      </c>
      <c r="B444" s="6">
        <v>0.76566699999999999</v>
      </c>
      <c r="C444" s="6">
        <f t="shared" si="42"/>
        <v>0.67466700000000002</v>
      </c>
      <c r="D444" s="6">
        <f t="shared" si="43"/>
        <v>298.87748099999999</v>
      </c>
      <c r="E444" s="6">
        <f t="shared" si="47"/>
        <v>26.564458499999997</v>
      </c>
      <c r="F444" s="6">
        <f t="shared" si="48"/>
        <v>1.1797000000000002E-2</v>
      </c>
      <c r="G444" s="6">
        <f t="shared" si="44"/>
        <v>-232.09914363414626</v>
      </c>
      <c r="H444" s="7">
        <f t="shared" si="45"/>
        <v>1.3594818216879153E-14</v>
      </c>
      <c r="I444" s="8">
        <f t="shared" si="46"/>
        <v>1.3594818216879153E-14</v>
      </c>
    </row>
    <row r="445" spans="1:9" x14ac:dyDescent="0.2">
      <c r="A445" s="5">
        <v>444</v>
      </c>
      <c r="B445" s="6">
        <v>0.77859400000000001</v>
      </c>
      <c r="C445" s="6">
        <f t="shared" si="42"/>
        <v>0.68759400000000004</v>
      </c>
      <c r="D445" s="6">
        <f t="shared" si="43"/>
        <v>305.29173600000001</v>
      </c>
      <c r="E445" s="6">
        <f t="shared" si="47"/>
        <v>27.245588999999995</v>
      </c>
      <c r="F445" s="6">
        <f t="shared" si="48"/>
        <v>1.2064999999999992E-2</v>
      </c>
      <c r="G445" s="6">
        <f t="shared" si="44"/>
        <v>-236.03084055214376</v>
      </c>
      <c r="H445" s="7">
        <f t="shared" si="45"/>
        <v>1.3518013409041722E-14</v>
      </c>
      <c r="I445" s="8">
        <f t="shared" si="46"/>
        <v>1.3518013409041722E-14</v>
      </c>
    </row>
    <row r="446" spans="1:9" x14ac:dyDescent="0.2">
      <c r="A446" s="5">
        <v>445</v>
      </c>
      <c r="B446" s="6">
        <v>0.78979699999999997</v>
      </c>
      <c r="C446" s="6">
        <f t="shared" si="42"/>
        <v>0.698797</v>
      </c>
      <c r="D446" s="6">
        <f t="shared" si="43"/>
        <v>310.96466500000002</v>
      </c>
      <c r="E446" s="6">
        <f t="shared" si="47"/>
        <v>27.938784499999997</v>
      </c>
      <c r="F446" s="6">
        <f t="shared" si="48"/>
        <v>1.0659499999999988E-2</v>
      </c>
      <c r="G446" s="6">
        <f t="shared" si="44"/>
        <v>-239.42698655595945</v>
      </c>
      <c r="H446" s="7">
        <f t="shared" si="45"/>
        <v>1.5520571602689297E-14</v>
      </c>
      <c r="I446" s="8">
        <f t="shared" si="46"/>
        <v>1.5520571602689297E-14</v>
      </c>
    </row>
    <row r="447" spans="1:9" x14ac:dyDescent="0.2">
      <c r="A447" s="5">
        <v>446</v>
      </c>
      <c r="B447" s="6">
        <v>0.79991299999999999</v>
      </c>
      <c r="C447" s="6">
        <f t="shared" si="42"/>
        <v>0.70891300000000002</v>
      </c>
      <c r="D447" s="6">
        <f t="shared" si="43"/>
        <v>316.17519800000002</v>
      </c>
      <c r="E447" s="6">
        <f t="shared" si="47"/>
        <v>28.642639499999998</v>
      </c>
      <c r="F447" s="6">
        <f t="shared" si="48"/>
        <v>1.0478500000000002E-2</v>
      </c>
      <c r="G447" s="6">
        <f t="shared" si="44"/>
        <v>-242.48349672525339</v>
      </c>
      <c r="H447" s="7">
        <f t="shared" si="45"/>
        <v>1.5990222782191996E-14</v>
      </c>
      <c r="I447" s="8">
        <f t="shared" si="46"/>
        <v>1.5990222782191996E-14</v>
      </c>
    </row>
    <row r="448" spans="1:9" x14ac:dyDescent="0.2">
      <c r="A448" s="5">
        <v>447</v>
      </c>
      <c r="B448" s="6">
        <v>0.81075399999999997</v>
      </c>
      <c r="C448" s="6">
        <f t="shared" si="42"/>
        <v>0.719754</v>
      </c>
      <c r="D448" s="6">
        <f t="shared" si="43"/>
        <v>321.73003799999998</v>
      </c>
      <c r="E448" s="6">
        <f t="shared" si="47"/>
        <v>29.356972999999996</v>
      </c>
      <c r="F448" s="6">
        <f t="shared" si="48"/>
        <v>1.1601499999999987E-2</v>
      </c>
      <c r="G448" s="6">
        <f t="shared" si="44"/>
        <v>-245.74822183293583</v>
      </c>
      <c r="H448" s="7">
        <f t="shared" si="45"/>
        <v>1.4636852146969621E-14</v>
      </c>
      <c r="I448" s="8">
        <f t="shared" si="46"/>
        <v>1.4636852146969621E-14</v>
      </c>
    </row>
    <row r="449" spans="1:9" x14ac:dyDescent="0.2">
      <c r="A449" s="5">
        <v>448</v>
      </c>
      <c r="B449" s="6">
        <v>0.82311599999999996</v>
      </c>
      <c r="C449" s="6">
        <f t="shared" si="42"/>
        <v>0.73211599999999999</v>
      </c>
      <c r="D449" s="6">
        <f t="shared" si="43"/>
        <v>327.98796800000002</v>
      </c>
      <c r="E449" s="6">
        <f t="shared" si="47"/>
        <v>30.082907999999996</v>
      </c>
      <c r="F449" s="6">
        <f t="shared" si="48"/>
        <v>1.2521500000000019E-2</v>
      </c>
      <c r="G449" s="6">
        <f t="shared" si="44"/>
        <v>-249.45862819205121</v>
      </c>
      <c r="H449" s="7">
        <f t="shared" si="45"/>
        <v>1.3766185521436618E-14</v>
      </c>
      <c r="I449" s="8">
        <f t="shared" si="46"/>
        <v>1.3766185521436618E-14</v>
      </c>
    </row>
    <row r="450" spans="1:9" x14ac:dyDescent="0.2">
      <c r="A450" s="5">
        <v>449</v>
      </c>
      <c r="B450" s="6">
        <v>0.83579700000000001</v>
      </c>
      <c r="C450" s="6">
        <f t="shared" ref="C450:C513" si="49">B450-$B$2</f>
        <v>0.74479700000000004</v>
      </c>
      <c r="D450" s="6">
        <f t="shared" ref="D450:D513" si="50">A450*C450</f>
        <v>334.41385300000002</v>
      </c>
      <c r="E450" s="6">
        <f t="shared" si="47"/>
        <v>30.821364499999998</v>
      </c>
      <c r="F450" s="6">
        <f t="shared" si="48"/>
        <v>1.2108500000000022E-2</v>
      </c>
      <c r="G450" s="6">
        <f t="shared" ref="G450:G513" si="51">(A450-$L$5)*C450-E450</f>
        <v>-253.25210016405757</v>
      </c>
      <c r="H450" s="7">
        <f t="shared" ref="H450:H513" si="52">IF(ABS(F450)&lt;0.000000001,"",-(G450)/(2*$L$4*F450)*0.000000000001)</f>
        <v>1.4452206408418526E-14</v>
      </c>
      <c r="I450" s="8">
        <f t="shared" ref="I450:I513" si="53">IF(AND(B450&gt;=0.5,B450&lt;=2.5,ISNUMBER(H450),H450&gt;0),H450,"")</f>
        <v>1.4452206408418526E-14</v>
      </c>
    </row>
    <row r="451" spans="1:9" x14ac:dyDescent="0.2">
      <c r="A451" s="5">
        <v>450</v>
      </c>
      <c r="B451" s="6">
        <v>0.847333</v>
      </c>
      <c r="C451" s="6">
        <f t="shared" si="49"/>
        <v>0.75633300000000003</v>
      </c>
      <c r="D451" s="6">
        <f t="shared" si="50"/>
        <v>340.34985</v>
      </c>
      <c r="E451" s="6">
        <f t="shared" ref="E451:E514" si="54">E450+(C450+C451)/2*(A451-A450)</f>
        <v>31.5719295</v>
      </c>
      <c r="F451" s="6">
        <f t="shared" ref="F451:F514" si="55">(B452-B450)/(A452-A450)</f>
        <v>1.1738999999999999E-2</v>
      </c>
      <c r="G451" s="6">
        <f t="shared" si="51"/>
        <v>-256.69151382647107</v>
      </c>
      <c r="H451" s="7">
        <f t="shared" si="52"/>
        <v>1.5109561292509016E-14</v>
      </c>
      <c r="I451" s="8">
        <f t="shared" si="53"/>
        <v>1.5109561292509016E-14</v>
      </c>
    </row>
    <row r="452" spans="1:9" x14ac:dyDescent="0.2">
      <c r="A452" s="5">
        <v>451</v>
      </c>
      <c r="B452" s="6">
        <v>0.85927500000000001</v>
      </c>
      <c r="C452" s="6">
        <f t="shared" si="49"/>
        <v>0.76827500000000004</v>
      </c>
      <c r="D452" s="6">
        <f t="shared" si="50"/>
        <v>346.49202500000001</v>
      </c>
      <c r="E452" s="6">
        <f t="shared" si="54"/>
        <v>32.334233499999996</v>
      </c>
      <c r="F452" s="6">
        <f t="shared" si="55"/>
        <v>1.2275499999999995E-2</v>
      </c>
      <c r="G452" s="6">
        <f t="shared" si="51"/>
        <v>-260.24003281438206</v>
      </c>
      <c r="H452" s="7">
        <f t="shared" si="52"/>
        <v>1.4648945408592055E-14</v>
      </c>
      <c r="I452" s="8">
        <f t="shared" si="53"/>
        <v>1.4648945408592055E-14</v>
      </c>
    </row>
    <row r="453" spans="1:9" x14ac:dyDescent="0.2">
      <c r="A453" s="5">
        <v>452</v>
      </c>
      <c r="B453" s="6">
        <v>0.87188399999999999</v>
      </c>
      <c r="C453" s="6">
        <f t="shared" si="49"/>
        <v>0.78088400000000002</v>
      </c>
      <c r="D453" s="6">
        <f t="shared" si="50"/>
        <v>352.95956799999999</v>
      </c>
      <c r="E453" s="6">
        <f t="shared" si="54"/>
        <v>33.108812999999998</v>
      </c>
      <c r="F453" s="6">
        <f t="shared" si="55"/>
        <v>1.2318999999999969E-2</v>
      </c>
      <c r="G453" s="6">
        <f t="shared" si="51"/>
        <v>-263.97413926561057</v>
      </c>
      <c r="H453" s="7">
        <f t="shared" si="52"/>
        <v>1.4806669185932325E-14</v>
      </c>
      <c r="I453" s="8">
        <f t="shared" si="53"/>
        <v>1.4806669185932325E-14</v>
      </c>
    </row>
    <row r="454" spans="1:9" x14ac:dyDescent="0.2">
      <c r="A454" s="5">
        <v>453</v>
      </c>
      <c r="B454" s="6">
        <v>0.88391299999999995</v>
      </c>
      <c r="C454" s="6">
        <f t="shared" si="49"/>
        <v>0.79291299999999998</v>
      </c>
      <c r="D454" s="6">
        <f t="shared" si="50"/>
        <v>359.18958900000001</v>
      </c>
      <c r="E454" s="6">
        <f t="shared" si="54"/>
        <v>33.895711499999997</v>
      </c>
      <c r="F454" s="6">
        <f t="shared" si="55"/>
        <v>1.2174000000000018E-2</v>
      </c>
      <c r="G454" s="6">
        <f t="shared" si="51"/>
        <v>-267.5244519661282</v>
      </c>
      <c r="H454" s="7">
        <f t="shared" si="52"/>
        <v>1.5184539714841441E-14</v>
      </c>
      <c r="I454" s="8">
        <f t="shared" si="53"/>
        <v>1.5184539714841441E-14</v>
      </c>
    </row>
    <row r="455" spans="1:9" x14ac:dyDescent="0.2">
      <c r="A455" s="5">
        <v>454</v>
      </c>
      <c r="B455" s="6">
        <v>0.89623200000000003</v>
      </c>
      <c r="C455" s="6">
        <f t="shared" si="49"/>
        <v>0.80523200000000006</v>
      </c>
      <c r="D455" s="6">
        <f t="shared" si="50"/>
        <v>365.57532800000001</v>
      </c>
      <c r="E455" s="6">
        <f t="shared" si="54"/>
        <v>34.694783999999999</v>
      </c>
      <c r="F455" s="6">
        <f t="shared" si="55"/>
        <v>1.2478500000000003E-2</v>
      </c>
      <c r="G455" s="6">
        <f t="shared" si="51"/>
        <v>-271.1480380420013</v>
      </c>
      <c r="H455" s="7">
        <f t="shared" si="52"/>
        <v>1.5014660929457664E-14</v>
      </c>
      <c r="I455" s="8">
        <f t="shared" si="53"/>
        <v>1.5014660929457664E-14</v>
      </c>
    </row>
    <row r="456" spans="1:9" x14ac:dyDescent="0.2">
      <c r="A456" s="5">
        <v>455</v>
      </c>
      <c r="B456" s="6">
        <v>0.90886999999999996</v>
      </c>
      <c r="C456" s="6">
        <f t="shared" si="49"/>
        <v>0.81786999999999999</v>
      </c>
      <c r="D456" s="6">
        <f t="shared" si="50"/>
        <v>372.13085000000001</v>
      </c>
      <c r="E456" s="6">
        <f t="shared" si="54"/>
        <v>35.506335</v>
      </c>
      <c r="F456" s="6">
        <f t="shared" si="55"/>
        <v>1.2448999999999988E-2</v>
      </c>
      <c r="G456" s="6">
        <f t="shared" si="51"/>
        <v>-274.85281873076525</v>
      </c>
      <c r="H456" s="7">
        <f t="shared" si="52"/>
        <v>1.5255876853780422E-14</v>
      </c>
      <c r="I456" s="8">
        <f t="shared" si="53"/>
        <v>1.5255876853780422E-14</v>
      </c>
    </row>
    <row r="457" spans="1:9" x14ac:dyDescent="0.2">
      <c r="A457" s="5">
        <v>456</v>
      </c>
      <c r="B457" s="6">
        <v>0.92113</v>
      </c>
      <c r="C457" s="6">
        <f t="shared" si="49"/>
        <v>0.83013000000000003</v>
      </c>
      <c r="D457" s="6">
        <f t="shared" si="50"/>
        <v>378.53928000000002</v>
      </c>
      <c r="E457" s="6">
        <f t="shared" si="54"/>
        <v>36.330334999999998</v>
      </c>
      <c r="F457" s="6">
        <f t="shared" si="55"/>
        <v>1.1898500000000034E-2</v>
      </c>
      <c r="G457" s="6">
        <f t="shared" si="51"/>
        <v>-278.43453018544534</v>
      </c>
      <c r="H457" s="7">
        <f t="shared" si="52"/>
        <v>1.6169713489014228E-14</v>
      </c>
      <c r="I457" s="8">
        <f t="shared" si="53"/>
        <v>1.6169713489014228E-14</v>
      </c>
    </row>
    <row r="458" spans="1:9" x14ac:dyDescent="0.2">
      <c r="A458" s="5">
        <v>457</v>
      </c>
      <c r="B458" s="6">
        <v>0.93266700000000002</v>
      </c>
      <c r="C458" s="6">
        <f t="shared" si="49"/>
        <v>0.84166700000000005</v>
      </c>
      <c r="D458" s="6">
        <f t="shared" si="50"/>
        <v>384.641819</v>
      </c>
      <c r="E458" s="6">
        <f t="shared" si="54"/>
        <v>37.166233499999997</v>
      </c>
      <c r="F458" s="6">
        <f t="shared" si="55"/>
        <v>1.1862499999999998E-2</v>
      </c>
      <c r="G458" s="6">
        <f t="shared" si="51"/>
        <v>-281.79348299398072</v>
      </c>
      <c r="H458" s="7">
        <f t="shared" si="52"/>
        <v>1.6414443587820222E-14</v>
      </c>
      <c r="I458" s="8">
        <f t="shared" si="53"/>
        <v>1.6414443587820222E-14</v>
      </c>
    </row>
    <row r="459" spans="1:9" x14ac:dyDescent="0.2">
      <c r="A459" s="5">
        <v>458</v>
      </c>
      <c r="B459" s="6">
        <v>0.944855</v>
      </c>
      <c r="C459" s="6">
        <f t="shared" si="49"/>
        <v>0.85385500000000003</v>
      </c>
      <c r="D459" s="6">
        <f t="shared" si="50"/>
        <v>391.06558999999999</v>
      </c>
      <c r="E459" s="6">
        <f t="shared" si="54"/>
        <v>38.013994499999995</v>
      </c>
      <c r="F459" s="6">
        <f t="shared" si="55"/>
        <v>1.231850000000001E-2</v>
      </c>
      <c r="G459" s="6">
        <f t="shared" si="51"/>
        <v>-285.32978392788289</v>
      </c>
      <c r="H459" s="7">
        <f t="shared" si="52"/>
        <v>1.6005186009979477E-14</v>
      </c>
      <c r="I459" s="8">
        <f t="shared" si="53"/>
        <v>1.6005186009979477E-14</v>
      </c>
    </row>
    <row r="460" spans="1:9" x14ac:dyDescent="0.2">
      <c r="A460" s="5">
        <v>459</v>
      </c>
      <c r="B460" s="6">
        <v>0.95730400000000004</v>
      </c>
      <c r="C460" s="6">
        <f t="shared" si="49"/>
        <v>0.86630400000000007</v>
      </c>
      <c r="D460" s="6">
        <f t="shared" si="50"/>
        <v>397.63353600000005</v>
      </c>
      <c r="E460" s="6">
        <f t="shared" si="54"/>
        <v>38.874073999999993</v>
      </c>
      <c r="F460" s="6">
        <f t="shared" si="55"/>
        <v>1.2029000000000012E-2</v>
      </c>
      <c r="G460" s="6">
        <f t="shared" si="51"/>
        <v>-288.9293639996049</v>
      </c>
      <c r="H460" s="7">
        <f t="shared" si="52"/>
        <v>1.6597153203670902E-14</v>
      </c>
      <c r="I460" s="8">
        <f t="shared" si="53"/>
        <v>1.6597153203670902E-14</v>
      </c>
    </row>
    <row r="461" spans="1:9" x14ac:dyDescent="0.2">
      <c r="A461" s="5">
        <v>460</v>
      </c>
      <c r="B461" s="6">
        <v>0.96891300000000002</v>
      </c>
      <c r="C461" s="6">
        <f t="shared" si="49"/>
        <v>0.87791300000000005</v>
      </c>
      <c r="D461" s="6">
        <f t="shared" si="50"/>
        <v>403.83998000000003</v>
      </c>
      <c r="E461" s="6">
        <f t="shared" si="54"/>
        <v>39.746182499999996</v>
      </c>
      <c r="F461" s="6">
        <f t="shared" si="55"/>
        <v>1.184799999999997E-2</v>
      </c>
      <c r="G461" s="6">
        <f t="shared" si="51"/>
        <v>-292.27445232891819</v>
      </c>
      <c r="H461" s="7">
        <f t="shared" si="52"/>
        <v>1.7045794799874732E-14</v>
      </c>
      <c r="I461" s="8">
        <f t="shared" si="53"/>
        <v>1.7045794799874732E-14</v>
      </c>
    </row>
    <row r="462" spans="1:9" x14ac:dyDescent="0.2">
      <c r="A462" s="5">
        <v>461</v>
      </c>
      <c r="B462" s="6">
        <v>0.98099999999999998</v>
      </c>
      <c r="C462" s="6">
        <f t="shared" si="49"/>
        <v>0.89</v>
      </c>
      <c r="D462" s="6">
        <f t="shared" si="50"/>
        <v>410.29</v>
      </c>
      <c r="E462" s="6">
        <f t="shared" si="54"/>
        <v>40.630139</v>
      </c>
      <c r="F462" s="6">
        <f t="shared" si="55"/>
        <v>1.234799999999997E-2</v>
      </c>
      <c r="G462" s="6">
        <f t="shared" si="51"/>
        <v>-295.74518750450693</v>
      </c>
      <c r="H462" s="7">
        <f t="shared" si="52"/>
        <v>1.6549790925006152E-14</v>
      </c>
      <c r="I462" s="8">
        <f t="shared" si="53"/>
        <v>1.6549790925006152E-14</v>
      </c>
    </row>
    <row r="463" spans="1:9" x14ac:dyDescent="0.2">
      <c r="A463" s="5">
        <v>462</v>
      </c>
      <c r="B463" s="6">
        <v>0.99360899999999996</v>
      </c>
      <c r="C463" s="6">
        <f t="shared" si="49"/>
        <v>0.90260899999999999</v>
      </c>
      <c r="D463" s="6">
        <f t="shared" si="50"/>
        <v>417.005358</v>
      </c>
      <c r="E463" s="6">
        <f t="shared" si="54"/>
        <v>41.526443499999999</v>
      </c>
      <c r="F463" s="6">
        <f t="shared" si="55"/>
        <v>1.219549999999997E-2</v>
      </c>
      <c r="G463" s="6">
        <f t="shared" si="51"/>
        <v>-299.35320395573535</v>
      </c>
      <c r="H463" s="7">
        <f t="shared" si="52"/>
        <v>1.6961167628603373E-14</v>
      </c>
      <c r="I463" s="8">
        <f t="shared" si="53"/>
        <v>1.6961167628603373E-14</v>
      </c>
    </row>
    <row r="464" spans="1:9" x14ac:dyDescent="0.2">
      <c r="A464" s="5">
        <v>463</v>
      </c>
      <c r="B464" s="6">
        <v>1.0053909999999999</v>
      </c>
      <c r="C464" s="6">
        <f t="shared" si="49"/>
        <v>0.91439099999999995</v>
      </c>
      <c r="D464" s="6">
        <f t="shared" si="50"/>
        <v>423.36303299999997</v>
      </c>
      <c r="E464" s="6">
        <f t="shared" si="54"/>
        <v>42.434943499999996</v>
      </c>
      <c r="F464" s="6">
        <f t="shared" si="55"/>
        <v>1.2145000000000072E-2</v>
      </c>
      <c r="G464" s="6">
        <f t="shared" si="51"/>
        <v>-302.71279556413992</v>
      </c>
      <c r="H464" s="7">
        <f t="shared" si="52"/>
        <v>1.7222837573496254E-14</v>
      </c>
      <c r="I464" s="8">
        <f t="shared" si="53"/>
        <v>1.7222837573496254E-14</v>
      </c>
    </row>
    <row r="465" spans="1:9" x14ac:dyDescent="0.2">
      <c r="A465" s="5">
        <v>464</v>
      </c>
      <c r="B465" s="6">
        <v>1.0178990000000001</v>
      </c>
      <c r="C465" s="6">
        <f t="shared" si="49"/>
        <v>0.92689900000000014</v>
      </c>
      <c r="D465" s="6">
        <f t="shared" si="50"/>
        <v>430.08113600000007</v>
      </c>
      <c r="E465" s="6">
        <f t="shared" si="54"/>
        <v>43.355588499999996</v>
      </c>
      <c r="F465" s="6">
        <f t="shared" si="55"/>
        <v>1.3268500000000016E-2</v>
      </c>
      <c r="G465" s="6">
        <f t="shared" si="51"/>
        <v>-306.26689525705507</v>
      </c>
      <c r="H465" s="7">
        <f t="shared" si="52"/>
        <v>1.594959549979763E-14</v>
      </c>
      <c r="I465" s="8">
        <f t="shared" si="53"/>
        <v>1.594959549979763E-14</v>
      </c>
    </row>
    <row r="466" spans="1:9" x14ac:dyDescent="0.2">
      <c r="A466" s="5">
        <v>465</v>
      </c>
      <c r="B466" s="6">
        <v>1.031928</v>
      </c>
      <c r="C466" s="6">
        <f t="shared" si="49"/>
        <v>0.94092799999999999</v>
      </c>
      <c r="D466" s="6">
        <f t="shared" si="50"/>
        <v>437.53152</v>
      </c>
      <c r="E466" s="6">
        <f t="shared" si="54"/>
        <v>44.289501999999999</v>
      </c>
      <c r="F466" s="6">
        <f t="shared" si="55"/>
        <v>1.2861999999999929E-2</v>
      </c>
      <c r="G466" s="6">
        <f t="shared" si="51"/>
        <v>-310.23915220140304</v>
      </c>
      <c r="H466" s="7">
        <f t="shared" si="52"/>
        <v>1.6667080991823651E-14</v>
      </c>
      <c r="I466" s="8">
        <f t="shared" si="53"/>
        <v>1.6667080991823651E-14</v>
      </c>
    </row>
    <row r="467" spans="1:9" x14ac:dyDescent="0.2">
      <c r="A467" s="5">
        <v>466</v>
      </c>
      <c r="B467" s="6">
        <v>1.043623</v>
      </c>
      <c r="C467" s="6">
        <f t="shared" si="49"/>
        <v>0.952623</v>
      </c>
      <c r="D467" s="6">
        <f t="shared" si="50"/>
        <v>443.92231800000002</v>
      </c>
      <c r="E467" s="6">
        <f t="shared" si="54"/>
        <v>45.2362775</v>
      </c>
      <c r="F467" s="6">
        <f t="shared" si="55"/>
        <v>1.1709999999999998E-2</v>
      </c>
      <c r="G467" s="6">
        <f t="shared" si="51"/>
        <v>-313.53885109720102</v>
      </c>
      <c r="H467" s="7">
        <f t="shared" si="52"/>
        <v>1.8501456276427018E-14</v>
      </c>
      <c r="I467" s="8">
        <f t="shared" si="53"/>
        <v>1.8501456276427018E-14</v>
      </c>
    </row>
    <row r="468" spans="1:9" x14ac:dyDescent="0.2">
      <c r="A468" s="5">
        <v>467</v>
      </c>
      <c r="B468" s="6">
        <v>1.055348</v>
      </c>
      <c r="C468" s="6">
        <f t="shared" si="49"/>
        <v>0.96434799999999998</v>
      </c>
      <c r="D468" s="6">
        <f t="shared" si="50"/>
        <v>450.35051599999997</v>
      </c>
      <c r="E468" s="6">
        <f t="shared" si="54"/>
        <v>46.194763000000002</v>
      </c>
      <c r="F468" s="6">
        <f t="shared" si="55"/>
        <v>1.2051000000000034E-2</v>
      </c>
      <c r="G468" s="6">
        <f t="shared" si="51"/>
        <v>-316.83528937665648</v>
      </c>
      <c r="H468" s="7">
        <f t="shared" si="52"/>
        <v>1.8166945251467861E-14</v>
      </c>
      <c r="I468" s="8">
        <f t="shared" si="53"/>
        <v>1.8166945251467861E-14</v>
      </c>
    </row>
    <row r="469" spans="1:9" x14ac:dyDescent="0.2">
      <c r="A469" s="5">
        <v>468</v>
      </c>
      <c r="B469" s="6">
        <v>1.067725</v>
      </c>
      <c r="C469" s="6">
        <f t="shared" si="49"/>
        <v>0.97672500000000007</v>
      </c>
      <c r="D469" s="6">
        <f t="shared" si="50"/>
        <v>457.10730000000001</v>
      </c>
      <c r="E469" s="6">
        <f t="shared" si="54"/>
        <v>47.165299500000003</v>
      </c>
      <c r="F469" s="6">
        <f t="shared" si="55"/>
        <v>1.2543500000000041E-2</v>
      </c>
      <c r="G469" s="6">
        <f t="shared" si="51"/>
        <v>-320.30265792760059</v>
      </c>
      <c r="H469" s="7">
        <f t="shared" si="52"/>
        <v>1.7644658386911919E-14</v>
      </c>
      <c r="I469" s="8">
        <f t="shared" si="53"/>
        <v>1.7644658386911919E-14</v>
      </c>
    </row>
    <row r="470" spans="1:9" x14ac:dyDescent="0.2">
      <c r="A470" s="5">
        <v>469</v>
      </c>
      <c r="B470" s="6">
        <v>1.080435</v>
      </c>
      <c r="C470" s="6">
        <f t="shared" si="49"/>
        <v>0.98943500000000006</v>
      </c>
      <c r="D470" s="6">
        <f t="shared" si="50"/>
        <v>464.04501500000003</v>
      </c>
      <c r="E470" s="6">
        <f t="shared" si="54"/>
        <v>48.148379500000004</v>
      </c>
      <c r="F470" s="6">
        <f t="shared" si="55"/>
        <v>1.2245999999999979E-2</v>
      </c>
      <c r="G470" s="6">
        <f t="shared" si="51"/>
        <v>-323.85060513714245</v>
      </c>
      <c r="H470" s="7">
        <f t="shared" si="52"/>
        <v>1.8273507000962884E-14</v>
      </c>
      <c r="I470" s="8">
        <f t="shared" si="53"/>
        <v>1.8273507000962884E-14</v>
      </c>
    </row>
    <row r="471" spans="1:9" x14ac:dyDescent="0.2">
      <c r="A471" s="5">
        <v>470</v>
      </c>
      <c r="B471" s="6">
        <v>1.092217</v>
      </c>
      <c r="C471" s="6">
        <f t="shared" si="49"/>
        <v>1.001217</v>
      </c>
      <c r="D471" s="6">
        <f t="shared" si="50"/>
        <v>470.57199000000003</v>
      </c>
      <c r="E471" s="6">
        <f t="shared" si="54"/>
        <v>49.143705500000003</v>
      </c>
      <c r="F471" s="6">
        <f t="shared" si="55"/>
        <v>1.2861999999999929E-2</v>
      </c>
      <c r="G471" s="6">
        <f t="shared" si="51"/>
        <v>-327.12772274554709</v>
      </c>
      <c r="H471" s="7">
        <f t="shared" si="52"/>
        <v>1.7574391275190595E-14</v>
      </c>
      <c r="I471" s="8">
        <f t="shared" si="53"/>
        <v>1.7574391275190595E-14</v>
      </c>
    </row>
    <row r="472" spans="1:9" x14ac:dyDescent="0.2">
      <c r="A472" s="5">
        <v>471</v>
      </c>
      <c r="B472" s="6">
        <v>1.1061589999999999</v>
      </c>
      <c r="C472" s="6">
        <f t="shared" si="49"/>
        <v>1.0151589999999999</v>
      </c>
      <c r="D472" s="6">
        <f t="shared" si="50"/>
        <v>478.13988899999998</v>
      </c>
      <c r="E472" s="6">
        <f t="shared" si="54"/>
        <v>50.1518935</v>
      </c>
      <c r="F472" s="6">
        <f t="shared" si="55"/>
        <v>1.4167000000000041E-2</v>
      </c>
      <c r="G472" s="6">
        <f t="shared" si="51"/>
        <v>-330.99169397728849</v>
      </c>
      <c r="H472" s="7">
        <f t="shared" si="52"/>
        <v>1.6143981373557358E-14</v>
      </c>
      <c r="I472" s="8">
        <f t="shared" si="53"/>
        <v>1.6143981373557358E-14</v>
      </c>
    </row>
    <row r="473" spans="1:9" x14ac:dyDescent="0.2">
      <c r="A473" s="5">
        <v>472</v>
      </c>
      <c r="B473" s="6">
        <v>1.1205510000000001</v>
      </c>
      <c r="C473" s="6">
        <f t="shared" si="49"/>
        <v>1.0295510000000001</v>
      </c>
      <c r="D473" s="6">
        <f t="shared" si="50"/>
        <v>485.94807200000002</v>
      </c>
      <c r="E473" s="6">
        <f t="shared" si="54"/>
        <v>51.174248499999997</v>
      </c>
      <c r="F473" s="6">
        <f t="shared" si="55"/>
        <v>1.2775500000000051E-2</v>
      </c>
      <c r="G473" s="6">
        <f t="shared" si="51"/>
        <v>-334.96598896389168</v>
      </c>
      <c r="H473" s="7">
        <f t="shared" si="52"/>
        <v>1.8117332410688346E-14</v>
      </c>
      <c r="I473" s="8">
        <f t="shared" si="53"/>
        <v>1.8117332410688346E-14</v>
      </c>
    </row>
    <row r="474" spans="1:9" x14ac:dyDescent="0.2">
      <c r="A474" s="5">
        <v>473</v>
      </c>
      <c r="B474" s="6">
        <v>1.13171</v>
      </c>
      <c r="C474" s="6">
        <f t="shared" si="49"/>
        <v>1.04071</v>
      </c>
      <c r="D474" s="6">
        <f t="shared" si="50"/>
        <v>492.25583</v>
      </c>
      <c r="E474" s="6">
        <f t="shared" si="54"/>
        <v>52.209378999999998</v>
      </c>
      <c r="F474" s="6">
        <f t="shared" si="55"/>
        <v>1.1282499999999973E-2</v>
      </c>
      <c r="G474" s="6">
        <f t="shared" si="51"/>
        <v>-338.03634453834314</v>
      </c>
      <c r="H474" s="7">
        <f t="shared" si="52"/>
        <v>2.0702819735575263E-14</v>
      </c>
      <c r="I474" s="8">
        <f t="shared" si="53"/>
        <v>2.0702819735575263E-14</v>
      </c>
    </row>
    <row r="475" spans="1:9" x14ac:dyDescent="0.2">
      <c r="A475" s="5">
        <v>474</v>
      </c>
      <c r="B475" s="6">
        <v>1.143116</v>
      </c>
      <c r="C475" s="6">
        <f t="shared" si="49"/>
        <v>1.0521160000000001</v>
      </c>
      <c r="D475" s="6">
        <f t="shared" si="50"/>
        <v>498.70298400000001</v>
      </c>
      <c r="E475" s="6">
        <f t="shared" si="54"/>
        <v>53.255792</v>
      </c>
      <c r="F475" s="6">
        <f t="shared" si="55"/>
        <v>1.1920500000000001E-2</v>
      </c>
      <c r="G475" s="6">
        <f t="shared" si="51"/>
        <v>-341.16325520490761</v>
      </c>
      <c r="H475" s="7">
        <f t="shared" si="52"/>
        <v>1.9776035073625644E-14</v>
      </c>
      <c r="I475" s="8">
        <f t="shared" si="53"/>
        <v>1.9776035073625644E-14</v>
      </c>
    </row>
    <row r="476" spans="1:9" x14ac:dyDescent="0.2">
      <c r="A476" s="5">
        <v>475</v>
      </c>
      <c r="B476" s="6">
        <v>1.155551</v>
      </c>
      <c r="C476" s="6">
        <f t="shared" si="49"/>
        <v>1.064551</v>
      </c>
      <c r="D476" s="6">
        <f t="shared" si="50"/>
        <v>505.66172499999999</v>
      </c>
      <c r="E476" s="6">
        <f t="shared" si="54"/>
        <v>54.314125500000003</v>
      </c>
      <c r="F476" s="6">
        <f t="shared" si="55"/>
        <v>1.2506999999999935E-2</v>
      </c>
      <c r="G476" s="6">
        <f t="shared" si="51"/>
        <v>-344.55982723092285</v>
      </c>
      <c r="H476" s="7">
        <f t="shared" si="52"/>
        <v>1.9036317397521324E-14</v>
      </c>
      <c r="I476" s="8">
        <f t="shared" si="53"/>
        <v>1.9036317397521324E-14</v>
      </c>
    </row>
    <row r="477" spans="1:9" x14ac:dyDescent="0.2">
      <c r="A477" s="5">
        <v>476</v>
      </c>
      <c r="B477" s="6">
        <v>1.1681299999999999</v>
      </c>
      <c r="C477" s="6">
        <f t="shared" si="49"/>
        <v>1.0771299999999999</v>
      </c>
      <c r="D477" s="6">
        <f t="shared" si="50"/>
        <v>512.71388000000002</v>
      </c>
      <c r="E477" s="6">
        <f t="shared" si="54"/>
        <v>55.384966000000006</v>
      </c>
      <c r="F477" s="6">
        <f t="shared" si="55"/>
        <v>1.2166499999999969E-2</v>
      </c>
      <c r="G477" s="6">
        <f t="shared" si="51"/>
        <v>-347.98315329849385</v>
      </c>
      <c r="H477" s="7">
        <f t="shared" si="52"/>
        <v>1.9763506682131949E-14</v>
      </c>
      <c r="I477" s="8">
        <f t="shared" si="53"/>
        <v>1.9763506682131949E-14</v>
      </c>
    </row>
    <row r="478" spans="1:9" x14ac:dyDescent="0.2">
      <c r="A478" s="5">
        <v>477</v>
      </c>
      <c r="B478" s="6">
        <v>1.1798839999999999</v>
      </c>
      <c r="C478" s="6">
        <f t="shared" si="49"/>
        <v>1.088884</v>
      </c>
      <c r="D478" s="6">
        <f t="shared" si="50"/>
        <v>519.39766799999995</v>
      </c>
      <c r="E478" s="6">
        <f t="shared" si="54"/>
        <v>56.467973000000008</v>
      </c>
      <c r="F478" s="6">
        <f t="shared" si="55"/>
        <v>1.2181500000000067E-2</v>
      </c>
      <c r="G478" s="6">
        <f t="shared" si="51"/>
        <v>-351.17020481548485</v>
      </c>
      <c r="H478" s="7">
        <f t="shared" si="52"/>
        <v>1.9919954289099574E-14</v>
      </c>
      <c r="I478" s="8">
        <f t="shared" si="53"/>
        <v>1.9919954289099574E-14</v>
      </c>
    </row>
    <row r="479" spans="1:9" x14ac:dyDescent="0.2">
      <c r="A479" s="5">
        <v>478</v>
      </c>
      <c r="B479" s="6">
        <v>1.192493</v>
      </c>
      <c r="C479" s="6">
        <f t="shared" si="49"/>
        <v>1.1014930000000001</v>
      </c>
      <c r="D479" s="6">
        <f t="shared" si="50"/>
        <v>526.51365399999997</v>
      </c>
      <c r="E479" s="6">
        <f t="shared" si="54"/>
        <v>57.563161500000007</v>
      </c>
      <c r="F479" s="6">
        <f t="shared" si="55"/>
        <v>1.2681000000000053E-2</v>
      </c>
      <c r="G479" s="6">
        <f t="shared" si="51"/>
        <v>-354.57647726671337</v>
      </c>
      <c r="H479" s="7">
        <f t="shared" si="52"/>
        <v>1.9320922771094446E-14</v>
      </c>
      <c r="I479" s="8">
        <f t="shared" si="53"/>
        <v>1.9320922771094446E-14</v>
      </c>
    </row>
    <row r="480" spans="1:9" x14ac:dyDescent="0.2">
      <c r="A480" s="5">
        <v>479</v>
      </c>
      <c r="B480" s="6">
        <v>1.205246</v>
      </c>
      <c r="C480" s="6">
        <f t="shared" si="49"/>
        <v>1.1142460000000001</v>
      </c>
      <c r="D480" s="6">
        <f t="shared" si="50"/>
        <v>533.72383400000001</v>
      </c>
      <c r="E480" s="6">
        <f t="shared" si="54"/>
        <v>58.671031000000006</v>
      </c>
      <c r="F480" s="6">
        <f t="shared" si="55"/>
        <v>1.2217499999999992E-2</v>
      </c>
      <c r="G480" s="6">
        <f t="shared" si="51"/>
        <v>-358.00889775949759</v>
      </c>
      <c r="H480" s="7">
        <f t="shared" si="52"/>
        <v>2.0248036682620241E-14</v>
      </c>
      <c r="I480" s="8">
        <f t="shared" si="53"/>
        <v>2.0248036682620241E-14</v>
      </c>
    </row>
    <row r="481" spans="1:9" x14ac:dyDescent="0.2">
      <c r="A481" s="5">
        <v>480</v>
      </c>
      <c r="B481" s="6">
        <v>1.216928</v>
      </c>
      <c r="C481" s="6">
        <f t="shared" si="49"/>
        <v>1.125928</v>
      </c>
      <c r="D481" s="6">
        <f t="shared" si="50"/>
        <v>540.44543999999996</v>
      </c>
      <c r="E481" s="6">
        <f t="shared" si="54"/>
        <v>59.791118000000004</v>
      </c>
      <c r="F481" s="6">
        <f t="shared" si="55"/>
        <v>1.3688499999999992E-2</v>
      </c>
      <c r="G481" s="6">
        <f t="shared" si="51"/>
        <v>-361.1413807557106</v>
      </c>
      <c r="H481" s="7">
        <f t="shared" si="52"/>
        <v>1.8230259051006363E-14</v>
      </c>
      <c r="I481" s="8">
        <f t="shared" si="53"/>
        <v>1.8230259051006363E-14</v>
      </c>
    </row>
    <row r="482" spans="1:9" x14ac:dyDescent="0.2">
      <c r="A482" s="5">
        <v>481</v>
      </c>
      <c r="B482" s="6">
        <v>1.232623</v>
      </c>
      <c r="C482" s="6">
        <f t="shared" si="49"/>
        <v>1.1416230000000001</v>
      </c>
      <c r="D482" s="6">
        <f t="shared" si="50"/>
        <v>549.12066300000004</v>
      </c>
      <c r="E482" s="6">
        <f t="shared" si="54"/>
        <v>60.924893500000003</v>
      </c>
      <c r="F482" s="6">
        <f t="shared" si="55"/>
        <v>1.4260500000000009E-2</v>
      </c>
      <c r="G482" s="6">
        <f t="shared" si="51"/>
        <v>-365.33423913916931</v>
      </c>
      <c r="H482" s="7">
        <f t="shared" si="52"/>
        <v>1.7702192919246135E-14</v>
      </c>
      <c r="I482" s="8">
        <f t="shared" si="53"/>
        <v>1.7702192919246135E-14</v>
      </c>
    </row>
    <row r="483" spans="1:9" x14ac:dyDescent="0.2">
      <c r="A483" s="5">
        <v>482</v>
      </c>
      <c r="B483" s="6">
        <v>1.245449</v>
      </c>
      <c r="C483" s="6">
        <f t="shared" si="49"/>
        <v>1.1544490000000001</v>
      </c>
      <c r="D483" s="6">
        <f t="shared" si="50"/>
        <v>556.44441800000004</v>
      </c>
      <c r="E483" s="6">
        <f t="shared" si="54"/>
        <v>62.072929500000001</v>
      </c>
      <c r="F483" s="6">
        <f t="shared" si="55"/>
        <v>1.3615999999999961E-2</v>
      </c>
      <c r="G483" s="6">
        <f t="shared" si="51"/>
        <v>-368.74782929885339</v>
      </c>
      <c r="H483" s="7">
        <f t="shared" si="52"/>
        <v>1.8713342910706295E-14</v>
      </c>
      <c r="I483" s="8">
        <f t="shared" si="53"/>
        <v>1.8713342910706295E-14</v>
      </c>
    </row>
    <row r="484" spans="1:9" x14ac:dyDescent="0.2">
      <c r="A484" s="5">
        <v>483</v>
      </c>
      <c r="B484" s="6">
        <v>1.2598549999999999</v>
      </c>
      <c r="C484" s="6">
        <f t="shared" si="49"/>
        <v>1.168855</v>
      </c>
      <c r="D484" s="6">
        <f t="shared" si="50"/>
        <v>564.55696499999999</v>
      </c>
      <c r="E484" s="6">
        <f t="shared" si="54"/>
        <v>63.234581500000004</v>
      </c>
      <c r="F484" s="6">
        <f t="shared" si="55"/>
        <v>1.4304499999999942E-2</v>
      </c>
      <c r="G484" s="6">
        <f t="shared" si="51"/>
        <v>-372.56752433116338</v>
      </c>
      <c r="H484" s="7">
        <f t="shared" si="52"/>
        <v>1.7997150981935225E-14</v>
      </c>
      <c r="I484" s="8">
        <f t="shared" si="53"/>
        <v>1.7997150981935225E-14</v>
      </c>
    </row>
    <row r="485" spans="1:9" x14ac:dyDescent="0.2">
      <c r="A485" s="5">
        <v>484</v>
      </c>
      <c r="B485" s="6">
        <v>1.2740579999999999</v>
      </c>
      <c r="C485" s="6">
        <f t="shared" si="49"/>
        <v>1.1830579999999999</v>
      </c>
      <c r="D485" s="6">
        <f t="shared" si="50"/>
        <v>572.60007199999995</v>
      </c>
      <c r="E485" s="6">
        <f t="shared" si="54"/>
        <v>64.410538000000003</v>
      </c>
      <c r="F485" s="6">
        <f t="shared" si="55"/>
        <v>1.278250000000003E-2</v>
      </c>
      <c r="G485" s="6">
        <f t="shared" si="51"/>
        <v>-376.31919170072467</v>
      </c>
      <c r="H485" s="7">
        <f t="shared" si="52"/>
        <v>2.0342860079760907E-14</v>
      </c>
      <c r="I485" s="8">
        <f t="shared" si="53"/>
        <v>2.0342860079760907E-14</v>
      </c>
    </row>
    <row r="486" spans="1:9" x14ac:dyDescent="0.2">
      <c r="A486" s="5">
        <v>485</v>
      </c>
      <c r="B486" s="6">
        <v>1.28542</v>
      </c>
      <c r="C486" s="6">
        <f t="shared" si="49"/>
        <v>1.19442</v>
      </c>
      <c r="D486" s="6">
        <f t="shared" si="50"/>
        <v>579.29370000000006</v>
      </c>
      <c r="E486" s="6">
        <f t="shared" si="54"/>
        <v>65.599277000000001</v>
      </c>
      <c r="F486" s="6">
        <f t="shared" si="55"/>
        <v>1.1884000000000006E-2</v>
      </c>
      <c r="G486" s="6">
        <f t="shared" si="51"/>
        <v>-379.30905793792488</v>
      </c>
      <c r="H486" s="7">
        <f t="shared" si="52"/>
        <v>2.2054743784648592E-14</v>
      </c>
      <c r="I486" s="8">
        <f t="shared" si="53"/>
        <v>2.2054743784648592E-14</v>
      </c>
    </row>
    <row r="487" spans="1:9" x14ac:dyDescent="0.2">
      <c r="A487" s="5">
        <v>486</v>
      </c>
      <c r="B487" s="6">
        <v>1.2978259999999999</v>
      </c>
      <c r="C487" s="6">
        <f t="shared" si="49"/>
        <v>1.206826</v>
      </c>
      <c r="D487" s="6">
        <f t="shared" si="50"/>
        <v>586.51743599999998</v>
      </c>
      <c r="E487" s="6">
        <f t="shared" si="54"/>
        <v>66.799899999999994</v>
      </c>
      <c r="F487" s="6">
        <f t="shared" si="55"/>
        <v>1.2746499999999994E-2</v>
      </c>
      <c r="G487" s="6">
        <f t="shared" si="51"/>
        <v>-382.56124272640454</v>
      </c>
      <c r="H487" s="7">
        <f t="shared" si="52"/>
        <v>2.0738696949576392E-14</v>
      </c>
      <c r="I487" s="8">
        <f t="shared" si="53"/>
        <v>2.0738696949576392E-14</v>
      </c>
    </row>
    <row r="488" spans="1:9" x14ac:dyDescent="0.2">
      <c r="A488" s="5">
        <v>487</v>
      </c>
      <c r="B488" s="6">
        <v>1.310913</v>
      </c>
      <c r="C488" s="6">
        <f t="shared" si="49"/>
        <v>1.219913</v>
      </c>
      <c r="D488" s="6">
        <f t="shared" si="50"/>
        <v>594.09763099999998</v>
      </c>
      <c r="E488" s="6">
        <f t="shared" si="54"/>
        <v>68.013269499999993</v>
      </c>
      <c r="F488" s="6">
        <f t="shared" si="55"/>
        <v>1.1993000000000031E-2</v>
      </c>
      <c r="G488" s="6">
        <f t="shared" si="51"/>
        <v>-385.97886202390845</v>
      </c>
      <c r="H488" s="7">
        <f t="shared" si="52"/>
        <v>2.2238584149667009E-14</v>
      </c>
      <c r="I488" s="8">
        <f t="shared" si="53"/>
        <v>2.2238584149667009E-14</v>
      </c>
    </row>
    <row r="489" spans="1:9" x14ac:dyDescent="0.2">
      <c r="A489" s="5">
        <v>488</v>
      </c>
      <c r="B489" s="6">
        <v>1.321812</v>
      </c>
      <c r="C489" s="6">
        <f t="shared" si="49"/>
        <v>1.230812</v>
      </c>
      <c r="D489" s="6">
        <f t="shared" si="50"/>
        <v>600.636256</v>
      </c>
      <c r="E489" s="6">
        <f t="shared" si="54"/>
        <v>69.238631999999996</v>
      </c>
      <c r="F489" s="6">
        <f t="shared" si="55"/>
        <v>1.1681000000000052E-2</v>
      </c>
      <c r="G489" s="6">
        <f t="shared" si="51"/>
        <v>-388.814194606662</v>
      </c>
      <c r="H489" s="7">
        <f t="shared" si="52"/>
        <v>2.3000301750023641E-14</v>
      </c>
      <c r="I489" s="8">
        <f t="shared" si="53"/>
        <v>2.3000301750023641E-14</v>
      </c>
    </row>
    <row r="490" spans="1:9" x14ac:dyDescent="0.2">
      <c r="A490" s="5">
        <v>489</v>
      </c>
      <c r="B490" s="6">
        <v>1.3342750000000001</v>
      </c>
      <c r="C490" s="6">
        <f t="shared" si="49"/>
        <v>1.2432750000000001</v>
      </c>
      <c r="D490" s="6">
        <f t="shared" si="50"/>
        <v>607.96147500000006</v>
      </c>
      <c r="E490" s="6">
        <f t="shared" si="54"/>
        <v>70.475675499999994</v>
      </c>
      <c r="F490" s="6">
        <f t="shared" si="55"/>
        <v>1.278250000000003E-2</v>
      </c>
      <c r="G490" s="6">
        <f t="shared" si="51"/>
        <v>-392.04393272409084</v>
      </c>
      <c r="H490" s="7">
        <f t="shared" si="52"/>
        <v>2.1192899656491321E-14</v>
      </c>
      <c r="I490" s="8">
        <f t="shared" si="53"/>
        <v>2.1192899656491321E-14</v>
      </c>
    </row>
    <row r="491" spans="1:9" x14ac:dyDescent="0.2">
      <c r="A491" s="5">
        <v>490</v>
      </c>
      <c r="B491" s="6">
        <v>1.347377</v>
      </c>
      <c r="C491" s="6">
        <f t="shared" si="49"/>
        <v>1.2563770000000001</v>
      </c>
      <c r="D491" s="6">
        <f t="shared" si="50"/>
        <v>615.62473</v>
      </c>
      <c r="E491" s="6">
        <f t="shared" si="54"/>
        <v>71.725501499999993</v>
      </c>
      <c r="F491" s="6">
        <f t="shared" si="55"/>
        <v>1.2572499999999986E-2</v>
      </c>
      <c r="G491" s="6">
        <f t="shared" si="51"/>
        <v>-395.42616321342348</v>
      </c>
      <c r="H491" s="7">
        <f t="shared" si="52"/>
        <v>2.1732775947784986E-14</v>
      </c>
      <c r="I491" s="8">
        <f t="shared" si="53"/>
        <v>2.1732775947784986E-14</v>
      </c>
    </row>
    <row r="492" spans="1:9" x14ac:dyDescent="0.2">
      <c r="A492" s="5">
        <v>491</v>
      </c>
      <c r="B492" s="6">
        <v>1.3594200000000001</v>
      </c>
      <c r="C492" s="6">
        <f t="shared" si="49"/>
        <v>1.2684200000000001</v>
      </c>
      <c r="D492" s="6">
        <f t="shared" si="50"/>
        <v>622.79422</v>
      </c>
      <c r="E492" s="6">
        <f t="shared" si="54"/>
        <v>72.987899999999996</v>
      </c>
      <c r="F492" s="6">
        <f t="shared" si="55"/>
        <v>1.1934499999999959E-2</v>
      </c>
      <c r="G492" s="6">
        <f t="shared" si="51"/>
        <v>-398.52297395964797</v>
      </c>
      <c r="H492" s="7">
        <f t="shared" si="52"/>
        <v>2.3073877355837303E-14</v>
      </c>
      <c r="I492" s="8">
        <f t="shared" si="53"/>
        <v>2.3073877355837303E-14</v>
      </c>
    </row>
    <row r="493" spans="1:9" x14ac:dyDescent="0.2">
      <c r="A493" s="5">
        <v>492</v>
      </c>
      <c r="B493" s="6">
        <v>1.371246</v>
      </c>
      <c r="C493" s="6">
        <f t="shared" si="49"/>
        <v>1.280246</v>
      </c>
      <c r="D493" s="6">
        <f t="shared" si="50"/>
        <v>629.881032</v>
      </c>
      <c r="E493" s="6">
        <f t="shared" si="54"/>
        <v>74.262232999999995</v>
      </c>
      <c r="F493" s="6">
        <f t="shared" si="55"/>
        <v>1.2260999999999966E-2</v>
      </c>
      <c r="G493" s="6">
        <f t="shared" si="51"/>
        <v>-401.55215799741677</v>
      </c>
      <c r="H493" s="7">
        <f t="shared" si="52"/>
        <v>2.263015444561587E-14</v>
      </c>
      <c r="I493" s="8">
        <f t="shared" si="53"/>
        <v>2.263015444561587E-14</v>
      </c>
    </row>
    <row r="494" spans="1:9" x14ac:dyDescent="0.2">
      <c r="A494" s="5">
        <v>493</v>
      </c>
      <c r="B494" s="6">
        <v>1.383942</v>
      </c>
      <c r="C494" s="6">
        <f t="shared" si="49"/>
        <v>1.292942</v>
      </c>
      <c r="D494" s="6">
        <f t="shared" si="50"/>
        <v>637.42040600000007</v>
      </c>
      <c r="E494" s="6">
        <f t="shared" si="54"/>
        <v>75.548826999999989</v>
      </c>
      <c r="F494" s="6">
        <f t="shared" si="55"/>
        <v>1.2739500000000015E-2</v>
      </c>
      <c r="G494" s="6">
        <f t="shared" si="51"/>
        <v>-404.79149316125188</v>
      </c>
      <c r="H494" s="7">
        <f t="shared" si="52"/>
        <v>2.195585935343123E-14</v>
      </c>
      <c r="I494" s="8">
        <f t="shared" si="53"/>
        <v>2.195585935343123E-14</v>
      </c>
    </row>
    <row r="495" spans="1:9" x14ac:dyDescent="0.2">
      <c r="A495" s="5">
        <v>494</v>
      </c>
      <c r="B495" s="6">
        <v>1.396725</v>
      </c>
      <c r="C495" s="6">
        <f t="shared" si="49"/>
        <v>1.305725</v>
      </c>
      <c r="D495" s="6">
        <f t="shared" si="50"/>
        <v>645.02814999999998</v>
      </c>
      <c r="E495" s="6">
        <f t="shared" si="54"/>
        <v>76.848160499999992</v>
      </c>
      <c r="F495" s="6">
        <f t="shared" si="55"/>
        <v>1.3108499999999967E-2</v>
      </c>
      <c r="G495" s="6">
        <f t="shared" si="51"/>
        <v>-408.04024303769359</v>
      </c>
      <c r="H495" s="7">
        <f t="shared" si="52"/>
        <v>2.1509060706862594E-14</v>
      </c>
      <c r="I495" s="8">
        <f t="shared" si="53"/>
        <v>2.1509060706862594E-14</v>
      </c>
    </row>
    <row r="496" spans="1:9" x14ac:dyDescent="0.2">
      <c r="A496" s="5">
        <v>495</v>
      </c>
      <c r="B496" s="6">
        <v>1.4101589999999999</v>
      </c>
      <c r="C496" s="6">
        <f t="shared" si="49"/>
        <v>1.319159</v>
      </c>
      <c r="D496" s="6">
        <f t="shared" si="50"/>
        <v>652.98370499999999</v>
      </c>
      <c r="E496" s="6">
        <f t="shared" si="54"/>
        <v>78.160602499999996</v>
      </c>
      <c r="F496" s="6">
        <f t="shared" si="55"/>
        <v>1.286200000000004E-2</v>
      </c>
      <c r="G496" s="6">
        <f t="shared" si="51"/>
        <v>-411.44100803950204</v>
      </c>
      <c r="H496" s="7">
        <f t="shared" si="52"/>
        <v>2.2103981898132824E-14</v>
      </c>
      <c r="I496" s="8">
        <f t="shared" si="53"/>
        <v>2.2103981898132824E-14</v>
      </c>
    </row>
    <row r="497" spans="1:9" x14ac:dyDescent="0.2">
      <c r="A497" s="5">
        <v>496</v>
      </c>
      <c r="B497" s="6">
        <v>1.4224490000000001</v>
      </c>
      <c r="C497" s="6">
        <f t="shared" si="49"/>
        <v>1.3314490000000001</v>
      </c>
      <c r="D497" s="6">
        <f t="shared" si="50"/>
        <v>660.39870400000007</v>
      </c>
      <c r="E497" s="6">
        <f t="shared" si="54"/>
        <v>79.485906499999999</v>
      </c>
      <c r="F497" s="6">
        <f t="shared" si="55"/>
        <v>1.2145000000000072E-2</v>
      </c>
      <c r="G497" s="6">
        <f t="shared" si="51"/>
        <v>-414.5398838778396</v>
      </c>
      <c r="H497" s="7">
        <f t="shared" si="52"/>
        <v>2.3585237203001798E-14</v>
      </c>
      <c r="I497" s="8">
        <f t="shared" si="53"/>
        <v>2.3585237203001798E-14</v>
      </c>
    </row>
    <row r="498" spans="1:9" x14ac:dyDescent="0.2">
      <c r="A498" s="5">
        <v>497</v>
      </c>
      <c r="B498" s="6">
        <v>1.4344490000000001</v>
      </c>
      <c r="C498" s="6">
        <f t="shared" si="49"/>
        <v>1.3434490000000001</v>
      </c>
      <c r="D498" s="6">
        <f t="shared" si="50"/>
        <v>667.69415300000003</v>
      </c>
      <c r="E498" s="6">
        <f t="shared" si="54"/>
        <v>80.823355500000005</v>
      </c>
      <c r="F498" s="6">
        <f t="shared" si="55"/>
        <v>1.1739500000000014E-2</v>
      </c>
      <c r="G498" s="6">
        <f t="shared" si="51"/>
        <v>-417.55363734082169</v>
      </c>
      <c r="H498" s="7">
        <f t="shared" si="52"/>
        <v>2.4577296973449004E-14</v>
      </c>
      <c r="I498" s="8">
        <f t="shared" si="53"/>
        <v>2.4577296973449004E-14</v>
      </c>
    </row>
    <row r="499" spans="1:9" x14ac:dyDescent="0.2">
      <c r="A499" s="5">
        <v>498</v>
      </c>
      <c r="B499" s="6">
        <v>1.4459280000000001</v>
      </c>
      <c r="C499" s="6">
        <f t="shared" si="49"/>
        <v>1.3549280000000001</v>
      </c>
      <c r="D499" s="6">
        <f t="shared" si="50"/>
        <v>674.75414400000011</v>
      </c>
      <c r="E499" s="6">
        <f t="shared" si="54"/>
        <v>82.172544000000002</v>
      </c>
      <c r="F499" s="6">
        <f t="shared" si="55"/>
        <v>1.1876999999999915E-2</v>
      </c>
      <c r="G499" s="6">
        <f t="shared" si="51"/>
        <v>-420.42506467428603</v>
      </c>
      <c r="H499" s="7">
        <f t="shared" si="52"/>
        <v>2.4459821836197162E-14</v>
      </c>
      <c r="I499" s="8">
        <f t="shared" si="53"/>
        <v>2.4459821836197162E-14</v>
      </c>
    </row>
    <row r="500" spans="1:9" x14ac:dyDescent="0.2">
      <c r="A500" s="5">
        <v>499</v>
      </c>
      <c r="B500" s="6">
        <v>1.4582029999999999</v>
      </c>
      <c r="C500" s="6">
        <f t="shared" si="49"/>
        <v>1.3672029999999999</v>
      </c>
      <c r="D500" s="6">
        <f t="shared" si="50"/>
        <v>682.23429699999997</v>
      </c>
      <c r="E500" s="6">
        <f t="shared" si="54"/>
        <v>83.533609499999997</v>
      </c>
      <c r="F500" s="6">
        <f t="shared" si="55"/>
        <v>1.2093999999999938E-2</v>
      </c>
      <c r="G500" s="6">
        <f t="shared" si="51"/>
        <v>-423.48333332079477</v>
      </c>
      <c r="H500" s="7">
        <f t="shared" si="52"/>
        <v>2.419567847379954E-14</v>
      </c>
      <c r="I500" s="8">
        <f t="shared" si="53"/>
        <v>2.419567847379954E-14</v>
      </c>
    </row>
    <row r="501" spans="1:9" x14ac:dyDescent="0.2">
      <c r="A501" s="5">
        <v>500</v>
      </c>
      <c r="B501" s="6">
        <v>1.470116</v>
      </c>
      <c r="C501" s="6">
        <f t="shared" si="49"/>
        <v>1.379116</v>
      </c>
      <c r="D501" s="6">
        <f t="shared" si="50"/>
        <v>689.55799999999999</v>
      </c>
      <c r="E501" s="6">
        <f t="shared" si="54"/>
        <v>84.906768999999997</v>
      </c>
      <c r="F501" s="6">
        <f t="shared" si="55"/>
        <v>1.3579500000000078E-2</v>
      </c>
      <c r="G501" s="6">
        <f t="shared" si="51"/>
        <v>-426.43949807117031</v>
      </c>
      <c r="H501" s="7">
        <f t="shared" si="52"/>
        <v>2.1699268327693969E-14</v>
      </c>
      <c r="I501" s="8">
        <f t="shared" si="53"/>
        <v>2.1699268327693969E-14</v>
      </c>
    </row>
    <row r="502" spans="1:9" x14ac:dyDescent="0.2">
      <c r="A502" s="5">
        <v>501</v>
      </c>
      <c r="B502" s="6">
        <v>1.4853620000000001</v>
      </c>
      <c r="C502" s="6">
        <f t="shared" si="49"/>
        <v>1.3943620000000001</v>
      </c>
      <c r="D502" s="6">
        <f t="shared" si="50"/>
        <v>698.57536200000004</v>
      </c>
      <c r="E502" s="6">
        <f t="shared" si="54"/>
        <v>86.293508000000003</v>
      </c>
      <c r="F502" s="6">
        <f t="shared" si="55"/>
        <v>1.3535999999999992E-2</v>
      </c>
      <c r="G502" s="6">
        <f t="shared" si="51"/>
        <v>-430.20748784588909</v>
      </c>
      <c r="H502" s="7">
        <f t="shared" si="52"/>
        <v>2.1961351626396584E-14</v>
      </c>
      <c r="I502" s="8">
        <f t="shared" si="53"/>
        <v>2.1961351626396584E-14</v>
      </c>
    </row>
    <row r="503" spans="1:9" x14ac:dyDescent="0.2">
      <c r="A503" s="5">
        <v>502</v>
      </c>
      <c r="B503" s="6">
        <v>1.497188</v>
      </c>
      <c r="C503" s="6">
        <f t="shared" si="49"/>
        <v>1.406188</v>
      </c>
      <c r="D503" s="6">
        <f t="shared" si="50"/>
        <v>705.90637600000002</v>
      </c>
      <c r="E503" s="6">
        <f t="shared" si="54"/>
        <v>87.693782999999996</v>
      </c>
      <c r="F503" s="6">
        <f t="shared" si="55"/>
        <v>1.1833499999999941E-2</v>
      </c>
      <c r="G503" s="6">
        <f t="shared" si="51"/>
        <v>-433.11841188365793</v>
      </c>
      <c r="H503" s="7">
        <f t="shared" si="52"/>
        <v>2.5290934512312599E-14</v>
      </c>
      <c r="I503" s="8">
        <f t="shared" si="53"/>
        <v>2.5290934512312599E-14</v>
      </c>
    </row>
    <row r="504" spans="1:9" x14ac:dyDescent="0.2">
      <c r="A504" s="5">
        <v>503</v>
      </c>
      <c r="B504" s="6">
        <v>1.509029</v>
      </c>
      <c r="C504" s="6">
        <f t="shared" si="49"/>
        <v>1.418029</v>
      </c>
      <c r="D504" s="6">
        <f t="shared" si="50"/>
        <v>713.26858700000003</v>
      </c>
      <c r="E504" s="6">
        <f t="shared" si="54"/>
        <v>89.105891499999998</v>
      </c>
      <c r="F504" s="6">
        <f t="shared" si="55"/>
        <v>1.1739500000000014E-2</v>
      </c>
      <c r="G504" s="6">
        <f t="shared" si="51"/>
        <v>-436.02118711325551</v>
      </c>
      <c r="H504" s="7">
        <f t="shared" si="52"/>
        <v>2.566430092824531E-14</v>
      </c>
      <c r="I504" s="8">
        <f t="shared" si="53"/>
        <v>2.566430092824531E-14</v>
      </c>
    </row>
    <row r="505" spans="1:9" x14ac:dyDescent="0.2">
      <c r="A505" s="5">
        <v>504</v>
      </c>
      <c r="B505" s="6">
        <v>1.520667</v>
      </c>
      <c r="C505" s="6">
        <f t="shared" si="49"/>
        <v>1.429667</v>
      </c>
      <c r="D505" s="6">
        <f t="shared" si="50"/>
        <v>720.55216800000005</v>
      </c>
      <c r="E505" s="6">
        <f t="shared" si="54"/>
        <v>90.529739500000005</v>
      </c>
      <c r="F505" s="6">
        <f t="shared" si="55"/>
        <v>1.1709999999999998E-2</v>
      </c>
      <c r="G505" s="6">
        <f t="shared" si="51"/>
        <v>-438.86255968010437</v>
      </c>
      <c r="H505" s="7">
        <f t="shared" si="52"/>
        <v>2.5896619927222724E-14</v>
      </c>
      <c r="I505" s="8">
        <f t="shared" si="53"/>
        <v>2.5896619927222724E-14</v>
      </c>
    </row>
    <row r="506" spans="1:9" x14ac:dyDescent="0.2">
      <c r="A506" s="5">
        <v>505</v>
      </c>
      <c r="B506" s="6">
        <v>1.532449</v>
      </c>
      <c r="C506" s="6">
        <f t="shared" si="49"/>
        <v>1.441449</v>
      </c>
      <c r="D506" s="6">
        <f t="shared" si="50"/>
        <v>727.93174499999998</v>
      </c>
      <c r="E506" s="6">
        <f t="shared" si="54"/>
        <v>91.965297500000005</v>
      </c>
      <c r="F506" s="6">
        <f t="shared" si="55"/>
        <v>1.2253500000000028E-2</v>
      </c>
      <c r="G506" s="6">
        <f t="shared" si="51"/>
        <v>-441.727307288509</v>
      </c>
      <c r="H506" s="7">
        <f t="shared" si="52"/>
        <v>2.4909530326569975E-14</v>
      </c>
      <c r="I506" s="8">
        <f t="shared" si="53"/>
        <v>2.4909530326569975E-14</v>
      </c>
    </row>
    <row r="507" spans="1:9" x14ac:dyDescent="0.2">
      <c r="A507" s="5">
        <v>506</v>
      </c>
      <c r="B507" s="6">
        <v>1.545174</v>
      </c>
      <c r="C507" s="6">
        <f t="shared" si="49"/>
        <v>1.4541740000000001</v>
      </c>
      <c r="D507" s="6">
        <f t="shared" si="50"/>
        <v>735.81204400000001</v>
      </c>
      <c r="E507" s="6">
        <f t="shared" si="54"/>
        <v>93.413109000000006</v>
      </c>
      <c r="F507" s="6">
        <f t="shared" si="55"/>
        <v>1.2442000000000064E-2</v>
      </c>
      <c r="G507" s="6">
        <f t="shared" si="51"/>
        <v>-444.80861668987961</v>
      </c>
      <c r="H507" s="7">
        <f t="shared" si="52"/>
        <v>2.4703269754850862E-14</v>
      </c>
      <c r="I507" s="8">
        <f t="shared" si="53"/>
        <v>2.4703269754850862E-14</v>
      </c>
    </row>
    <row r="508" spans="1:9" x14ac:dyDescent="0.2">
      <c r="A508" s="5">
        <v>507</v>
      </c>
      <c r="B508" s="6">
        <v>1.5573330000000001</v>
      </c>
      <c r="C508" s="6">
        <f t="shared" si="49"/>
        <v>1.4663330000000001</v>
      </c>
      <c r="D508" s="6">
        <f t="shared" si="50"/>
        <v>743.43083100000001</v>
      </c>
      <c r="E508" s="6">
        <f t="shared" si="54"/>
        <v>94.873362499999999</v>
      </c>
      <c r="F508" s="6">
        <f t="shared" si="55"/>
        <v>1.1275499999999994E-2</v>
      </c>
      <c r="G508" s="6">
        <f t="shared" si="51"/>
        <v>-447.74071238624623</v>
      </c>
      <c r="H508" s="7">
        <f t="shared" si="52"/>
        <v>2.7438617322524595E-14</v>
      </c>
      <c r="I508" s="8">
        <f t="shared" si="53"/>
        <v>2.7438617322524595E-14</v>
      </c>
    </row>
    <row r="509" spans="1:9" x14ac:dyDescent="0.2">
      <c r="A509" s="5">
        <v>508</v>
      </c>
      <c r="B509" s="6">
        <v>1.567725</v>
      </c>
      <c r="C509" s="6">
        <f t="shared" si="49"/>
        <v>1.4767250000000001</v>
      </c>
      <c r="D509" s="6">
        <f t="shared" si="50"/>
        <v>750.17630000000008</v>
      </c>
      <c r="E509" s="6">
        <f t="shared" si="54"/>
        <v>96.344891500000003</v>
      </c>
      <c r="F509" s="6">
        <f t="shared" si="55"/>
        <v>1.130449999999994E-2</v>
      </c>
      <c r="G509" s="6">
        <f t="shared" si="51"/>
        <v>-450.23631088518874</v>
      </c>
      <c r="H509" s="7">
        <f t="shared" si="52"/>
        <v>2.7520771548633296E-14</v>
      </c>
      <c r="I509" s="8">
        <f t="shared" si="53"/>
        <v>2.7520771548633296E-14</v>
      </c>
    </row>
    <row r="510" spans="1:9" x14ac:dyDescent="0.2">
      <c r="A510" s="5">
        <v>509</v>
      </c>
      <c r="B510" s="6">
        <v>1.579942</v>
      </c>
      <c r="C510" s="6">
        <f t="shared" si="49"/>
        <v>1.488942</v>
      </c>
      <c r="D510" s="6">
        <f t="shared" si="50"/>
        <v>757.87147800000002</v>
      </c>
      <c r="E510" s="6">
        <f t="shared" si="54"/>
        <v>97.827725000000001</v>
      </c>
      <c r="F510" s="6">
        <f t="shared" si="55"/>
        <v>1.146349999999996E-2</v>
      </c>
      <c r="G510" s="6">
        <f t="shared" si="51"/>
        <v>-453.15795905662645</v>
      </c>
      <c r="H510" s="7">
        <f t="shared" si="52"/>
        <v>2.7315164668015818E-14</v>
      </c>
      <c r="I510" s="8">
        <f t="shared" si="53"/>
        <v>2.7315164668015818E-14</v>
      </c>
    </row>
    <row r="511" spans="1:9" x14ac:dyDescent="0.2">
      <c r="A511" s="5">
        <v>510</v>
      </c>
      <c r="B511" s="6">
        <v>1.590652</v>
      </c>
      <c r="C511" s="6">
        <f t="shared" si="49"/>
        <v>1.499652</v>
      </c>
      <c r="D511" s="6">
        <f t="shared" si="50"/>
        <v>764.82251999999994</v>
      </c>
      <c r="E511" s="6">
        <f t="shared" si="54"/>
        <v>99.322022000000004</v>
      </c>
      <c r="F511" s="6">
        <f t="shared" si="55"/>
        <v>1.1514499999999983E-2</v>
      </c>
      <c r="G511" s="6">
        <f t="shared" si="51"/>
        <v>-455.70850402233799</v>
      </c>
      <c r="H511" s="7">
        <f t="shared" si="52"/>
        <v>2.7347239563561483E-14</v>
      </c>
      <c r="I511" s="8">
        <f t="shared" si="53"/>
        <v>2.7347239563561483E-14</v>
      </c>
    </row>
    <row r="512" spans="1:9" x14ac:dyDescent="0.2">
      <c r="A512" s="5">
        <v>511</v>
      </c>
      <c r="B512" s="6">
        <v>1.6029709999999999</v>
      </c>
      <c r="C512" s="6">
        <f t="shared" si="49"/>
        <v>1.511971</v>
      </c>
      <c r="D512" s="6">
        <f t="shared" si="50"/>
        <v>772.61718099999996</v>
      </c>
      <c r="E512" s="6">
        <f t="shared" si="54"/>
        <v>100.8278335</v>
      </c>
      <c r="F512" s="6">
        <f t="shared" si="55"/>
        <v>1.2333499999999997E-2</v>
      </c>
      <c r="G512" s="6">
        <f t="shared" si="51"/>
        <v>-458.62990709821105</v>
      </c>
      <c r="H512" s="7">
        <f t="shared" si="52"/>
        <v>2.56949324033277E-14</v>
      </c>
      <c r="I512" s="8">
        <f t="shared" si="53"/>
        <v>2.56949324033277E-14</v>
      </c>
    </row>
    <row r="513" spans="1:9" x14ac:dyDescent="0.2">
      <c r="A513" s="5">
        <v>512</v>
      </c>
      <c r="B513" s="6">
        <v>1.6153189999999999</v>
      </c>
      <c r="C513" s="6">
        <f t="shared" si="49"/>
        <v>1.524319</v>
      </c>
      <c r="D513" s="6">
        <f t="shared" si="50"/>
        <v>780.45132799999999</v>
      </c>
      <c r="E513" s="6">
        <f t="shared" si="54"/>
        <v>102.3459785</v>
      </c>
      <c r="F513" s="6">
        <f t="shared" si="55"/>
        <v>1.0739000000000054E-2</v>
      </c>
      <c r="G513" s="6">
        <f t="shared" si="51"/>
        <v>-461.54583941161962</v>
      </c>
      <c r="H513" s="7">
        <f t="shared" si="52"/>
        <v>2.9697674587843481E-14</v>
      </c>
      <c r="I513" s="8">
        <f t="shared" si="53"/>
        <v>2.9697674587843481E-14</v>
      </c>
    </row>
    <row r="514" spans="1:9" x14ac:dyDescent="0.2">
      <c r="A514" s="5">
        <v>513</v>
      </c>
      <c r="B514" s="6">
        <v>1.624449</v>
      </c>
      <c r="C514" s="6">
        <f t="shared" ref="C514:C577" si="56">B514-$B$2</f>
        <v>1.5334490000000001</v>
      </c>
      <c r="D514" s="6">
        <f t="shared" ref="D514:D577" si="57">A514*C514</f>
        <v>786.65933700000005</v>
      </c>
      <c r="E514" s="6">
        <f t="shared" si="54"/>
        <v>103.87486250000001</v>
      </c>
      <c r="F514" s="6">
        <f t="shared" si="55"/>
        <v>1.0203000000000073E-2</v>
      </c>
      <c r="G514" s="6">
        <f t="shared" ref="G514:G577" si="58">(A514-$L$5)*C514-E514</f>
        <v>-463.69272350470521</v>
      </c>
      <c r="H514" s="7">
        <f t="shared" ref="H514:H577" si="59">IF(ABS(F514)&lt;0.000000001,"",-(G514)/(2*$L$4*F514)*0.000000000001)</f>
        <v>3.1403195311022475E-14</v>
      </c>
      <c r="I514" s="8">
        <f t="shared" ref="I514:I577" si="60">IF(AND(B514&gt;=0.5,B514&lt;=2.5,ISNUMBER(H514),H514&gt;0),H514,"")</f>
        <v>3.1403195311022475E-14</v>
      </c>
    </row>
    <row r="515" spans="1:9" x14ac:dyDescent="0.2">
      <c r="A515" s="5">
        <v>514</v>
      </c>
      <c r="B515" s="6">
        <v>1.6357250000000001</v>
      </c>
      <c r="C515" s="6">
        <f t="shared" si="56"/>
        <v>1.5447250000000001</v>
      </c>
      <c r="D515" s="6">
        <f t="shared" si="57"/>
        <v>793.98865000000012</v>
      </c>
      <c r="E515" s="6">
        <f t="shared" ref="E515:E578" si="61">E514+(C514+C515)/2*(A515-A514)</f>
        <v>105.4139495</v>
      </c>
      <c r="F515" s="6">
        <f t="shared" ref="F515:F578" si="62">(B516-B514)/(A516-A514)</f>
        <v>1.1789999999999967E-2</v>
      </c>
      <c r="G515" s="6">
        <f t="shared" si="58"/>
        <v>-466.33295517542075</v>
      </c>
      <c r="H515" s="7">
        <f t="shared" si="59"/>
        <v>2.7330888389514E-14</v>
      </c>
      <c r="I515" s="8">
        <f t="shared" si="60"/>
        <v>2.7330888389514E-14</v>
      </c>
    </row>
    <row r="516" spans="1:9" x14ac:dyDescent="0.2">
      <c r="A516" s="5">
        <v>515</v>
      </c>
      <c r="B516" s="6">
        <v>1.648029</v>
      </c>
      <c r="C516" s="6">
        <f t="shared" si="56"/>
        <v>1.557029</v>
      </c>
      <c r="D516" s="6">
        <f t="shared" si="57"/>
        <v>801.86993499999994</v>
      </c>
      <c r="E516" s="6">
        <f t="shared" si="61"/>
        <v>106.9648265</v>
      </c>
      <c r="F516" s="6">
        <f t="shared" si="62"/>
        <v>1.2289499999999953E-2</v>
      </c>
      <c r="G516" s="6">
        <f t="shared" si="58"/>
        <v>-469.20158505946506</v>
      </c>
      <c r="H516" s="7">
        <f t="shared" si="59"/>
        <v>2.6381330992547269E-14</v>
      </c>
      <c r="I516" s="8">
        <f t="shared" si="60"/>
        <v>2.6381330992547269E-14</v>
      </c>
    </row>
    <row r="517" spans="1:9" x14ac:dyDescent="0.2">
      <c r="A517" s="5">
        <v>516</v>
      </c>
      <c r="B517" s="6">
        <v>1.660304</v>
      </c>
      <c r="C517" s="6">
        <f t="shared" si="56"/>
        <v>1.569304</v>
      </c>
      <c r="D517" s="6">
        <f t="shared" si="57"/>
        <v>809.76086399999997</v>
      </c>
      <c r="E517" s="6">
        <f t="shared" si="61"/>
        <v>108.527993</v>
      </c>
      <c r="F517" s="6">
        <f t="shared" si="62"/>
        <v>1.1507000000000045E-2</v>
      </c>
      <c r="G517" s="6">
        <f t="shared" si="58"/>
        <v>-472.05117870597383</v>
      </c>
      <c r="H517" s="7">
        <f t="shared" si="59"/>
        <v>2.8346433172264501E-14</v>
      </c>
      <c r="I517" s="8">
        <f t="shared" si="60"/>
        <v>2.8346433172264501E-14</v>
      </c>
    </row>
    <row r="518" spans="1:9" x14ac:dyDescent="0.2">
      <c r="A518" s="5">
        <v>517</v>
      </c>
      <c r="B518" s="6">
        <v>1.6710430000000001</v>
      </c>
      <c r="C518" s="6">
        <f t="shared" si="56"/>
        <v>1.5800430000000001</v>
      </c>
      <c r="D518" s="6">
        <f t="shared" si="57"/>
        <v>816.88223100000005</v>
      </c>
      <c r="E518" s="6">
        <f t="shared" si="61"/>
        <v>110.1026665</v>
      </c>
      <c r="F518" s="6">
        <f t="shared" si="62"/>
        <v>1.0297499999999959E-2</v>
      </c>
      <c r="G518" s="6">
        <f t="shared" si="58"/>
        <v>-474.53345690922094</v>
      </c>
      <c r="H518" s="7">
        <f t="shared" si="59"/>
        <v>3.184245056375099E-14</v>
      </c>
      <c r="I518" s="8">
        <f t="shared" si="60"/>
        <v>3.184245056375099E-14</v>
      </c>
    </row>
    <row r="519" spans="1:9" x14ac:dyDescent="0.2">
      <c r="A519" s="5">
        <v>518</v>
      </c>
      <c r="B519" s="6">
        <v>1.6808989999999999</v>
      </c>
      <c r="C519" s="6">
        <f t="shared" si="56"/>
        <v>1.589899</v>
      </c>
      <c r="D519" s="6">
        <f t="shared" si="57"/>
        <v>823.56768199999999</v>
      </c>
      <c r="E519" s="6">
        <f t="shared" si="61"/>
        <v>111.68763749999999</v>
      </c>
      <c r="F519" s="6">
        <f t="shared" si="62"/>
        <v>1.0978500000000002E-2</v>
      </c>
      <c r="G519" s="6">
        <f t="shared" si="58"/>
        <v>-476.80177708681686</v>
      </c>
      <c r="H519" s="7">
        <f t="shared" si="59"/>
        <v>3.0010021414463259E-14</v>
      </c>
      <c r="I519" s="8">
        <f t="shared" si="60"/>
        <v>3.0010021414463259E-14</v>
      </c>
    </row>
    <row r="520" spans="1:9" x14ac:dyDescent="0.2">
      <c r="A520" s="5">
        <v>519</v>
      </c>
      <c r="B520" s="6">
        <v>1.6930000000000001</v>
      </c>
      <c r="C520" s="6">
        <f t="shared" si="56"/>
        <v>1.6020000000000001</v>
      </c>
      <c r="D520" s="6">
        <f t="shared" si="57"/>
        <v>831.4380000000001</v>
      </c>
      <c r="E520" s="6">
        <f t="shared" si="61"/>
        <v>113.283587</v>
      </c>
      <c r="F520" s="6">
        <f t="shared" si="62"/>
        <v>1.2608500000000022E-2</v>
      </c>
      <c r="G520" s="6">
        <f t="shared" si="58"/>
        <v>-479.57467430811249</v>
      </c>
      <c r="H520" s="7">
        <f t="shared" si="59"/>
        <v>2.6282354201907303E-14</v>
      </c>
      <c r="I520" s="8">
        <f t="shared" si="60"/>
        <v>2.6282354201907303E-14</v>
      </c>
    </row>
    <row r="521" spans="1:9" x14ac:dyDescent="0.2">
      <c r="A521" s="5">
        <v>520</v>
      </c>
      <c r="B521" s="6">
        <v>1.706116</v>
      </c>
      <c r="C521" s="6">
        <f t="shared" si="56"/>
        <v>1.615116</v>
      </c>
      <c r="D521" s="6">
        <f t="shared" si="57"/>
        <v>839.86032</v>
      </c>
      <c r="E521" s="6">
        <f t="shared" si="61"/>
        <v>114.892145</v>
      </c>
      <c r="F521" s="6">
        <f t="shared" si="62"/>
        <v>1.2116000000000016E-2</v>
      </c>
      <c r="G521" s="6">
        <f t="shared" si="58"/>
        <v>-482.56703884315186</v>
      </c>
      <c r="H521" s="7">
        <f t="shared" si="59"/>
        <v>2.7521356505408974E-14</v>
      </c>
      <c r="I521" s="8">
        <f t="shared" si="60"/>
        <v>2.7521356505408974E-14</v>
      </c>
    </row>
    <row r="522" spans="1:9" x14ac:dyDescent="0.2">
      <c r="A522" s="5">
        <v>521</v>
      </c>
      <c r="B522" s="6">
        <v>1.7172320000000001</v>
      </c>
      <c r="C522" s="6">
        <f t="shared" si="56"/>
        <v>1.6262320000000001</v>
      </c>
      <c r="D522" s="6">
        <f t="shared" si="57"/>
        <v>847.26687200000003</v>
      </c>
      <c r="E522" s="6">
        <f t="shared" si="61"/>
        <v>116.51281899999999</v>
      </c>
      <c r="F522" s="6">
        <f t="shared" si="62"/>
        <v>1.1050499999999963E-2</v>
      </c>
      <c r="G522" s="6">
        <f t="shared" si="58"/>
        <v>-485.09199513436101</v>
      </c>
      <c r="H522" s="7">
        <f t="shared" si="59"/>
        <v>3.0332878484868952E-14</v>
      </c>
      <c r="I522" s="8">
        <f t="shared" si="60"/>
        <v>3.0332878484868952E-14</v>
      </c>
    </row>
    <row r="523" spans="1:9" x14ac:dyDescent="0.2">
      <c r="A523" s="5">
        <v>522</v>
      </c>
      <c r="B523" s="6">
        <v>1.7282169999999999</v>
      </c>
      <c r="C523" s="6">
        <f t="shared" si="56"/>
        <v>1.6372169999999999</v>
      </c>
      <c r="D523" s="6">
        <f t="shared" si="57"/>
        <v>854.62727399999994</v>
      </c>
      <c r="E523" s="6">
        <f t="shared" si="61"/>
        <v>118.1445435</v>
      </c>
      <c r="F523" s="6">
        <f t="shared" si="62"/>
        <v>1.1427499999999924E-2</v>
      </c>
      <c r="G523" s="6">
        <f t="shared" si="58"/>
        <v>-487.57621028359921</v>
      </c>
      <c r="H523" s="7">
        <f t="shared" si="59"/>
        <v>2.9482392498215457E-14</v>
      </c>
      <c r="I523" s="8">
        <f t="shared" si="60"/>
        <v>2.9482392498215457E-14</v>
      </c>
    </row>
    <row r="524" spans="1:9" x14ac:dyDescent="0.2">
      <c r="A524" s="5">
        <v>523</v>
      </c>
      <c r="B524" s="6">
        <v>1.7400869999999999</v>
      </c>
      <c r="C524" s="6">
        <f t="shared" si="56"/>
        <v>1.649087</v>
      </c>
      <c r="D524" s="6">
        <f t="shared" si="57"/>
        <v>862.47250099999997</v>
      </c>
      <c r="E524" s="6">
        <f t="shared" si="61"/>
        <v>119.7876955</v>
      </c>
      <c r="F524" s="6">
        <f t="shared" si="62"/>
        <v>1.1761000000000021E-2</v>
      </c>
      <c r="G524" s="6">
        <f t="shared" si="58"/>
        <v>-490.24869475073234</v>
      </c>
      <c r="H524" s="7">
        <f t="shared" si="59"/>
        <v>2.8803392481160707E-14</v>
      </c>
      <c r="I524" s="8">
        <f t="shared" si="60"/>
        <v>2.8803392481160707E-14</v>
      </c>
    </row>
    <row r="525" spans="1:9" x14ac:dyDescent="0.2">
      <c r="A525" s="5">
        <v>524</v>
      </c>
      <c r="B525" s="6">
        <v>1.7517389999999999</v>
      </c>
      <c r="C525" s="6">
        <f t="shared" si="56"/>
        <v>1.660739</v>
      </c>
      <c r="D525" s="6">
        <f t="shared" si="57"/>
        <v>870.22723599999995</v>
      </c>
      <c r="E525" s="6">
        <f t="shared" si="61"/>
        <v>121.44260849999999</v>
      </c>
      <c r="F525" s="6">
        <f t="shared" si="62"/>
        <v>1.0775500000000049E-2</v>
      </c>
      <c r="G525" s="6">
        <f t="shared" si="58"/>
        <v>-492.86044536328797</v>
      </c>
      <c r="H525" s="7">
        <f t="shared" si="59"/>
        <v>3.1605159037899312E-14</v>
      </c>
      <c r="I525" s="8">
        <f t="shared" si="60"/>
        <v>3.1605159037899312E-14</v>
      </c>
    </row>
    <row r="526" spans="1:9" x14ac:dyDescent="0.2">
      <c r="A526" s="5">
        <v>525</v>
      </c>
      <c r="B526" s="6">
        <v>1.761638</v>
      </c>
      <c r="C526" s="6">
        <f t="shared" si="56"/>
        <v>1.6706380000000001</v>
      </c>
      <c r="D526" s="6">
        <f t="shared" si="57"/>
        <v>877.08495000000005</v>
      </c>
      <c r="E526" s="6">
        <f t="shared" si="61"/>
        <v>123.10829699999999</v>
      </c>
      <c r="F526" s="6">
        <f t="shared" si="62"/>
        <v>1.0862499999999997E-2</v>
      </c>
      <c r="G526" s="6">
        <f t="shared" si="58"/>
        <v>-495.06936882412634</v>
      </c>
      <c r="H526" s="7">
        <f t="shared" si="59"/>
        <v>3.1492541691499443E-14</v>
      </c>
      <c r="I526" s="8">
        <f t="shared" si="60"/>
        <v>3.1492541691499443E-14</v>
      </c>
    </row>
    <row r="527" spans="1:9" x14ac:dyDescent="0.2">
      <c r="A527" s="5">
        <v>526</v>
      </c>
      <c r="B527" s="6">
        <v>1.7734639999999999</v>
      </c>
      <c r="C527" s="6">
        <f t="shared" si="56"/>
        <v>1.682464</v>
      </c>
      <c r="D527" s="6">
        <f t="shared" si="57"/>
        <v>884.97606399999995</v>
      </c>
      <c r="E527" s="6">
        <f t="shared" si="61"/>
        <v>124.784848</v>
      </c>
      <c r="F527" s="6">
        <f t="shared" si="62"/>
        <v>1.1898500000000034E-2</v>
      </c>
      <c r="G527" s="6">
        <f t="shared" si="58"/>
        <v>-497.6964688618952</v>
      </c>
      <c r="H527" s="7">
        <f t="shared" si="59"/>
        <v>2.8903057751605012E-14</v>
      </c>
      <c r="I527" s="8">
        <f t="shared" si="60"/>
        <v>2.8903057751605012E-14</v>
      </c>
    </row>
    <row r="528" spans="1:9" x14ac:dyDescent="0.2">
      <c r="A528" s="5">
        <v>527</v>
      </c>
      <c r="B528" s="6">
        <v>1.7854350000000001</v>
      </c>
      <c r="C528" s="6">
        <f t="shared" si="56"/>
        <v>1.6944350000000001</v>
      </c>
      <c r="D528" s="6">
        <f t="shared" si="57"/>
        <v>892.96724500000005</v>
      </c>
      <c r="E528" s="6">
        <f t="shared" si="61"/>
        <v>126.4732975</v>
      </c>
      <c r="F528" s="6">
        <f t="shared" si="62"/>
        <v>1.2145000000000072E-2</v>
      </c>
      <c r="G528" s="6">
        <f t="shared" si="58"/>
        <v>-500.34380908734181</v>
      </c>
      <c r="H528" s="7">
        <f t="shared" si="59"/>
        <v>2.8467049563452742E-14</v>
      </c>
      <c r="I528" s="8">
        <f t="shared" si="60"/>
        <v>2.8467049563452742E-14</v>
      </c>
    </row>
    <row r="529" spans="1:9" x14ac:dyDescent="0.2">
      <c r="A529" s="5">
        <v>528</v>
      </c>
      <c r="B529" s="6">
        <v>1.7977540000000001</v>
      </c>
      <c r="C529" s="6">
        <f t="shared" si="56"/>
        <v>1.7067540000000001</v>
      </c>
      <c r="D529" s="6">
        <f t="shared" si="57"/>
        <v>901.16611200000011</v>
      </c>
      <c r="E529" s="6">
        <f t="shared" si="61"/>
        <v>128.173892</v>
      </c>
      <c r="F529" s="6">
        <f t="shared" si="62"/>
        <v>1.2173999999999907E-2</v>
      </c>
      <c r="G529" s="6">
        <f t="shared" si="58"/>
        <v>-503.05578916321485</v>
      </c>
      <c r="H529" s="7">
        <f t="shared" si="59"/>
        <v>2.8553167956015299E-14</v>
      </c>
      <c r="I529" s="8">
        <f t="shared" si="60"/>
        <v>2.8553167956015299E-14</v>
      </c>
    </row>
    <row r="530" spans="1:9" x14ac:dyDescent="0.2">
      <c r="A530" s="5">
        <v>529</v>
      </c>
      <c r="B530" s="6">
        <v>1.8097829999999999</v>
      </c>
      <c r="C530" s="6">
        <f t="shared" si="56"/>
        <v>1.7187829999999999</v>
      </c>
      <c r="D530" s="6">
        <f t="shared" si="57"/>
        <v>909.23620699999992</v>
      </c>
      <c r="E530" s="6">
        <f t="shared" si="61"/>
        <v>129.8866605</v>
      </c>
      <c r="F530" s="6">
        <f t="shared" si="62"/>
        <v>1.2064999999999992E-2</v>
      </c>
      <c r="G530" s="6">
        <f t="shared" si="58"/>
        <v>-505.69189786373249</v>
      </c>
      <c r="H530" s="7">
        <f t="shared" si="59"/>
        <v>2.8962104444378743E-14</v>
      </c>
      <c r="I530" s="8">
        <f t="shared" si="60"/>
        <v>2.8962104444378743E-14</v>
      </c>
    </row>
    <row r="531" spans="1:9" x14ac:dyDescent="0.2">
      <c r="A531" s="5">
        <v>530</v>
      </c>
      <c r="B531" s="6">
        <v>1.8218840000000001</v>
      </c>
      <c r="C531" s="6">
        <f t="shared" si="56"/>
        <v>1.7308840000000001</v>
      </c>
      <c r="D531" s="6">
        <f t="shared" si="57"/>
        <v>917.3685200000001</v>
      </c>
      <c r="E531" s="6">
        <f t="shared" si="61"/>
        <v>131.61149399999999</v>
      </c>
      <c r="F531" s="6">
        <f t="shared" si="62"/>
        <v>1.1724500000000027E-2</v>
      </c>
      <c r="G531" s="6">
        <f t="shared" si="58"/>
        <v>-508.33168408502803</v>
      </c>
      <c r="H531" s="7">
        <f t="shared" si="59"/>
        <v>2.9958791818377123E-14</v>
      </c>
      <c r="I531" s="8">
        <f t="shared" si="60"/>
        <v>2.9958791818377123E-14</v>
      </c>
    </row>
    <row r="532" spans="1:9" x14ac:dyDescent="0.2">
      <c r="A532" s="5">
        <v>531</v>
      </c>
      <c r="B532" s="6">
        <v>1.833232</v>
      </c>
      <c r="C532" s="6">
        <f t="shared" si="56"/>
        <v>1.742232</v>
      </c>
      <c r="D532" s="6">
        <f t="shared" si="57"/>
        <v>925.12519199999997</v>
      </c>
      <c r="E532" s="6">
        <f t="shared" si="61"/>
        <v>133.348052</v>
      </c>
      <c r="F532" s="6">
        <f t="shared" si="62"/>
        <v>1.1492999999999975E-2</v>
      </c>
      <c r="G532" s="6">
        <f t="shared" si="58"/>
        <v>-510.79585827652147</v>
      </c>
      <c r="H532" s="7">
        <f t="shared" si="59"/>
        <v>3.071039529796964E-14</v>
      </c>
      <c r="I532" s="8">
        <f t="shared" si="60"/>
        <v>3.071039529796964E-14</v>
      </c>
    </row>
    <row r="533" spans="1:9" x14ac:dyDescent="0.2">
      <c r="A533" s="5">
        <v>532</v>
      </c>
      <c r="B533" s="6">
        <v>1.84487</v>
      </c>
      <c r="C533" s="6">
        <f t="shared" si="56"/>
        <v>1.75387</v>
      </c>
      <c r="D533" s="6">
        <f t="shared" si="57"/>
        <v>933.05884000000003</v>
      </c>
      <c r="E533" s="6">
        <f t="shared" si="61"/>
        <v>135.096103</v>
      </c>
      <c r="F533" s="6">
        <f t="shared" si="62"/>
        <v>1.1340499999999976E-2</v>
      </c>
      <c r="G533" s="6">
        <f t="shared" si="58"/>
        <v>-513.31136684337025</v>
      </c>
      <c r="H533" s="7">
        <f t="shared" si="59"/>
        <v>3.1276642401901999E-14</v>
      </c>
      <c r="I533" s="8">
        <f t="shared" si="60"/>
        <v>3.1276642401901999E-14</v>
      </c>
    </row>
    <row r="534" spans="1:9" x14ac:dyDescent="0.2">
      <c r="A534" s="5">
        <v>533</v>
      </c>
      <c r="B534" s="6">
        <v>1.8559129999999999</v>
      </c>
      <c r="C534" s="6">
        <f t="shared" si="56"/>
        <v>1.764913</v>
      </c>
      <c r="D534" s="6">
        <f t="shared" si="57"/>
        <v>940.69862899999998</v>
      </c>
      <c r="E534" s="6">
        <f t="shared" si="61"/>
        <v>136.85549449999999</v>
      </c>
      <c r="F534" s="6">
        <f t="shared" si="62"/>
        <v>1.0144500000000001E-2</v>
      </c>
      <c r="G534" s="6">
        <f t="shared" si="58"/>
        <v>-515.68722546767958</v>
      </c>
      <c r="H534" s="7">
        <f t="shared" si="59"/>
        <v>3.5125876732655874E-14</v>
      </c>
      <c r="I534" s="8">
        <f t="shared" si="60"/>
        <v>3.5125876732655874E-14</v>
      </c>
    </row>
    <row r="535" spans="1:9" x14ac:dyDescent="0.2">
      <c r="A535" s="5">
        <v>534</v>
      </c>
      <c r="B535" s="6">
        <v>1.865159</v>
      </c>
      <c r="C535" s="6">
        <f t="shared" si="56"/>
        <v>1.774159</v>
      </c>
      <c r="D535" s="6">
        <f t="shared" si="57"/>
        <v>947.40090600000008</v>
      </c>
      <c r="E535" s="6">
        <f t="shared" si="61"/>
        <v>138.62503049999998</v>
      </c>
      <c r="F535" s="6">
        <f t="shared" si="62"/>
        <v>1.021749999999999E-2</v>
      </c>
      <c r="G535" s="6">
        <f t="shared" si="58"/>
        <v>-517.66722051090733</v>
      </c>
      <c r="H535" s="7">
        <f t="shared" si="59"/>
        <v>3.5008819407225882E-14</v>
      </c>
      <c r="I535" s="8">
        <f t="shared" si="60"/>
        <v>3.5008819407225882E-14</v>
      </c>
    </row>
    <row r="536" spans="1:9" x14ac:dyDescent="0.2">
      <c r="A536" s="5">
        <v>535</v>
      </c>
      <c r="B536" s="6">
        <v>1.8763479999999999</v>
      </c>
      <c r="C536" s="6">
        <f t="shared" si="56"/>
        <v>1.7853479999999999</v>
      </c>
      <c r="D536" s="6">
        <f t="shared" si="57"/>
        <v>955.16117999999994</v>
      </c>
      <c r="E536" s="6">
        <f t="shared" si="61"/>
        <v>140.40478399999998</v>
      </c>
      <c r="F536" s="6">
        <f t="shared" si="62"/>
        <v>1.161599999999996E-2</v>
      </c>
      <c r="G536" s="6">
        <f t="shared" si="58"/>
        <v>-520.05211246901615</v>
      </c>
      <c r="H536" s="7">
        <f t="shared" si="59"/>
        <v>3.0935825377734848E-14</v>
      </c>
      <c r="I536" s="8">
        <f t="shared" si="60"/>
        <v>3.0935825377734848E-14</v>
      </c>
    </row>
    <row r="537" spans="1:9" x14ac:dyDescent="0.2">
      <c r="A537" s="5">
        <v>536</v>
      </c>
      <c r="B537" s="6">
        <v>1.8883909999999999</v>
      </c>
      <c r="C537" s="6">
        <f t="shared" si="56"/>
        <v>1.797391</v>
      </c>
      <c r="D537" s="6">
        <f t="shared" si="57"/>
        <v>963.40157599999998</v>
      </c>
      <c r="E537" s="6">
        <f t="shared" si="61"/>
        <v>142.19615349999998</v>
      </c>
      <c r="F537" s="6">
        <f t="shared" si="62"/>
        <v>1.1492500000000017E-2</v>
      </c>
      <c r="G537" s="6">
        <f t="shared" si="58"/>
        <v>-522.60698821524056</v>
      </c>
      <c r="H537" s="7">
        <f t="shared" si="59"/>
        <v>3.1421878607304268E-14</v>
      </c>
      <c r="I537" s="8">
        <f t="shared" si="60"/>
        <v>3.1421878607304268E-14</v>
      </c>
    </row>
    <row r="538" spans="1:9" x14ac:dyDescent="0.2">
      <c r="A538" s="5">
        <v>537</v>
      </c>
      <c r="B538" s="6">
        <v>1.8993329999999999</v>
      </c>
      <c r="C538" s="6">
        <f t="shared" si="56"/>
        <v>1.808333</v>
      </c>
      <c r="D538" s="6">
        <f t="shared" si="57"/>
        <v>971.07482099999993</v>
      </c>
      <c r="E538" s="6">
        <f t="shared" si="61"/>
        <v>143.99901549999998</v>
      </c>
      <c r="F538" s="6">
        <f t="shared" si="62"/>
        <v>1.076850000000007E-2</v>
      </c>
      <c r="G538" s="6">
        <f t="shared" si="58"/>
        <v>-524.91734908123658</v>
      </c>
      <c r="H538" s="7">
        <f t="shared" si="59"/>
        <v>3.3682720433396695E-14</v>
      </c>
      <c r="I538" s="8">
        <f t="shared" si="60"/>
        <v>3.3682720433396695E-14</v>
      </c>
    </row>
    <row r="539" spans="1:9" x14ac:dyDescent="0.2">
      <c r="A539" s="5">
        <v>538</v>
      </c>
      <c r="B539" s="6">
        <v>1.9099280000000001</v>
      </c>
      <c r="C539" s="6">
        <f t="shared" si="56"/>
        <v>1.8189280000000001</v>
      </c>
      <c r="D539" s="6">
        <f t="shared" si="57"/>
        <v>978.5832640000001</v>
      </c>
      <c r="E539" s="6">
        <f t="shared" si="61"/>
        <v>145.81264599999997</v>
      </c>
      <c r="F539" s="6">
        <f t="shared" si="62"/>
        <v>1.1181500000000066E-2</v>
      </c>
      <c r="G539" s="6">
        <f t="shared" si="58"/>
        <v>-527.14384724292779</v>
      </c>
      <c r="H539" s="7">
        <f t="shared" si="59"/>
        <v>3.2576207291665795E-14</v>
      </c>
      <c r="I539" s="8">
        <f t="shared" si="60"/>
        <v>3.2576207291665795E-14</v>
      </c>
    </row>
    <row r="540" spans="1:9" x14ac:dyDescent="0.2">
      <c r="A540" s="5">
        <v>539</v>
      </c>
      <c r="B540" s="6">
        <v>1.9216960000000001</v>
      </c>
      <c r="C540" s="6">
        <f t="shared" si="56"/>
        <v>1.8306960000000001</v>
      </c>
      <c r="D540" s="6">
        <f t="shared" si="57"/>
        <v>986.7451440000001</v>
      </c>
      <c r="E540" s="6">
        <f t="shared" si="61"/>
        <v>147.63745799999998</v>
      </c>
      <c r="F540" s="6">
        <f t="shared" si="62"/>
        <v>1.1108499999999966E-2</v>
      </c>
      <c r="G540" s="6">
        <f t="shared" si="58"/>
        <v>-529.60507880562568</v>
      </c>
      <c r="H540" s="7">
        <f t="shared" si="59"/>
        <v>3.2943380923722754E-14</v>
      </c>
      <c r="I540" s="8">
        <f t="shared" si="60"/>
        <v>3.2943380923722754E-14</v>
      </c>
    </row>
    <row r="541" spans="1:9" x14ac:dyDescent="0.2">
      <c r="A541" s="5">
        <v>540</v>
      </c>
      <c r="B541" s="6">
        <v>1.932145</v>
      </c>
      <c r="C541" s="6">
        <f t="shared" si="56"/>
        <v>1.841145</v>
      </c>
      <c r="D541" s="6">
        <f t="shared" si="57"/>
        <v>994.2183</v>
      </c>
      <c r="E541" s="6">
        <f t="shared" si="61"/>
        <v>149.47337849999997</v>
      </c>
      <c r="F541" s="6">
        <f t="shared" si="62"/>
        <v>9.9055000000000115E-3</v>
      </c>
      <c r="G541" s="6">
        <f t="shared" si="58"/>
        <v>-531.77999763351727</v>
      </c>
      <c r="H541" s="7">
        <f t="shared" si="59"/>
        <v>3.7095996472463333E-14</v>
      </c>
      <c r="I541" s="8">
        <f t="shared" si="60"/>
        <v>3.7095996472463333E-14</v>
      </c>
    </row>
    <row r="542" spans="1:9" x14ac:dyDescent="0.2">
      <c r="A542" s="5">
        <v>541</v>
      </c>
      <c r="B542" s="6">
        <v>1.9415070000000001</v>
      </c>
      <c r="C542" s="6">
        <f t="shared" si="56"/>
        <v>1.8505070000000001</v>
      </c>
      <c r="D542" s="6">
        <f t="shared" si="57"/>
        <v>1001.1242870000001</v>
      </c>
      <c r="E542" s="6">
        <f t="shared" si="61"/>
        <v>151.31920449999996</v>
      </c>
      <c r="F542" s="6">
        <f t="shared" si="62"/>
        <v>1.0637499999999966E-2</v>
      </c>
      <c r="G542" s="6">
        <f t="shared" si="58"/>
        <v>-533.71929962688716</v>
      </c>
      <c r="H542" s="7">
        <f t="shared" si="59"/>
        <v>3.4669276650231598E-14</v>
      </c>
      <c r="I542" s="8">
        <f t="shared" si="60"/>
        <v>3.4669276650231598E-14</v>
      </c>
    </row>
    <row r="543" spans="1:9" x14ac:dyDescent="0.2">
      <c r="A543" s="5">
        <v>542</v>
      </c>
      <c r="B543" s="6">
        <v>1.9534199999999999</v>
      </c>
      <c r="C543" s="6">
        <f t="shared" si="56"/>
        <v>1.86242</v>
      </c>
      <c r="D543" s="6">
        <f t="shared" si="57"/>
        <v>1009.43164</v>
      </c>
      <c r="E543" s="6">
        <f t="shared" si="61"/>
        <v>153.17566799999994</v>
      </c>
      <c r="F543" s="6">
        <f t="shared" si="62"/>
        <v>1.2152499999999899E-2</v>
      </c>
      <c r="G543" s="6">
        <f t="shared" si="58"/>
        <v>-536.17511837726261</v>
      </c>
      <c r="H543" s="7">
        <f t="shared" si="59"/>
        <v>3.0486844297863526E-14</v>
      </c>
      <c r="I543" s="8">
        <f t="shared" si="60"/>
        <v>3.0486844297863526E-14</v>
      </c>
    </row>
    <row r="544" spans="1:9" x14ac:dyDescent="0.2">
      <c r="A544" s="5">
        <v>543</v>
      </c>
      <c r="B544" s="6">
        <v>1.9658119999999999</v>
      </c>
      <c r="C544" s="6">
        <f t="shared" si="56"/>
        <v>1.8748119999999999</v>
      </c>
      <c r="D544" s="6">
        <f t="shared" si="57"/>
        <v>1018.022916</v>
      </c>
      <c r="E544" s="6">
        <f t="shared" si="61"/>
        <v>155.04428399999995</v>
      </c>
      <c r="F544" s="6">
        <f t="shared" si="62"/>
        <v>1.1413000000000006E-2</v>
      </c>
      <c r="G544" s="6">
        <f t="shared" si="58"/>
        <v>-538.7172891200355</v>
      </c>
      <c r="H544" s="7">
        <f t="shared" si="59"/>
        <v>3.2616138492291013E-14</v>
      </c>
      <c r="I544" s="8">
        <f t="shared" si="60"/>
        <v>3.2616138492291013E-14</v>
      </c>
    </row>
    <row r="545" spans="1:9" x14ac:dyDescent="0.2">
      <c r="A545" s="5">
        <v>544</v>
      </c>
      <c r="B545" s="6">
        <v>1.9762459999999999</v>
      </c>
      <c r="C545" s="6">
        <f t="shared" si="56"/>
        <v>1.885246</v>
      </c>
      <c r="D545" s="6">
        <f t="shared" si="57"/>
        <v>1025.5738240000001</v>
      </c>
      <c r="E545" s="6">
        <f t="shared" si="61"/>
        <v>156.92431299999996</v>
      </c>
      <c r="F545" s="6">
        <f t="shared" si="62"/>
        <v>1.1768000000000001E-2</v>
      </c>
      <c r="G545" s="6">
        <f t="shared" si="58"/>
        <v>-540.84734975609842</v>
      </c>
      <c r="H545" s="7">
        <f t="shared" si="59"/>
        <v>3.17572941995177E-14</v>
      </c>
      <c r="I545" s="8">
        <f t="shared" si="60"/>
        <v>3.17572941995177E-14</v>
      </c>
    </row>
    <row r="546" spans="1:9" x14ac:dyDescent="0.2">
      <c r="A546" s="5">
        <v>545</v>
      </c>
      <c r="B546" s="6">
        <v>1.9893479999999999</v>
      </c>
      <c r="C546" s="6">
        <f t="shared" si="56"/>
        <v>1.8983479999999999</v>
      </c>
      <c r="D546" s="6">
        <f t="shared" si="57"/>
        <v>1034.5996599999999</v>
      </c>
      <c r="E546" s="6">
        <f t="shared" si="61"/>
        <v>158.81610999999995</v>
      </c>
      <c r="F546" s="6">
        <f t="shared" si="62"/>
        <v>1.2094500000000008E-2</v>
      </c>
      <c r="G546" s="6">
        <f t="shared" si="58"/>
        <v>-543.5089702454311</v>
      </c>
      <c r="H546" s="7">
        <f t="shared" si="59"/>
        <v>3.1052047620236101E-14</v>
      </c>
      <c r="I546" s="8">
        <f t="shared" si="60"/>
        <v>3.1052047620236101E-14</v>
      </c>
    </row>
    <row r="547" spans="1:9" x14ac:dyDescent="0.2">
      <c r="A547" s="5">
        <v>546</v>
      </c>
      <c r="B547" s="6">
        <v>2.000435</v>
      </c>
      <c r="C547" s="6">
        <f t="shared" si="56"/>
        <v>1.909435</v>
      </c>
      <c r="D547" s="6">
        <f t="shared" si="57"/>
        <v>1042.55151</v>
      </c>
      <c r="E547" s="6">
        <f t="shared" si="61"/>
        <v>160.72000149999994</v>
      </c>
      <c r="F547" s="6">
        <f t="shared" si="62"/>
        <v>1.1116000000000015E-2</v>
      </c>
      <c r="G547" s="6">
        <f t="shared" si="58"/>
        <v>-545.75016429910465</v>
      </c>
      <c r="H547" s="7">
        <f t="shared" si="59"/>
        <v>3.3924759940147719E-14</v>
      </c>
      <c r="I547" s="8">
        <f t="shared" si="60"/>
        <v>3.3924759940147719E-14</v>
      </c>
    </row>
    <row r="548" spans="1:9" x14ac:dyDescent="0.2">
      <c r="A548" s="5">
        <v>547</v>
      </c>
      <c r="B548" s="6">
        <v>2.0115799999999999</v>
      </c>
      <c r="C548" s="6">
        <f t="shared" si="56"/>
        <v>1.92058</v>
      </c>
      <c r="D548" s="6">
        <f t="shared" si="57"/>
        <v>1050.55726</v>
      </c>
      <c r="E548" s="6">
        <f t="shared" si="61"/>
        <v>162.63500899999994</v>
      </c>
      <c r="F548" s="6">
        <f t="shared" si="62"/>
        <v>1.1390999999999929E-2</v>
      </c>
      <c r="G548" s="6">
        <f t="shared" si="58"/>
        <v>-547.99193782784926</v>
      </c>
      <c r="H548" s="7">
        <f t="shared" si="59"/>
        <v>3.3241741151576652E-14</v>
      </c>
      <c r="I548" s="8">
        <f t="shared" si="60"/>
        <v>3.3241741151576652E-14</v>
      </c>
    </row>
    <row r="549" spans="1:9" x14ac:dyDescent="0.2">
      <c r="A549" s="5">
        <v>548</v>
      </c>
      <c r="B549" s="6">
        <v>2.0232169999999998</v>
      </c>
      <c r="C549" s="6">
        <f t="shared" si="56"/>
        <v>1.9322169999999999</v>
      </c>
      <c r="D549" s="6">
        <f t="shared" si="57"/>
        <v>1058.854916</v>
      </c>
      <c r="E549" s="6">
        <f t="shared" si="61"/>
        <v>164.56140749999994</v>
      </c>
      <c r="F549" s="6">
        <f t="shared" si="62"/>
        <v>1.1905500000000124E-2</v>
      </c>
      <c r="G549" s="6">
        <f t="shared" si="58"/>
        <v>-550.32103824857609</v>
      </c>
      <c r="H549" s="7">
        <f t="shared" si="59"/>
        <v>3.1940368517549859E-14</v>
      </c>
      <c r="I549" s="8">
        <f t="shared" si="60"/>
        <v>3.1940368517549859E-14</v>
      </c>
    </row>
    <row r="550" spans="1:9" x14ac:dyDescent="0.2">
      <c r="A550" s="5">
        <v>549</v>
      </c>
      <c r="B550" s="6">
        <v>2.0353910000000002</v>
      </c>
      <c r="C550" s="6">
        <f t="shared" si="56"/>
        <v>1.9443910000000002</v>
      </c>
      <c r="D550" s="6">
        <f t="shared" si="57"/>
        <v>1067.4706590000001</v>
      </c>
      <c r="E550" s="6">
        <f t="shared" si="61"/>
        <v>166.49971149999993</v>
      </c>
      <c r="F550" s="6">
        <f t="shared" si="62"/>
        <v>1.1036500000000116E-2</v>
      </c>
      <c r="G550" s="6">
        <f t="shared" si="58"/>
        <v>-552.74544313677154</v>
      </c>
      <c r="H550" s="7">
        <f t="shared" si="59"/>
        <v>3.4607103311721146E-14</v>
      </c>
      <c r="I550" s="8">
        <f t="shared" si="60"/>
        <v>3.4607103311721146E-14</v>
      </c>
    </row>
    <row r="551" spans="1:9" x14ac:dyDescent="0.2">
      <c r="A551" s="5">
        <v>550</v>
      </c>
      <c r="B551" s="6">
        <v>2.0452900000000001</v>
      </c>
      <c r="C551" s="6">
        <f t="shared" si="56"/>
        <v>1.9542900000000001</v>
      </c>
      <c r="D551" s="6">
        <f t="shared" si="57"/>
        <v>1074.8595</v>
      </c>
      <c r="E551" s="6">
        <f t="shared" si="61"/>
        <v>168.44905199999994</v>
      </c>
      <c r="F551" s="6">
        <f t="shared" si="62"/>
        <v>1.1587000000000014E-2</v>
      </c>
      <c r="G551" s="6">
        <f t="shared" si="58"/>
        <v>-554.70689159760991</v>
      </c>
      <c r="H551" s="7">
        <f t="shared" si="59"/>
        <v>3.307988573272469E-14</v>
      </c>
      <c r="I551" s="8">
        <f t="shared" si="60"/>
        <v>3.307988573272469E-14</v>
      </c>
    </row>
    <row r="552" spans="1:9" x14ac:dyDescent="0.2">
      <c r="A552" s="5">
        <v>551</v>
      </c>
      <c r="B552" s="6">
        <v>2.0585650000000002</v>
      </c>
      <c r="C552" s="6">
        <f t="shared" si="56"/>
        <v>1.9675650000000002</v>
      </c>
      <c r="D552" s="6">
        <f t="shared" si="57"/>
        <v>1084.1283150000002</v>
      </c>
      <c r="E552" s="6">
        <f t="shared" si="61"/>
        <v>170.40997949999993</v>
      </c>
      <c r="F552" s="6">
        <f t="shared" si="62"/>
        <v>1.1956499999999926E-2</v>
      </c>
      <c r="G552" s="6">
        <f t="shared" si="58"/>
        <v>-557.32400636603381</v>
      </c>
      <c r="H552" s="7">
        <f t="shared" si="59"/>
        <v>3.2208843290461491E-14</v>
      </c>
      <c r="I552" s="8">
        <f t="shared" si="60"/>
        <v>3.2208843290461491E-14</v>
      </c>
    </row>
    <row r="553" spans="1:9" x14ac:dyDescent="0.2">
      <c r="A553" s="5">
        <v>552</v>
      </c>
      <c r="B553" s="6">
        <v>2.0692029999999999</v>
      </c>
      <c r="C553" s="6">
        <f t="shared" si="56"/>
        <v>1.9782029999999999</v>
      </c>
      <c r="D553" s="6">
        <f t="shared" si="57"/>
        <v>1091.9680559999999</v>
      </c>
      <c r="E553" s="6">
        <f t="shared" si="61"/>
        <v>172.38286349999993</v>
      </c>
      <c r="F553" s="6">
        <f t="shared" si="62"/>
        <v>9.6739999999999604E-3</v>
      </c>
      <c r="G553" s="6">
        <f t="shared" si="58"/>
        <v>-559.41060881096746</v>
      </c>
      <c r="H553" s="7">
        <f t="shared" si="59"/>
        <v>3.9957293278497147E-14</v>
      </c>
      <c r="I553" s="8">
        <f t="shared" si="60"/>
        <v>3.9957293278497147E-14</v>
      </c>
    </row>
    <row r="554" spans="1:9" x14ac:dyDescent="0.2">
      <c r="A554" s="5">
        <v>553</v>
      </c>
      <c r="B554" s="6">
        <v>2.0779130000000001</v>
      </c>
      <c r="C554" s="6">
        <f t="shared" si="56"/>
        <v>1.9869130000000002</v>
      </c>
      <c r="D554" s="6">
        <f t="shared" si="57"/>
        <v>1098.7628890000001</v>
      </c>
      <c r="E554" s="6">
        <f t="shared" si="61"/>
        <v>174.36542149999994</v>
      </c>
      <c r="F554" s="6">
        <f t="shared" si="62"/>
        <v>9.3550000000000022E-3</v>
      </c>
      <c r="G554" s="6">
        <f t="shared" si="58"/>
        <v>-561.1103315328487</v>
      </c>
      <c r="H554" s="7">
        <f t="shared" si="59"/>
        <v>4.1445360312639586E-14</v>
      </c>
      <c r="I554" s="8">
        <f t="shared" si="60"/>
        <v>4.1445360312639586E-14</v>
      </c>
    </row>
    <row r="555" spans="1:9" x14ac:dyDescent="0.2">
      <c r="A555" s="5">
        <v>554</v>
      </c>
      <c r="B555" s="6">
        <v>2.0879129999999999</v>
      </c>
      <c r="C555" s="6">
        <f t="shared" si="56"/>
        <v>1.9969129999999999</v>
      </c>
      <c r="D555" s="6">
        <f t="shared" si="57"/>
        <v>1106.289802</v>
      </c>
      <c r="E555" s="6">
        <f t="shared" si="61"/>
        <v>176.35733449999995</v>
      </c>
      <c r="F555" s="6">
        <f t="shared" si="62"/>
        <v>1.0427500000000034E-2</v>
      </c>
      <c r="G555" s="6">
        <f t="shared" si="58"/>
        <v>-563.05179275200044</v>
      </c>
      <c r="H555" s="7">
        <f t="shared" si="59"/>
        <v>3.7311232321834619E-14</v>
      </c>
      <c r="I555" s="8">
        <f t="shared" si="60"/>
        <v>3.7311232321834619E-14</v>
      </c>
    </row>
    <row r="556" spans="1:9" x14ac:dyDescent="0.2">
      <c r="A556" s="5">
        <v>555</v>
      </c>
      <c r="B556" s="6">
        <v>2.0987680000000002</v>
      </c>
      <c r="C556" s="6">
        <f t="shared" si="56"/>
        <v>2.007768</v>
      </c>
      <c r="D556" s="6">
        <f t="shared" si="57"/>
        <v>1114.31124</v>
      </c>
      <c r="E556" s="6">
        <f t="shared" si="61"/>
        <v>178.35967499999995</v>
      </c>
      <c r="F556" s="6">
        <f t="shared" si="62"/>
        <v>1.0819000000000134E-2</v>
      </c>
      <c r="G556" s="6">
        <f t="shared" si="58"/>
        <v>-565.14839390538964</v>
      </c>
      <c r="H556" s="7">
        <f t="shared" si="59"/>
        <v>3.6094981459675788E-14</v>
      </c>
      <c r="I556" s="8">
        <f t="shared" si="60"/>
        <v>3.6094981459675788E-14</v>
      </c>
    </row>
    <row r="557" spans="1:9" x14ac:dyDescent="0.2">
      <c r="A557" s="5">
        <v>556</v>
      </c>
      <c r="B557" s="6">
        <v>2.1095510000000002</v>
      </c>
      <c r="C557" s="6">
        <f t="shared" si="56"/>
        <v>2.018551</v>
      </c>
      <c r="D557" s="6">
        <f t="shared" si="57"/>
        <v>1122.3143560000001</v>
      </c>
      <c r="E557" s="6">
        <f t="shared" si="61"/>
        <v>180.37283449999995</v>
      </c>
      <c r="F557" s="6">
        <f t="shared" si="62"/>
        <v>1.0804499999999884E-2</v>
      </c>
      <c r="G557" s="6">
        <f t="shared" si="58"/>
        <v>-567.22030553800096</v>
      </c>
      <c r="H557" s="7">
        <f t="shared" si="59"/>
        <v>3.6275928880466872E-14</v>
      </c>
      <c r="I557" s="8">
        <f t="shared" si="60"/>
        <v>3.6275928880466872E-14</v>
      </c>
    </row>
    <row r="558" spans="1:9" x14ac:dyDescent="0.2">
      <c r="A558" s="5">
        <v>557</v>
      </c>
      <c r="B558" s="6">
        <v>2.120377</v>
      </c>
      <c r="C558" s="6">
        <f t="shared" si="56"/>
        <v>2.0293769999999998</v>
      </c>
      <c r="D558" s="6">
        <f t="shared" si="57"/>
        <v>1130.362989</v>
      </c>
      <c r="E558" s="6">
        <f t="shared" si="61"/>
        <v>182.39679849999996</v>
      </c>
      <c r="F558" s="6">
        <f t="shared" si="62"/>
        <v>1.0782499999999917E-2</v>
      </c>
      <c r="G558" s="6">
        <f t="shared" si="58"/>
        <v>-569.28965345385461</v>
      </c>
      <c r="H558" s="7">
        <f t="shared" si="59"/>
        <v>3.6482557038202028E-14</v>
      </c>
      <c r="I558" s="8">
        <f t="shared" si="60"/>
        <v>3.6482557038202028E-14</v>
      </c>
    </row>
    <row r="559" spans="1:9" x14ac:dyDescent="0.2">
      <c r="A559" s="5">
        <v>558</v>
      </c>
      <c r="B559" s="6">
        <v>2.131116</v>
      </c>
      <c r="C559" s="6">
        <f t="shared" si="56"/>
        <v>2.0401159999999998</v>
      </c>
      <c r="D559" s="6">
        <f t="shared" si="57"/>
        <v>1138.384728</v>
      </c>
      <c r="E559" s="6">
        <f t="shared" si="61"/>
        <v>184.43154499999997</v>
      </c>
      <c r="F559" s="6">
        <f t="shared" si="62"/>
        <v>9.927500000000089E-3</v>
      </c>
      <c r="G559" s="6">
        <f t="shared" si="58"/>
        <v>-571.33163265710175</v>
      </c>
      <c r="H559" s="7">
        <f t="shared" si="59"/>
        <v>3.9766724497291421E-14</v>
      </c>
      <c r="I559" s="8">
        <f t="shared" si="60"/>
        <v>3.9766724497291421E-14</v>
      </c>
    </row>
    <row r="560" spans="1:9" x14ac:dyDescent="0.2">
      <c r="A560" s="5">
        <v>559</v>
      </c>
      <c r="B560" s="6">
        <v>2.1402320000000001</v>
      </c>
      <c r="C560" s="6">
        <f t="shared" si="56"/>
        <v>2.0492319999999999</v>
      </c>
      <c r="D560" s="6">
        <f t="shared" si="57"/>
        <v>1145.5206880000001</v>
      </c>
      <c r="E560" s="6">
        <f t="shared" si="61"/>
        <v>186.47621899999996</v>
      </c>
      <c r="F560" s="6">
        <f t="shared" si="62"/>
        <v>9.5795000000000741E-3</v>
      </c>
      <c r="G560" s="6">
        <f t="shared" si="58"/>
        <v>-573.05588870448059</v>
      </c>
      <c r="H560" s="7">
        <f t="shared" si="59"/>
        <v>4.1335727362145099E-14</v>
      </c>
      <c r="I560" s="8">
        <f t="shared" si="60"/>
        <v>4.1335727362145099E-14</v>
      </c>
    </row>
    <row r="561" spans="1:9" x14ac:dyDescent="0.2">
      <c r="A561" s="5">
        <v>560</v>
      </c>
      <c r="B561" s="6">
        <v>2.1502750000000002</v>
      </c>
      <c r="C561" s="6">
        <f t="shared" si="56"/>
        <v>2.059275</v>
      </c>
      <c r="D561" s="6">
        <f t="shared" si="57"/>
        <v>1153.194</v>
      </c>
      <c r="E561" s="6">
        <f t="shared" si="61"/>
        <v>188.53047249999995</v>
      </c>
      <c r="F561" s="6">
        <f t="shared" si="62"/>
        <v>9.6809999999998286E-3</v>
      </c>
      <c r="G561" s="6">
        <f t="shared" si="58"/>
        <v>-574.94544020687465</v>
      </c>
      <c r="H561" s="7">
        <f t="shared" si="59"/>
        <v>4.1037213150273488E-14</v>
      </c>
      <c r="I561" s="8">
        <f t="shared" si="60"/>
        <v>4.1037213150273488E-14</v>
      </c>
    </row>
    <row r="562" spans="1:9" x14ac:dyDescent="0.2">
      <c r="A562" s="5">
        <v>561</v>
      </c>
      <c r="B562" s="6">
        <v>2.1595939999999998</v>
      </c>
      <c r="C562" s="6">
        <f t="shared" si="56"/>
        <v>2.0685939999999996</v>
      </c>
      <c r="D562" s="6">
        <f t="shared" si="57"/>
        <v>1160.4812339999999</v>
      </c>
      <c r="E562" s="6">
        <f t="shared" si="61"/>
        <v>190.59440699999993</v>
      </c>
      <c r="F562" s="6">
        <f t="shared" si="62"/>
        <v>9.8624999999998852E-3</v>
      </c>
      <c r="G562" s="6">
        <f t="shared" si="58"/>
        <v>-576.68945491700208</v>
      </c>
      <c r="H562" s="7">
        <f t="shared" si="59"/>
        <v>4.0404193293286329E-14</v>
      </c>
      <c r="I562" s="8">
        <f t="shared" si="60"/>
        <v>4.0404193293286329E-14</v>
      </c>
    </row>
    <row r="563" spans="1:9" x14ac:dyDescent="0.2">
      <c r="A563" s="5">
        <v>562</v>
      </c>
      <c r="B563" s="6">
        <v>2.17</v>
      </c>
      <c r="C563" s="6">
        <f t="shared" si="56"/>
        <v>2.0789999999999997</v>
      </c>
      <c r="D563" s="6">
        <f t="shared" si="57"/>
        <v>1168.3979999999999</v>
      </c>
      <c r="E563" s="6">
        <f t="shared" si="61"/>
        <v>192.66820399999995</v>
      </c>
      <c r="F563" s="6">
        <f t="shared" si="62"/>
        <v>1.0116000000000014E-2</v>
      </c>
      <c r="G563" s="6">
        <f t="shared" si="58"/>
        <v>-578.62649146165143</v>
      </c>
      <c r="H563" s="7">
        <f t="shared" si="59"/>
        <v>3.9524004375505241E-14</v>
      </c>
      <c r="I563" s="8">
        <f t="shared" si="60"/>
        <v>3.9524004375505241E-14</v>
      </c>
    </row>
    <row r="564" spans="1:9" x14ac:dyDescent="0.2">
      <c r="A564" s="5">
        <v>563</v>
      </c>
      <c r="B564" s="6">
        <v>2.1798259999999998</v>
      </c>
      <c r="C564" s="6">
        <f t="shared" si="56"/>
        <v>2.0888259999999996</v>
      </c>
      <c r="D564" s="6">
        <f t="shared" si="57"/>
        <v>1176.0090379999997</v>
      </c>
      <c r="E564" s="6">
        <f t="shared" si="61"/>
        <v>194.75211699999994</v>
      </c>
      <c r="F564" s="6">
        <f t="shared" si="62"/>
        <v>9.5069999999999322E-3</v>
      </c>
      <c r="G564" s="6">
        <f t="shared" si="58"/>
        <v>-580.44573725558996</v>
      </c>
      <c r="H564" s="7">
        <f t="shared" si="59"/>
        <v>4.2188062269760595E-14</v>
      </c>
      <c r="I564" s="8">
        <f t="shared" si="60"/>
        <v>4.2188062269760595E-14</v>
      </c>
    </row>
    <row r="565" spans="1:9" x14ac:dyDescent="0.2">
      <c r="A565" s="5">
        <v>564</v>
      </c>
      <c r="B565" s="6">
        <v>2.1890139999999998</v>
      </c>
      <c r="C565" s="6">
        <f t="shared" si="56"/>
        <v>2.0980139999999996</v>
      </c>
      <c r="D565" s="6">
        <f t="shared" si="57"/>
        <v>1183.2798959999998</v>
      </c>
      <c r="E565" s="6">
        <f t="shared" si="61"/>
        <v>196.84553699999995</v>
      </c>
      <c r="F565" s="6">
        <f t="shared" si="62"/>
        <v>1.0543500000000039E-2</v>
      </c>
      <c r="G565" s="6">
        <f t="shared" si="58"/>
        <v>-582.13767182374659</v>
      </c>
      <c r="H565" s="7">
        <f t="shared" si="59"/>
        <v>3.8151564187864444E-14</v>
      </c>
      <c r="I565" s="8">
        <f t="shared" si="60"/>
        <v>3.8151564187864444E-14</v>
      </c>
    </row>
    <row r="566" spans="1:9" x14ac:dyDescent="0.2">
      <c r="A566" s="5">
        <v>565</v>
      </c>
      <c r="B566" s="6">
        <v>2.2009129999999999</v>
      </c>
      <c r="C566" s="6">
        <f t="shared" si="56"/>
        <v>2.1099129999999997</v>
      </c>
      <c r="D566" s="6">
        <f t="shared" si="57"/>
        <v>1192.1008449999999</v>
      </c>
      <c r="E566" s="6">
        <f t="shared" si="61"/>
        <v>198.94950049999994</v>
      </c>
      <c r="F566" s="6">
        <f t="shared" si="62"/>
        <v>1.145700000000005E-2</v>
      </c>
      <c r="G566" s="6">
        <f t="shared" si="58"/>
        <v>-584.31692752841536</v>
      </c>
      <c r="H566" s="7">
        <f t="shared" si="59"/>
        <v>3.5241063089627651E-14</v>
      </c>
      <c r="I566" s="8">
        <f t="shared" si="60"/>
        <v>3.5241063089627651E-14</v>
      </c>
    </row>
    <row r="567" spans="1:9" x14ac:dyDescent="0.2">
      <c r="A567" s="5">
        <v>566</v>
      </c>
      <c r="B567" s="6">
        <v>2.2119279999999999</v>
      </c>
      <c r="C567" s="6">
        <f t="shared" si="56"/>
        <v>2.1209279999999997</v>
      </c>
      <c r="D567" s="6">
        <f t="shared" si="57"/>
        <v>1200.4452479999998</v>
      </c>
      <c r="E567" s="6">
        <f t="shared" si="61"/>
        <v>201.06492099999994</v>
      </c>
      <c r="F567" s="6">
        <f t="shared" si="62"/>
        <v>1.0637500000000077E-2</v>
      </c>
      <c r="G567" s="6">
        <f t="shared" si="58"/>
        <v>-586.32326706131096</v>
      </c>
      <c r="H567" s="7">
        <f t="shared" si="59"/>
        <v>3.8086319094000336E-14</v>
      </c>
      <c r="I567" s="8">
        <f t="shared" si="60"/>
        <v>3.8086319094000336E-14</v>
      </c>
    </row>
    <row r="568" spans="1:9" x14ac:dyDescent="0.2">
      <c r="A568" s="5">
        <v>567</v>
      </c>
      <c r="B568" s="6">
        <v>2.2221880000000001</v>
      </c>
      <c r="C568" s="6">
        <f t="shared" si="56"/>
        <v>2.1311879999999999</v>
      </c>
      <c r="D568" s="6">
        <f t="shared" si="57"/>
        <v>1208.3835959999999</v>
      </c>
      <c r="E568" s="6">
        <f t="shared" si="61"/>
        <v>203.19097899999994</v>
      </c>
      <c r="F568" s="6">
        <f t="shared" si="62"/>
        <v>9.811500000000084E-3</v>
      </c>
      <c r="G568" s="6">
        <f t="shared" si="58"/>
        <v>-588.18182627216072</v>
      </c>
      <c r="H568" s="7">
        <f t="shared" si="59"/>
        <v>4.1423580926117604E-14</v>
      </c>
      <c r="I568" s="8">
        <f t="shared" si="60"/>
        <v>4.1423580926117604E-14</v>
      </c>
    </row>
    <row r="569" spans="1:9" x14ac:dyDescent="0.2">
      <c r="A569" s="5">
        <v>568</v>
      </c>
      <c r="B569" s="6">
        <v>2.2315510000000001</v>
      </c>
      <c r="C569" s="6">
        <f t="shared" si="56"/>
        <v>2.1405509999999999</v>
      </c>
      <c r="D569" s="6">
        <f t="shared" si="57"/>
        <v>1215.8329679999999</v>
      </c>
      <c r="E569" s="6">
        <f t="shared" si="61"/>
        <v>205.32684849999995</v>
      </c>
      <c r="F569" s="6">
        <f t="shared" si="62"/>
        <v>9.4205000000000538E-3</v>
      </c>
      <c r="G569" s="6">
        <f t="shared" si="58"/>
        <v>-589.86853441165249</v>
      </c>
      <c r="H569" s="7">
        <f t="shared" si="59"/>
        <v>4.3266595389356104E-14</v>
      </c>
      <c r="I569" s="8">
        <f t="shared" si="60"/>
        <v>4.3266595389356104E-14</v>
      </c>
    </row>
    <row r="570" spans="1:9" x14ac:dyDescent="0.2">
      <c r="A570" s="5">
        <v>569</v>
      </c>
      <c r="B570" s="6">
        <v>2.2410290000000002</v>
      </c>
      <c r="C570" s="6">
        <f t="shared" si="56"/>
        <v>2.150029</v>
      </c>
      <c r="D570" s="6">
        <f t="shared" si="57"/>
        <v>1223.366501</v>
      </c>
      <c r="E570" s="6">
        <f t="shared" si="61"/>
        <v>207.47213849999994</v>
      </c>
      <c r="F570" s="6">
        <f t="shared" si="62"/>
        <v>8.3839999999999471E-3</v>
      </c>
      <c r="G570" s="6">
        <f t="shared" si="58"/>
        <v>-591.56648135516457</v>
      </c>
      <c r="H570" s="7">
        <f t="shared" si="59"/>
        <v>4.8755513522160739E-14</v>
      </c>
      <c r="I570" s="8">
        <f t="shared" si="60"/>
        <v>4.8755513522160739E-14</v>
      </c>
    </row>
    <row r="571" spans="1:9" x14ac:dyDescent="0.2">
      <c r="A571" s="5">
        <v>570</v>
      </c>
      <c r="B571" s="6">
        <v>2.248319</v>
      </c>
      <c r="C571" s="6">
        <f t="shared" si="56"/>
        <v>2.1573189999999998</v>
      </c>
      <c r="D571" s="6">
        <f t="shared" si="57"/>
        <v>1229.6718299999998</v>
      </c>
      <c r="E571" s="6">
        <f t="shared" si="61"/>
        <v>209.62581249999994</v>
      </c>
      <c r="F571" s="6">
        <f t="shared" si="62"/>
        <v>8.3259999999998335E-3</v>
      </c>
      <c r="G571" s="6">
        <f t="shared" si="58"/>
        <v>-592.86516658392611</v>
      </c>
      <c r="H571" s="7">
        <f t="shared" si="59"/>
        <v>4.9202930965977922E-14</v>
      </c>
      <c r="I571" s="8">
        <f t="shared" si="60"/>
        <v>4.9202930965977922E-14</v>
      </c>
    </row>
    <row r="572" spans="1:9" x14ac:dyDescent="0.2">
      <c r="A572" s="5">
        <v>571</v>
      </c>
      <c r="B572" s="6">
        <v>2.2576809999999998</v>
      </c>
      <c r="C572" s="6">
        <f t="shared" si="56"/>
        <v>2.1666809999999996</v>
      </c>
      <c r="D572" s="6">
        <f t="shared" si="57"/>
        <v>1237.1748509999998</v>
      </c>
      <c r="E572" s="6">
        <f t="shared" si="61"/>
        <v>211.78781249999994</v>
      </c>
      <c r="F572" s="6">
        <f t="shared" si="62"/>
        <v>9.116000000000124E-3</v>
      </c>
      <c r="G572" s="6">
        <f t="shared" si="58"/>
        <v>-594.52360857729605</v>
      </c>
      <c r="H572" s="7">
        <f t="shared" si="59"/>
        <v>4.5064674113805811E-14</v>
      </c>
      <c r="I572" s="8">
        <f t="shared" si="60"/>
        <v>4.5064674113805811E-14</v>
      </c>
    </row>
    <row r="573" spans="1:9" x14ac:dyDescent="0.2">
      <c r="A573" s="5">
        <v>572</v>
      </c>
      <c r="B573" s="6">
        <v>2.2665510000000002</v>
      </c>
      <c r="C573" s="6">
        <f t="shared" si="56"/>
        <v>2.175551</v>
      </c>
      <c r="D573" s="6">
        <f t="shared" si="57"/>
        <v>1244.415172</v>
      </c>
      <c r="E573" s="6">
        <f t="shared" si="61"/>
        <v>213.95892849999996</v>
      </c>
      <c r="F573" s="6">
        <f t="shared" si="62"/>
        <v>9.2100000000001625E-3</v>
      </c>
      <c r="G573" s="6">
        <f t="shared" si="58"/>
        <v>-596.08602467868377</v>
      </c>
      <c r="H573" s="7">
        <f t="shared" si="59"/>
        <v>4.4721952479629929E-14</v>
      </c>
      <c r="I573" s="8">
        <f t="shared" si="60"/>
        <v>4.4721952479629929E-14</v>
      </c>
    </row>
    <row r="574" spans="1:9" x14ac:dyDescent="0.2">
      <c r="A574" s="5">
        <v>573</v>
      </c>
      <c r="B574" s="6">
        <v>2.2761010000000002</v>
      </c>
      <c r="C574" s="6">
        <f t="shared" si="56"/>
        <v>2.185101</v>
      </c>
      <c r="D574" s="6">
        <f t="shared" si="57"/>
        <v>1252.0628730000001</v>
      </c>
      <c r="E574" s="6">
        <f t="shared" si="61"/>
        <v>216.13925449999996</v>
      </c>
      <c r="F574" s="6">
        <f t="shared" si="62"/>
        <v>9.4199999999999839E-3</v>
      </c>
      <c r="G574" s="6">
        <f t="shared" si="58"/>
        <v>-597.75867014297364</v>
      </c>
      <c r="H574" s="7">
        <f t="shared" si="59"/>
        <v>4.3847660592925813E-14</v>
      </c>
      <c r="I574" s="8">
        <f t="shared" si="60"/>
        <v>4.3847660592925813E-14</v>
      </c>
    </row>
    <row r="575" spans="1:9" x14ac:dyDescent="0.2">
      <c r="A575" s="5">
        <v>574</v>
      </c>
      <c r="B575" s="6">
        <v>2.2853910000000002</v>
      </c>
      <c r="C575" s="6">
        <f t="shared" si="56"/>
        <v>2.194391</v>
      </c>
      <c r="D575" s="6">
        <f t="shared" si="57"/>
        <v>1259.580434</v>
      </c>
      <c r="E575" s="6">
        <f t="shared" si="61"/>
        <v>218.32900049999998</v>
      </c>
      <c r="F575" s="6">
        <f t="shared" si="62"/>
        <v>8.9709999999998402E-3</v>
      </c>
      <c r="G575" s="6">
        <f t="shared" si="58"/>
        <v>-599.37648761556568</v>
      </c>
      <c r="H575" s="7">
        <f t="shared" si="59"/>
        <v>4.6166855162961401E-14</v>
      </c>
      <c r="I575" s="8">
        <f t="shared" si="60"/>
        <v>4.6166855162961401E-14</v>
      </c>
    </row>
    <row r="576" spans="1:9" x14ac:dyDescent="0.2">
      <c r="A576" s="5">
        <v>575</v>
      </c>
      <c r="B576" s="6">
        <v>2.2940429999999998</v>
      </c>
      <c r="C576" s="6">
        <f t="shared" si="56"/>
        <v>2.2030429999999996</v>
      </c>
      <c r="D576" s="6">
        <f t="shared" si="57"/>
        <v>1266.7497249999999</v>
      </c>
      <c r="E576" s="6">
        <f t="shared" si="61"/>
        <v>220.52771749999997</v>
      </c>
      <c r="F576" s="6">
        <f t="shared" si="62"/>
        <v>8.2829999999998183E-3</v>
      </c>
      <c r="G576" s="6">
        <f t="shared" si="58"/>
        <v>-600.87454786237572</v>
      </c>
      <c r="H576" s="7">
        <f t="shared" si="59"/>
        <v>5.0126524394939872E-14</v>
      </c>
      <c r="I576" s="8">
        <f t="shared" si="60"/>
        <v>5.0126524394939872E-14</v>
      </c>
    </row>
    <row r="577" spans="1:9" x14ac:dyDescent="0.2">
      <c r="A577" s="5">
        <v>576</v>
      </c>
      <c r="B577" s="6">
        <v>2.3019569999999998</v>
      </c>
      <c r="C577" s="6">
        <f t="shared" si="56"/>
        <v>2.2109569999999996</v>
      </c>
      <c r="D577" s="6">
        <f t="shared" si="57"/>
        <v>1273.5112319999998</v>
      </c>
      <c r="E577" s="6">
        <f t="shared" si="61"/>
        <v>222.73471749999996</v>
      </c>
      <c r="F577" s="6">
        <f t="shared" si="62"/>
        <v>8.7320000000001841E-3</v>
      </c>
      <c r="G577" s="6">
        <f t="shared" si="58"/>
        <v>-602.2369122712123</v>
      </c>
      <c r="H577" s="7">
        <f t="shared" si="59"/>
        <v>4.7656823300596281E-14</v>
      </c>
      <c r="I577" s="8">
        <f t="shared" si="60"/>
        <v>4.7656823300596281E-14</v>
      </c>
    </row>
    <row r="578" spans="1:9" x14ac:dyDescent="0.2">
      <c r="A578" s="5">
        <v>577</v>
      </c>
      <c r="B578" s="6">
        <v>2.3115070000000002</v>
      </c>
      <c r="C578" s="6">
        <f t="shared" ref="C578:C641" si="63">B578-$B$2</f>
        <v>2.220507</v>
      </c>
      <c r="D578" s="6">
        <f t="shared" ref="D578:D641" si="64">A578*C578</f>
        <v>1281.2325390000001</v>
      </c>
      <c r="E578" s="6">
        <f t="shared" si="61"/>
        <v>224.95044949999996</v>
      </c>
      <c r="F578" s="6">
        <f t="shared" si="62"/>
        <v>8.340500000000084E-3</v>
      </c>
      <c r="G578" s="6">
        <f t="shared" ref="G578:G641" si="65">(A578-$L$5)*C578-E578</f>
        <v>-603.87135773550233</v>
      </c>
      <c r="H578" s="7">
        <f t="shared" ref="H578:H641" si="66">IF(ABS(F578)&lt;0.000000001,"",-(G578)/(2*$L$4*F578)*0.000000000001)</f>
        <v>5.0029226750193521E-14</v>
      </c>
      <c r="I578" s="8">
        <f t="shared" ref="I578:I641" si="67">IF(AND(B578&gt;=0.5,B578&lt;=2.5,ISNUMBER(H578),H578&gt;0),H578,"")</f>
        <v>5.0029226750193521E-14</v>
      </c>
    </row>
    <row r="579" spans="1:9" x14ac:dyDescent="0.2">
      <c r="A579" s="5">
        <v>578</v>
      </c>
      <c r="B579" s="6">
        <v>2.318638</v>
      </c>
      <c r="C579" s="6">
        <f t="shared" si="63"/>
        <v>2.2276379999999998</v>
      </c>
      <c r="D579" s="6">
        <f t="shared" si="64"/>
        <v>1287.574764</v>
      </c>
      <c r="E579" s="6">
        <f t="shared" ref="E579:E642" si="68">E578+(C578+C579)/2*(A579-A578)</f>
        <v>227.17452199999997</v>
      </c>
      <c r="F579" s="6">
        <f t="shared" ref="F579:F642" si="69">(B580-B578)/(A580-A578)</f>
        <v>8.4130000000000038E-3</v>
      </c>
      <c r="G579" s="6">
        <f t="shared" si="65"/>
        <v>-605.08466973087945</v>
      </c>
      <c r="H579" s="7">
        <f t="shared" si="66"/>
        <v>4.9697747718451669E-14</v>
      </c>
      <c r="I579" s="8">
        <f t="shared" si="67"/>
        <v>4.9697747718451669E-14</v>
      </c>
    </row>
    <row r="580" spans="1:9" x14ac:dyDescent="0.2">
      <c r="A580" s="5">
        <v>579</v>
      </c>
      <c r="B580" s="6">
        <v>2.3283330000000002</v>
      </c>
      <c r="C580" s="6">
        <f t="shared" si="63"/>
        <v>2.237333</v>
      </c>
      <c r="D580" s="6">
        <f t="shared" si="64"/>
        <v>1295.4158070000001</v>
      </c>
      <c r="E580" s="6">
        <f t="shared" si="68"/>
        <v>229.40700749999996</v>
      </c>
      <c r="F580" s="6">
        <f t="shared" si="69"/>
        <v>8.9420000000000055E-3</v>
      </c>
      <c r="G580" s="6">
        <f t="shared" si="65"/>
        <v>-606.72454138284706</v>
      </c>
      <c r="H580" s="7">
        <f t="shared" si="66"/>
        <v>4.6884397857661076E-14</v>
      </c>
      <c r="I580" s="8">
        <f t="shared" si="67"/>
        <v>4.6884397857661076E-14</v>
      </c>
    </row>
    <row r="581" spans="1:9" x14ac:dyDescent="0.2">
      <c r="A581" s="5">
        <v>580</v>
      </c>
      <c r="B581" s="6">
        <v>2.336522</v>
      </c>
      <c r="C581" s="6">
        <f t="shared" si="63"/>
        <v>2.2455219999999998</v>
      </c>
      <c r="D581" s="6">
        <f t="shared" si="64"/>
        <v>1302.4027599999999</v>
      </c>
      <c r="E581" s="6">
        <f t="shared" si="68"/>
        <v>231.64843499999995</v>
      </c>
      <c r="F581" s="6">
        <f t="shared" si="69"/>
        <v>7.9929999999999168E-3</v>
      </c>
      <c r="G581" s="6">
        <f t="shared" si="65"/>
        <v>-608.10148997521037</v>
      </c>
      <c r="H581" s="7">
        <f t="shared" si="66"/>
        <v>5.256996655303219E-14</v>
      </c>
      <c r="I581" s="8">
        <f t="shared" si="67"/>
        <v>5.256996655303219E-14</v>
      </c>
    </row>
    <row r="582" spans="1:9" x14ac:dyDescent="0.2">
      <c r="A582" s="5">
        <v>581</v>
      </c>
      <c r="B582" s="6">
        <v>2.344319</v>
      </c>
      <c r="C582" s="6">
        <f t="shared" si="63"/>
        <v>2.2533189999999998</v>
      </c>
      <c r="D582" s="6">
        <f t="shared" si="64"/>
        <v>1309.1783389999998</v>
      </c>
      <c r="E582" s="6">
        <f t="shared" si="68"/>
        <v>233.89785549999996</v>
      </c>
      <c r="F582" s="6">
        <f t="shared" si="69"/>
        <v>9.2970000000001107E-3</v>
      </c>
      <c r="G582" s="6">
        <f t="shared" si="65"/>
        <v>-609.40472828778309</v>
      </c>
      <c r="H582" s="7">
        <f t="shared" si="66"/>
        <v>4.5293349106636562E-14</v>
      </c>
      <c r="I582" s="8">
        <f t="shared" si="67"/>
        <v>4.5293349106636562E-14</v>
      </c>
    </row>
    <row r="583" spans="1:9" x14ac:dyDescent="0.2">
      <c r="A583" s="5">
        <v>582</v>
      </c>
      <c r="B583" s="6">
        <v>2.3551160000000002</v>
      </c>
      <c r="C583" s="6">
        <f t="shared" si="63"/>
        <v>2.264116</v>
      </c>
      <c r="D583" s="6">
        <f t="shared" si="64"/>
        <v>1317.715512</v>
      </c>
      <c r="E583" s="6">
        <f t="shared" si="68"/>
        <v>236.15657299999995</v>
      </c>
      <c r="F583" s="6">
        <f t="shared" si="69"/>
        <v>1.0122999999999882E-2</v>
      </c>
      <c r="G583" s="6">
        <f t="shared" si="65"/>
        <v>-611.19860796610124</v>
      </c>
      <c r="H583" s="7">
        <f t="shared" si="66"/>
        <v>4.1720025551806505E-14</v>
      </c>
      <c r="I583" s="8">
        <f t="shared" si="67"/>
        <v>4.1720025551806505E-14</v>
      </c>
    </row>
    <row r="584" spans="1:9" x14ac:dyDescent="0.2">
      <c r="A584" s="5">
        <v>583</v>
      </c>
      <c r="B584" s="6">
        <v>2.3645649999999998</v>
      </c>
      <c r="C584" s="6">
        <f t="shared" si="63"/>
        <v>2.2735649999999996</v>
      </c>
      <c r="D584" s="6">
        <f t="shared" si="64"/>
        <v>1325.4883949999999</v>
      </c>
      <c r="E584" s="6">
        <f t="shared" si="68"/>
        <v>238.42541349999996</v>
      </c>
      <c r="F584" s="6">
        <f t="shared" si="69"/>
        <v>8.9634999999999021E-3</v>
      </c>
      <c r="G584" s="6">
        <f t="shared" si="65"/>
        <v>-612.75907367207776</v>
      </c>
      <c r="H584" s="7">
        <f t="shared" si="66"/>
        <v>4.7237137733489427E-14</v>
      </c>
      <c r="I584" s="8">
        <f t="shared" si="67"/>
        <v>4.7237137733489427E-14</v>
      </c>
    </row>
    <row r="585" spans="1:9" x14ac:dyDescent="0.2">
      <c r="A585" s="5">
        <v>584</v>
      </c>
      <c r="B585" s="6">
        <v>2.373043</v>
      </c>
      <c r="C585" s="6">
        <f t="shared" si="63"/>
        <v>2.2820429999999998</v>
      </c>
      <c r="D585" s="6">
        <f t="shared" si="64"/>
        <v>1332.7131119999999</v>
      </c>
      <c r="E585" s="6">
        <f t="shared" si="68"/>
        <v>240.70321749999997</v>
      </c>
      <c r="F585" s="6">
        <f t="shared" si="69"/>
        <v>7.8115000000000823E-3</v>
      </c>
      <c r="G585" s="6">
        <f t="shared" si="65"/>
        <v>-614.15070449367465</v>
      </c>
      <c r="H585" s="7">
        <f t="shared" si="66"/>
        <v>5.4326529649298096E-14</v>
      </c>
      <c r="I585" s="8">
        <f t="shared" si="67"/>
        <v>5.4326529649298096E-14</v>
      </c>
    </row>
    <row r="586" spans="1:9" x14ac:dyDescent="0.2">
      <c r="A586" s="5">
        <v>585</v>
      </c>
      <c r="B586" s="6">
        <v>2.380188</v>
      </c>
      <c r="C586" s="6">
        <f t="shared" si="63"/>
        <v>2.2891879999999998</v>
      </c>
      <c r="D586" s="6">
        <f t="shared" si="64"/>
        <v>1339.1749799999998</v>
      </c>
      <c r="E586" s="6">
        <f t="shared" si="68"/>
        <v>242.98883299999997</v>
      </c>
      <c r="F586" s="6">
        <f t="shared" si="69"/>
        <v>7.7540000000000386E-3</v>
      </c>
      <c r="G586" s="6">
        <f t="shared" si="65"/>
        <v>-615.31638353475853</v>
      </c>
      <c r="H586" s="7">
        <f t="shared" si="66"/>
        <v>5.4833267775304283E-14</v>
      </c>
      <c r="I586" s="8">
        <f t="shared" si="67"/>
        <v>5.4833267775304283E-14</v>
      </c>
    </row>
    <row r="587" spans="1:9" x14ac:dyDescent="0.2">
      <c r="A587" s="5">
        <v>586</v>
      </c>
      <c r="B587" s="6">
        <v>2.3885510000000001</v>
      </c>
      <c r="C587" s="6">
        <f t="shared" si="63"/>
        <v>2.2975509999999999</v>
      </c>
      <c r="D587" s="6">
        <f t="shared" si="64"/>
        <v>1346.3648859999998</v>
      </c>
      <c r="E587" s="6">
        <f t="shared" si="68"/>
        <v>245.28220249999998</v>
      </c>
      <c r="F587" s="6">
        <f t="shared" si="69"/>
        <v>9.1015000000000956E-3</v>
      </c>
      <c r="G587" s="6">
        <f t="shared" si="65"/>
        <v>-616.67241155233523</v>
      </c>
      <c r="H587" s="7">
        <f t="shared" si="66"/>
        <v>4.6818014552264525E-14</v>
      </c>
      <c r="I587" s="8">
        <f t="shared" si="67"/>
        <v>4.6818014552264525E-14</v>
      </c>
    </row>
    <row r="588" spans="1:9" x14ac:dyDescent="0.2">
      <c r="A588" s="5">
        <v>587</v>
      </c>
      <c r="B588" s="6">
        <v>2.3983910000000002</v>
      </c>
      <c r="C588" s="6">
        <f t="shared" si="63"/>
        <v>2.307391</v>
      </c>
      <c r="D588" s="6">
        <f t="shared" si="64"/>
        <v>1354.438517</v>
      </c>
      <c r="E588" s="6">
        <f t="shared" si="68"/>
        <v>247.58467349999998</v>
      </c>
      <c r="F588" s="6">
        <f t="shared" si="69"/>
        <v>8.9129999999999487E-3</v>
      </c>
      <c r="G588" s="6">
        <f t="shared" si="65"/>
        <v>-618.25808939198055</v>
      </c>
      <c r="H588" s="7">
        <f t="shared" si="66"/>
        <v>4.7931094601166728E-14</v>
      </c>
      <c r="I588" s="8">
        <f t="shared" si="67"/>
        <v>4.7931094601166728E-14</v>
      </c>
    </row>
    <row r="589" spans="1:9" x14ac:dyDescent="0.2">
      <c r="A589" s="5">
        <v>588</v>
      </c>
      <c r="B589" s="6">
        <v>2.406377</v>
      </c>
      <c r="C589" s="6">
        <f t="shared" si="63"/>
        <v>2.3153769999999998</v>
      </c>
      <c r="D589" s="6">
        <f t="shared" si="64"/>
        <v>1361.4416759999999</v>
      </c>
      <c r="E589" s="6">
        <f t="shared" si="68"/>
        <v>249.89605749999998</v>
      </c>
      <c r="F589" s="6">
        <f t="shared" si="69"/>
        <v>7.2754999999999903E-3</v>
      </c>
      <c r="G589" s="6">
        <f t="shared" si="65"/>
        <v>-619.53701632159505</v>
      </c>
      <c r="H589" s="7">
        <f t="shared" si="66"/>
        <v>5.8840433132559905E-14</v>
      </c>
      <c r="I589" s="8">
        <f t="shared" si="67"/>
        <v>5.8840433132559905E-14</v>
      </c>
    </row>
    <row r="590" spans="1:9" x14ac:dyDescent="0.2">
      <c r="A590" s="5">
        <v>589</v>
      </c>
      <c r="B590" s="6">
        <v>2.4129420000000001</v>
      </c>
      <c r="C590" s="6">
        <f t="shared" si="63"/>
        <v>2.321942</v>
      </c>
      <c r="D590" s="6">
        <f t="shared" si="64"/>
        <v>1367.623838</v>
      </c>
      <c r="E590" s="6">
        <f t="shared" si="68"/>
        <v>252.21471699999998</v>
      </c>
      <c r="F590" s="6">
        <f t="shared" si="69"/>
        <v>6.7900000000000738E-3</v>
      </c>
      <c r="G590" s="6">
        <f t="shared" si="65"/>
        <v>-620.58181061196831</v>
      </c>
      <c r="H590" s="7">
        <f t="shared" si="66"/>
        <v>6.3153978370701887E-14</v>
      </c>
      <c r="I590" s="8">
        <f t="shared" si="67"/>
        <v>6.3153978370701887E-14</v>
      </c>
    </row>
    <row r="591" spans="1:9" x14ac:dyDescent="0.2">
      <c r="A591" s="5">
        <v>590</v>
      </c>
      <c r="B591" s="6">
        <v>2.4199570000000001</v>
      </c>
      <c r="C591" s="6">
        <f t="shared" si="63"/>
        <v>2.3289569999999999</v>
      </c>
      <c r="D591" s="6">
        <f t="shared" si="64"/>
        <v>1374.0846300000001</v>
      </c>
      <c r="E591" s="6">
        <f t="shared" si="68"/>
        <v>254.54016649999997</v>
      </c>
      <c r="F591" s="6">
        <f t="shared" si="69"/>
        <v>8.1229999999998803E-3</v>
      </c>
      <c r="G591" s="6">
        <f t="shared" si="65"/>
        <v>-621.69120565720323</v>
      </c>
      <c r="H591" s="7">
        <f t="shared" si="66"/>
        <v>5.2884660034631686E-14</v>
      </c>
      <c r="I591" s="8">
        <f t="shared" si="67"/>
        <v>5.2884660034631686E-14</v>
      </c>
    </row>
    <row r="592" spans="1:9" x14ac:dyDescent="0.2">
      <c r="A592" s="5">
        <v>591</v>
      </c>
      <c r="B592" s="6">
        <v>2.4291879999999999</v>
      </c>
      <c r="C592" s="6">
        <f t="shared" si="63"/>
        <v>2.3381879999999997</v>
      </c>
      <c r="D592" s="6">
        <f t="shared" si="64"/>
        <v>1381.8691079999999</v>
      </c>
      <c r="E592" s="6">
        <f t="shared" si="68"/>
        <v>256.87373899999994</v>
      </c>
      <c r="F592" s="6">
        <f t="shared" si="69"/>
        <v>8.1590000000000273E-3</v>
      </c>
      <c r="G592" s="6">
        <f t="shared" si="65"/>
        <v>-623.14182150860211</v>
      </c>
      <c r="H592" s="7">
        <f t="shared" si="66"/>
        <v>5.2774170091769229E-14</v>
      </c>
      <c r="I592" s="8">
        <f t="shared" si="67"/>
        <v>5.2774170091769229E-14</v>
      </c>
    </row>
    <row r="593" spans="1:9" x14ac:dyDescent="0.2">
      <c r="A593" s="5">
        <v>592</v>
      </c>
      <c r="B593" s="6">
        <v>2.4362750000000002</v>
      </c>
      <c r="C593" s="6">
        <f t="shared" si="63"/>
        <v>2.345275</v>
      </c>
      <c r="D593" s="6">
        <f t="shared" si="64"/>
        <v>1388.4028000000001</v>
      </c>
      <c r="E593" s="6">
        <f t="shared" si="68"/>
        <v>259.21547049999992</v>
      </c>
      <c r="F593" s="6">
        <f t="shared" si="69"/>
        <v>6.6235000000001154E-3</v>
      </c>
      <c r="G593" s="6">
        <f t="shared" si="65"/>
        <v>-624.24842907461505</v>
      </c>
      <c r="H593" s="7">
        <f t="shared" si="66"/>
        <v>6.5124044385009455E-14</v>
      </c>
      <c r="I593" s="8">
        <f t="shared" si="67"/>
        <v>6.5124044385009455E-14</v>
      </c>
    </row>
    <row r="594" spans="1:9" x14ac:dyDescent="0.2">
      <c r="A594" s="5">
        <v>593</v>
      </c>
      <c r="B594" s="6">
        <v>2.4424350000000001</v>
      </c>
      <c r="C594" s="6">
        <f t="shared" si="63"/>
        <v>2.3514349999999999</v>
      </c>
      <c r="D594" s="6">
        <f t="shared" si="64"/>
        <v>1394.4009550000001</v>
      </c>
      <c r="E594" s="6">
        <f t="shared" si="68"/>
        <v>261.56382549999995</v>
      </c>
      <c r="F594" s="6">
        <f t="shared" si="69"/>
        <v>7.7464999999998785E-3</v>
      </c>
      <c r="G594" s="6">
        <f t="shared" si="65"/>
        <v>-625.2041291856126</v>
      </c>
      <c r="H594" s="7">
        <f t="shared" si="66"/>
        <v>5.57683452814906E-14</v>
      </c>
      <c r="I594" s="8">
        <f t="shared" si="67"/>
        <v>5.57683452814906E-14</v>
      </c>
    </row>
    <row r="595" spans="1:9" x14ac:dyDescent="0.2">
      <c r="A595" s="5">
        <v>594</v>
      </c>
      <c r="B595" s="6">
        <v>2.4517679999999999</v>
      </c>
      <c r="C595" s="6">
        <f t="shared" si="63"/>
        <v>2.3607679999999998</v>
      </c>
      <c r="D595" s="6">
        <f t="shared" si="64"/>
        <v>1402.2961919999998</v>
      </c>
      <c r="E595" s="6">
        <f t="shared" si="68"/>
        <v>263.91992699999997</v>
      </c>
      <c r="F595" s="6">
        <f t="shared" si="69"/>
        <v>8.2534999999999137E-3</v>
      </c>
      <c r="G595" s="6">
        <f t="shared" si="65"/>
        <v>-626.64277494144687</v>
      </c>
      <c r="H595" s="7">
        <f t="shared" si="66"/>
        <v>5.2463024877953805E-14</v>
      </c>
      <c r="I595" s="8">
        <f t="shared" si="67"/>
        <v>5.2463024877953805E-14</v>
      </c>
    </row>
    <row r="596" spans="1:9" x14ac:dyDescent="0.2">
      <c r="A596" s="5">
        <v>595</v>
      </c>
      <c r="B596" s="6">
        <v>2.458942</v>
      </c>
      <c r="C596" s="6">
        <f t="shared" si="63"/>
        <v>2.3679419999999998</v>
      </c>
      <c r="D596" s="6">
        <f t="shared" si="64"/>
        <v>1408.9254899999999</v>
      </c>
      <c r="E596" s="6">
        <f t="shared" si="68"/>
        <v>266.28428199999996</v>
      </c>
      <c r="F596" s="6">
        <f t="shared" si="69"/>
        <v>6.7535000000000789E-3</v>
      </c>
      <c r="G596" s="6">
        <f t="shared" si="65"/>
        <v>-627.74144522006634</v>
      </c>
      <c r="H596" s="7">
        <f t="shared" si="66"/>
        <v>6.4227844147972135E-14</v>
      </c>
      <c r="I596" s="8">
        <f t="shared" si="67"/>
        <v>6.4227844147972135E-14</v>
      </c>
    </row>
    <row r="597" spans="1:9" x14ac:dyDescent="0.2">
      <c r="A597" s="5">
        <v>596</v>
      </c>
      <c r="B597" s="6">
        <v>2.4652750000000001</v>
      </c>
      <c r="C597" s="6">
        <f t="shared" si="63"/>
        <v>2.3742749999999999</v>
      </c>
      <c r="D597" s="6">
        <f t="shared" si="64"/>
        <v>1415.0679</v>
      </c>
      <c r="E597" s="6">
        <f t="shared" si="68"/>
        <v>268.65539049999995</v>
      </c>
      <c r="F597" s="6">
        <f t="shared" si="69"/>
        <v>6.2390000000001056E-3</v>
      </c>
      <c r="G597" s="6">
        <f t="shared" si="65"/>
        <v>-628.70498661015517</v>
      </c>
      <c r="H597" s="7">
        <f t="shared" si="66"/>
        <v>6.9631117556301463E-14</v>
      </c>
      <c r="I597" s="8">
        <f t="shared" si="67"/>
        <v>6.9631117556301463E-14</v>
      </c>
    </row>
    <row r="598" spans="1:9" x14ac:dyDescent="0.2">
      <c r="A598" s="5">
        <v>597</v>
      </c>
      <c r="B598" s="6">
        <v>2.4714200000000002</v>
      </c>
      <c r="C598" s="6">
        <f t="shared" si="63"/>
        <v>2.38042</v>
      </c>
      <c r="D598" s="6">
        <f t="shared" si="64"/>
        <v>1421.1107400000001</v>
      </c>
      <c r="E598" s="6">
        <f t="shared" si="68"/>
        <v>271.03273799999994</v>
      </c>
      <c r="F598" s="6">
        <f t="shared" si="69"/>
        <v>6.49299999999986E-3</v>
      </c>
      <c r="G598" s="6">
        <f t="shared" si="65"/>
        <v>-629.63377952932387</v>
      </c>
      <c r="H598" s="7">
        <f t="shared" si="66"/>
        <v>6.7006057074661589E-14</v>
      </c>
      <c r="I598" s="8">
        <f t="shared" si="67"/>
        <v>6.7006057074661589E-14</v>
      </c>
    </row>
    <row r="599" spans="1:9" x14ac:dyDescent="0.2">
      <c r="A599" s="5">
        <v>598</v>
      </c>
      <c r="B599" s="6">
        <v>2.4782609999999998</v>
      </c>
      <c r="C599" s="6">
        <f t="shared" si="63"/>
        <v>2.3872609999999996</v>
      </c>
      <c r="D599" s="6">
        <f t="shared" si="64"/>
        <v>1427.5820779999997</v>
      </c>
      <c r="E599" s="6">
        <f t="shared" si="68"/>
        <v>273.41657849999996</v>
      </c>
      <c r="F599" s="6">
        <f t="shared" si="69"/>
        <v>6.4204999999999401E-3</v>
      </c>
      <c r="G599" s="6">
        <f t="shared" si="65"/>
        <v>-630.66092914934563</v>
      </c>
      <c r="H599" s="7">
        <f t="shared" si="66"/>
        <v>6.7873230774085116E-14</v>
      </c>
      <c r="I599" s="8">
        <f t="shared" si="67"/>
        <v>6.7873230774085116E-14</v>
      </c>
    </row>
    <row r="600" spans="1:9" x14ac:dyDescent="0.2">
      <c r="A600" s="5">
        <v>599</v>
      </c>
      <c r="B600" s="6">
        <v>2.4842610000000001</v>
      </c>
      <c r="C600" s="6">
        <f t="shared" si="63"/>
        <v>2.3932609999999999</v>
      </c>
      <c r="D600" s="6">
        <f t="shared" si="64"/>
        <v>1433.5633389999998</v>
      </c>
      <c r="E600" s="6">
        <f t="shared" si="68"/>
        <v>275.80683949999997</v>
      </c>
      <c r="F600" s="6">
        <f t="shared" si="69"/>
        <v>6.8259999999999987E-3</v>
      </c>
      <c r="G600" s="6">
        <f t="shared" si="65"/>
        <v>-631.55580588083672</v>
      </c>
      <c r="H600" s="7">
        <f t="shared" si="66"/>
        <v>6.3931794404855462E-14</v>
      </c>
      <c r="I600" s="8">
        <f t="shared" si="67"/>
        <v>6.3931794404855462E-14</v>
      </c>
    </row>
    <row r="601" spans="1:9" x14ac:dyDescent="0.2">
      <c r="A601" s="5">
        <v>600</v>
      </c>
      <c r="B601" s="6">
        <v>2.4919129999999998</v>
      </c>
      <c r="C601" s="6">
        <f t="shared" si="63"/>
        <v>2.4009129999999996</v>
      </c>
      <c r="D601" s="6">
        <f t="shared" si="64"/>
        <v>1440.5477999999998</v>
      </c>
      <c r="E601" s="6">
        <f t="shared" si="68"/>
        <v>278.20392649999997</v>
      </c>
      <c r="F601" s="6">
        <f t="shared" si="69"/>
        <v>7.1885000000000421E-3</v>
      </c>
      <c r="G601" s="6">
        <f t="shared" si="65"/>
        <v>-632.68942000573156</v>
      </c>
      <c r="H601" s="7">
        <f t="shared" si="66"/>
        <v>6.0816824659031544E-14</v>
      </c>
      <c r="I601" s="8">
        <f t="shared" si="67"/>
        <v>6.0816824659031544E-14</v>
      </c>
    </row>
    <row r="602" spans="1:9" x14ac:dyDescent="0.2">
      <c r="A602" s="5">
        <v>601</v>
      </c>
      <c r="B602" s="6">
        <v>2.4986380000000001</v>
      </c>
      <c r="C602" s="6">
        <f t="shared" si="63"/>
        <v>2.4076379999999999</v>
      </c>
      <c r="D602" s="6">
        <f t="shared" si="64"/>
        <v>1446.990438</v>
      </c>
      <c r="E602" s="6">
        <f t="shared" si="68"/>
        <v>280.60820199999995</v>
      </c>
      <c r="F602" s="6">
        <f t="shared" si="69"/>
        <v>6.5870000000001205E-3</v>
      </c>
      <c r="G602" s="6">
        <f t="shared" si="65"/>
        <v>-633.67897767561112</v>
      </c>
      <c r="H602" s="7">
        <f t="shared" si="66"/>
        <v>6.64741943248771E-14</v>
      </c>
      <c r="I602" s="8">
        <f t="shared" si="67"/>
        <v>6.64741943248771E-14</v>
      </c>
    </row>
    <row r="603" spans="1:9" x14ac:dyDescent="0.2">
      <c r="A603" s="5">
        <v>602</v>
      </c>
      <c r="B603" s="6">
        <v>2.5050870000000001</v>
      </c>
      <c r="C603" s="6">
        <f t="shared" si="63"/>
        <v>2.4140869999999999</v>
      </c>
      <c r="D603" s="6">
        <f t="shared" si="64"/>
        <v>1453.2803739999999</v>
      </c>
      <c r="E603" s="6">
        <f t="shared" si="68"/>
        <v>283.01906449999996</v>
      </c>
      <c r="F603" s="6">
        <f t="shared" si="69"/>
        <v>7.340499999999972E-3</v>
      </c>
      <c r="G603" s="6">
        <f t="shared" si="65"/>
        <v>-634.62147401584218</v>
      </c>
      <c r="H603" s="7">
        <f t="shared" si="66"/>
        <v>5.9739360137592483E-14</v>
      </c>
      <c r="I603" s="8" t="str">
        <f t="shared" si="67"/>
        <v/>
      </c>
    </row>
    <row r="604" spans="1:9" x14ac:dyDescent="0.2">
      <c r="A604" s="5">
        <v>603</v>
      </c>
      <c r="B604" s="6">
        <v>2.5133190000000001</v>
      </c>
      <c r="C604" s="6">
        <f t="shared" si="63"/>
        <v>2.4223189999999999</v>
      </c>
      <c r="D604" s="6">
        <f t="shared" si="64"/>
        <v>1460.658357</v>
      </c>
      <c r="E604" s="6">
        <f t="shared" si="68"/>
        <v>285.43726749999996</v>
      </c>
      <c r="F604" s="6">
        <f t="shared" si="69"/>
        <v>7.5939999999998786E-3</v>
      </c>
      <c r="G604" s="6">
        <f t="shared" si="65"/>
        <v>-635.81631689144797</v>
      </c>
      <c r="H604" s="7">
        <f t="shared" si="66"/>
        <v>5.7853884246452941E-14</v>
      </c>
      <c r="I604" s="8" t="str">
        <f t="shared" si="67"/>
        <v/>
      </c>
    </row>
    <row r="605" spans="1:9" x14ac:dyDescent="0.2">
      <c r="A605" s="5">
        <v>604</v>
      </c>
      <c r="B605" s="6">
        <v>2.5202749999999998</v>
      </c>
      <c r="C605" s="6">
        <f t="shared" si="63"/>
        <v>2.4292749999999996</v>
      </c>
      <c r="D605" s="6">
        <f t="shared" si="64"/>
        <v>1467.2820999999997</v>
      </c>
      <c r="E605" s="6">
        <f t="shared" si="68"/>
        <v>287.86306449999995</v>
      </c>
      <c r="F605" s="6">
        <f t="shared" si="69"/>
        <v>6.8909999999999805E-3</v>
      </c>
      <c r="G605" s="6">
        <f t="shared" si="65"/>
        <v>-636.81899731548981</v>
      </c>
      <c r="H605" s="7">
        <f t="shared" si="66"/>
        <v>6.3856514092204008E-14</v>
      </c>
      <c r="I605" s="8" t="str">
        <f t="shared" si="67"/>
        <v/>
      </c>
    </row>
    <row r="606" spans="1:9" x14ac:dyDescent="0.2">
      <c r="A606" s="5">
        <v>605</v>
      </c>
      <c r="B606" s="6">
        <v>2.527101</v>
      </c>
      <c r="C606" s="6">
        <f t="shared" si="63"/>
        <v>2.4361009999999998</v>
      </c>
      <c r="D606" s="6">
        <f t="shared" si="64"/>
        <v>1473.841105</v>
      </c>
      <c r="E606" s="6">
        <f t="shared" si="68"/>
        <v>290.29575249999994</v>
      </c>
      <c r="F606" s="6">
        <f t="shared" si="69"/>
        <v>6.9495000000001639E-3</v>
      </c>
      <c r="G606" s="6">
        <f t="shared" si="65"/>
        <v>-637.7961127436829</v>
      </c>
      <c r="H606" s="7">
        <f t="shared" si="66"/>
        <v>6.341613283078852E-14</v>
      </c>
      <c r="I606" s="8" t="str">
        <f t="shared" si="67"/>
        <v/>
      </c>
    </row>
    <row r="607" spans="1:9" x14ac:dyDescent="0.2">
      <c r="A607" s="5">
        <v>606</v>
      </c>
      <c r="B607" s="6">
        <v>2.5341740000000001</v>
      </c>
      <c r="C607" s="6">
        <f t="shared" si="63"/>
        <v>2.443174</v>
      </c>
      <c r="D607" s="6">
        <f t="shared" si="64"/>
        <v>1480.5634439999999</v>
      </c>
      <c r="E607" s="6">
        <f t="shared" si="68"/>
        <v>292.73538999999994</v>
      </c>
      <c r="F607" s="6">
        <f t="shared" si="69"/>
        <v>5.8914999999999385E-3</v>
      </c>
      <c r="G607" s="6">
        <f t="shared" si="65"/>
        <v>-638.80151226398891</v>
      </c>
      <c r="H607" s="7">
        <f t="shared" si="66"/>
        <v>7.4922368771341706E-14</v>
      </c>
      <c r="I607" s="8" t="str">
        <f t="shared" si="67"/>
        <v/>
      </c>
    </row>
    <row r="608" spans="1:9" x14ac:dyDescent="0.2">
      <c r="A608" s="5">
        <v>607</v>
      </c>
      <c r="B608" s="6">
        <v>2.5388839999999999</v>
      </c>
      <c r="C608" s="6">
        <f t="shared" si="63"/>
        <v>2.4478839999999997</v>
      </c>
      <c r="D608" s="6">
        <f t="shared" si="64"/>
        <v>1485.8655879999999</v>
      </c>
      <c r="E608" s="6">
        <f t="shared" si="68"/>
        <v>295.18091899999996</v>
      </c>
      <c r="F608" s="6">
        <f t="shared" si="69"/>
        <v>5.8914999999999385E-3</v>
      </c>
      <c r="G608" s="6">
        <f t="shared" si="65"/>
        <v>-639.4663104982094</v>
      </c>
      <c r="H608" s="7">
        <f t="shared" si="66"/>
        <v>7.5000340187355208E-14</v>
      </c>
      <c r="I608" s="8" t="str">
        <f t="shared" si="67"/>
        <v/>
      </c>
    </row>
    <row r="609" spans="1:9" x14ac:dyDescent="0.2">
      <c r="A609" s="5">
        <v>608</v>
      </c>
      <c r="B609" s="6">
        <v>2.545957</v>
      </c>
      <c r="C609" s="6">
        <f t="shared" si="63"/>
        <v>2.4549569999999998</v>
      </c>
      <c r="D609" s="6">
        <f t="shared" si="64"/>
        <v>1492.6138559999999</v>
      </c>
      <c r="E609" s="6">
        <f t="shared" si="68"/>
        <v>297.63233949999994</v>
      </c>
      <c r="F609" s="6">
        <f t="shared" si="69"/>
        <v>6.1519999999999353E-3</v>
      </c>
      <c r="G609" s="6">
        <f t="shared" si="65"/>
        <v>-640.45756401851543</v>
      </c>
      <c r="H609" s="7">
        <f t="shared" si="66"/>
        <v>7.1935866382503084E-14</v>
      </c>
      <c r="I609" s="8" t="str">
        <f t="shared" si="67"/>
        <v/>
      </c>
    </row>
    <row r="610" spans="1:9" x14ac:dyDescent="0.2">
      <c r="A610" s="5">
        <v>609</v>
      </c>
      <c r="B610" s="6">
        <v>2.5511879999999998</v>
      </c>
      <c r="C610" s="6">
        <f t="shared" si="63"/>
        <v>2.4601879999999996</v>
      </c>
      <c r="D610" s="6">
        <f t="shared" si="64"/>
        <v>1498.2544919999998</v>
      </c>
      <c r="E610" s="6">
        <f t="shared" si="68"/>
        <v>300.08991199999997</v>
      </c>
      <c r="F610" s="6">
        <f t="shared" si="69"/>
        <v>6.2824999999999687E-3</v>
      </c>
      <c r="G610" s="6">
        <f t="shared" si="65"/>
        <v>-641.18543738225367</v>
      </c>
      <c r="H610" s="7">
        <f t="shared" si="66"/>
        <v>7.0521671760384624E-14</v>
      </c>
      <c r="I610" s="8" t="str">
        <f t="shared" si="67"/>
        <v/>
      </c>
    </row>
    <row r="611" spans="1:9" x14ac:dyDescent="0.2">
      <c r="A611" s="5">
        <v>610</v>
      </c>
      <c r="B611" s="6">
        <v>2.558522</v>
      </c>
      <c r="C611" s="6">
        <f t="shared" si="63"/>
        <v>2.4675219999999998</v>
      </c>
      <c r="D611" s="6">
        <f t="shared" si="64"/>
        <v>1505.18842</v>
      </c>
      <c r="E611" s="6">
        <f t="shared" si="68"/>
        <v>302.55376699999999</v>
      </c>
      <c r="F611" s="6">
        <f t="shared" si="69"/>
        <v>6.9420000000000037E-3</v>
      </c>
      <c r="G611" s="6">
        <f t="shared" si="65"/>
        <v>-642.19860104037957</v>
      </c>
      <c r="H611" s="7">
        <f t="shared" si="66"/>
        <v>6.3922859158899473E-14</v>
      </c>
      <c r="I611" s="8" t="str">
        <f t="shared" si="67"/>
        <v/>
      </c>
    </row>
    <row r="612" spans="1:9" x14ac:dyDescent="0.2">
      <c r="A612" s="5">
        <v>611</v>
      </c>
      <c r="B612" s="6">
        <v>2.5650719999999998</v>
      </c>
      <c r="C612" s="6">
        <f t="shared" si="63"/>
        <v>2.4740719999999996</v>
      </c>
      <c r="D612" s="6">
        <f t="shared" si="64"/>
        <v>1511.6579919999997</v>
      </c>
      <c r="E612" s="6">
        <f t="shared" si="68"/>
        <v>305.024564</v>
      </c>
      <c r="F612" s="6">
        <f t="shared" si="69"/>
        <v>6.4565000000000872E-3</v>
      </c>
      <c r="G612" s="6">
        <f t="shared" si="65"/>
        <v>-643.09690813892405</v>
      </c>
      <c r="H612" s="7">
        <f t="shared" si="66"/>
        <v>6.8825711926153946E-14</v>
      </c>
      <c r="I612" s="8" t="str">
        <f t="shared" si="67"/>
        <v/>
      </c>
    </row>
    <row r="613" spans="1:9" x14ac:dyDescent="0.2">
      <c r="A613" s="5">
        <v>612</v>
      </c>
      <c r="B613" s="6">
        <v>2.5714350000000001</v>
      </c>
      <c r="C613" s="6">
        <f t="shared" si="63"/>
        <v>2.4804349999999999</v>
      </c>
      <c r="D613" s="6">
        <f t="shared" si="64"/>
        <v>1518.02622</v>
      </c>
      <c r="E613" s="6">
        <f t="shared" si="68"/>
        <v>307.50181750000002</v>
      </c>
      <c r="F613" s="6">
        <f t="shared" si="69"/>
        <v>5.8410000000002071E-3</v>
      </c>
      <c r="G613" s="6">
        <f t="shared" si="65"/>
        <v>-643.96320591267033</v>
      </c>
      <c r="H613" s="7">
        <f t="shared" si="66"/>
        <v>7.6180758725235638E-14</v>
      </c>
      <c r="I613" s="8" t="str">
        <f t="shared" si="67"/>
        <v/>
      </c>
    </row>
    <row r="614" spans="1:9" x14ac:dyDescent="0.2">
      <c r="A614" s="5">
        <v>613</v>
      </c>
      <c r="B614" s="6">
        <v>2.5767540000000002</v>
      </c>
      <c r="C614" s="6">
        <f t="shared" si="63"/>
        <v>2.485754</v>
      </c>
      <c r="D614" s="6">
        <f t="shared" si="64"/>
        <v>1523.767202</v>
      </c>
      <c r="E614" s="6">
        <f t="shared" si="68"/>
        <v>309.98491200000001</v>
      </c>
      <c r="F614" s="6">
        <f t="shared" si="69"/>
        <v>5.2969999999998851E-3</v>
      </c>
      <c r="G614" s="6">
        <f t="shared" si="65"/>
        <v>-644.68204813513717</v>
      </c>
      <c r="H614" s="7">
        <f t="shared" si="66"/>
        <v>8.4098267725093914E-14</v>
      </c>
      <c r="I614" s="8" t="str">
        <f t="shared" si="67"/>
        <v/>
      </c>
    </row>
    <row r="615" spans="1:9" x14ac:dyDescent="0.2">
      <c r="A615" s="5">
        <v>614</v>
      </c>
      <c r="B615" s="6">
        <v>2.5820289999999999</v>
      </c>
      <c r="C615" s="6">
        <f t="shared" si="63"/>
        <v>2.4910289999999997</v>
      </c>
      <c r="D615" s="6">
        <f t="shared" si="64"/>
        <v>1529.4918059999998</v>
      </c>
      <c r="E615" s="6">
        <f t="shared" si="68"/>
        <v>312.47330349999999</v>
      </c>
      <c r="F615" s="6">
        <f t="shared" si="69"/>
        <v>6.1589999999998035E-3</v>
      </c>
      <c r="G615" s="6">
        <f t="shared" si="65"/>
        <v>-645.38966892823964</v>
      </c>
      <c r="H615" s="7">
        <f t="shared" si="66"/>
        <v>7.2407449695679673E-14</v>
      </c>
      <c r="I615" s="8" t="str">
        <f t="shared" si="67"/>
        <v/>
      </c>
    </row>
    <row r="616" spans="1:9" x14ac:dyDescent="0.2">
      <c r="A616" s="5">
        <v>615</v>
      </c>
      <c r="B616" s="6">
        <v>2.5890719999999998</v>
      </c>
      <c r="C616" s="6">
        <f t="shared" si="63"/>
        <v>2.4980719999999996</v>
      </c>
      <c r="D616" s="6">
        <f t="shared" si="64"/>
        <v>1536.3142799999998</v>
      </c>
      <c r="E616" s="6">
        <f t="shared" si="68"/>
        <v>314.96785399999999</v>
      </c>
      <c r="F616" s="6">
        <f t="shared" si="69"/>
        <v>5.6739999999999569E-3</v>
      </c>
      <c r="G616" s="6">
        <f t="shared" si="65"/>
        <v>-646.32741706488832</v>
      </c>
      <c r="H616" s="7">
        <f t="shared" si="66"/>
        <v>7.8710866547215009E-14</v>
      </c>
      <c r="I616" s="8" t="str">
        <f t="shared" si="67"/>
        <v/>
      </c>
    </row>
    <row r="617" spans="1:9" x14ac:dyDescent="0.2">
      <c r="A617" s="5">
        <v>616</v>
      </c>
      <c r="B617" s="6">
        <v>2.5933769999999998</v>
      </c>
      <c r="C617" s="6">
        <f t="shared" si="63"/>
        <v>2.5023769999999996</v>
      </c>
      <c r="D617" s="6">
        <f t="shared" si="64"/>
        <v>1541.4642319999998</v>
      </c>
      <c r="E617" s="6">
        <f t="shared" si="68"/>
        <v>317.46807849999999</v>
      </c>
      <c r="F617" s="6">
        <f t="shared" si="69"/>
        <v>4.2975000000000652E-3</v>
      </c>
      <c r="G617" s="6">
        <f t="shared" si="65"/>
        <v>-646.89630611973303</v>
      </c>
      <c r="H617" s="7">
        <f t="shared" si="66"/>
        <v>1.0401362493326838E-13</v>
      </c>
      <c r="I617" s="8" t="str">
        <f t="shared" si="67"/>
        <v/>
      </c>
    </row>
    <row r="618" spans="1:9" x14ac:dyDescent="0.2">
      <c r="A618" s="5">
        <v>617</v>
      </c>
      <c r="B618" s="6">
        <v>2.5976669999999999</v>
      </c>
      <c r="C618" s="6">
        <f t="shared" si="63"/>
        <v>2.5066669999999998</v>
      </c>
      <c r="D618" s="6">
        <f t="shared" si="64"/>
        <v>1546.6135389999999</v>
      </c>
      <c r="E618" s="6">
        <f t="shared" si="68"/>
        <v>319.9726005</v>
      </c>
      <c r="F618" s="6">
        <f t="shared" si="69"/>
        <v>4.8185000000000588E-3</v>
      </c>
      <c r="G618" s="6">
        <f t="shared" si="65"/>
        <v>-647.4589229827493</v>
      </c>
      <c r="H618" s="7">
        <f t="shared" si="66"/>
        <v>9.2847839679128101E-14</v>
      </c>
      <c r="I618" s="8" t="str">
        <f t="shared" si="67"/>
        <v/>
      </c>
    </row>
    <row r="619" spans="1:9" x14ac:dyDescent="0.2">
      <c r="A619" s="5">
        <v>618</v>
      </c>
      <c r="B619" s="6">
        <v>2.6030139999999999</v>
      </c>
      <c r="C619" s="6">
        <f t="shared" si="63"/>
        <v>2.5120139999999997</v>
      </c>
      <c r="D619" s="6">
        <f t="shared" si="64"/>
        <v>1552.4246519999999</v>
      </c>
      <c r="E619" s="6">
        <f t="shared" si="68"/>
        <v>322.48194100000001</v>
      </c>
      <c r="F619" s="6">
        <f t="shared" si="69"/>
        <v>4.6734999999999971E-3</v>
      </c>
      <c r="G619" s="6">
        <f t="shared" si="65"/>
        <v>-648.15481429662964</v>
      </c>
      <c r="H619" s="7">
        <f t="shared" si="66"/>
        <v>9.5831425929774544E-14</v>
      </c>
      <c r="I619" s="8" t="str">
        <f t="shared" si="67"/>
        <v/>
      </c>
    </row>
    <row r="620" spans="1:9" x14ac:dyDescent="0.2">
      <c r="A620" s="5">
        <v>619</v>
      </c>
      <c r="B620" s="6">
        <v>2.6070139999999999</v>
      </c>
      <c r="C620" s="6">
        <f t="shared" si="63"/>
        <v>2.5160139999999998</v>
      </c>
      <c r="D620" s="6">
        <f t="shared" si="64"/>
        <v>1557.4126659999999</v>
      </c>
      <c r="E620" s="6">
        <f t="shared" si="68"/>
        <v>324.99595499999998</v>
      </c>
      <c r="F620" s="6">
        <f t="shared" si="69"/>
        <v>4.2249999999999233E-3</v>
      </c>
      <c r="G620" s="6">
        <f t="shared" si="65"/>
        <v>-648.67139878429043</v>
      </c>
      <c r="H620" s="7">
        <f t="shared" si="66"/>
        <v>1.0608878663623078E-13</v>
      </c>
      <c r="I620" s="8" t="str">
        <f t="shared" si="67"/>
        <v/>
      </c>
    </row>
    <row r="621" spans="1:9" x14ac:dyDescent="0.2">
      <c r="A621" s="5">
        <v>620</v>
      </c>
      <c r="B621" s="6">
        <v>2.6114639999999998</v>
      </c>
      <c r="C621" s="6">
        <f t="shared" si="63"/>
        <v>2.5204639999999996</v>
      </c>
      <c r="D621" s="6">
        <f t="shared" si="64"/>
        <v>1562.6876799999998</v>
      </c>
      <c r="E621" s="6">
        <f t="shared" si="68"/>
        <v>327.51419399999997</v>
      </c>
      <c r="F621" s="6">
        <f t="shared" si="69"/>
        <v>4.6524999999999483E-3</v>
      </c>
      <c r="G621" s="6">
        <f t="shared" si="65"/>
        <v>-649.24164902681287</v>
      </c>
      <c r="H621" s="7">
        <f t="shared" si="66"/>
        <v>9.6425397198558525E-14</v>
      </c>
      <c r="I621" s="8" t="str">
        <f t="shared" si="67"/>
        <v/>
      </c>
    </row>
    <row r="622" spans="1:9" x14ac:dyDescent="0.2">
      <c r="A622" s="5">
        <v>621</v>
      </c>
      <c r="B622" s="6">
        <v>2.6163189999999998</v>
      </c>
      <c r="C622" s="6">
        <f t="shared" si="63"/>
        <v>2.5253189999999996</v>
      </c>
      <c r="D622" s="6">
        <f t="shared" si="64"/>
        <v>1568.2230989999998</v>
      </c>
      <c r="E622" s="6">
        <f t="shared" si="68"/>
        <v>330.03708549999999</v>
      </c>
      <c r="F622" s="6">
        <f t="shared" si="69"/>
        <v>4.7680000000001055E-3</v>
      </c>
      <c r="G622" s="6">
        <f t="shared" si="65"/>
        <v>-649.85894344871099</v>
      </c>
      <c r="H622" s="7">
        <f t="shared" si="66"/>
        <v>9.4179048747554953E-14</v>
      </c>
      <c r="I622" s="8" t="str">
        <f t="shared" si="67"/>
        <v/>
      </c>
    </row>
    <row r="623" spans="1:9" x14ac:dyDescent="0.2">
      <c r="A623" s="5">
        <v>622</v>
      </c>
      <c r="B623" s="6">
        <v>2.621</v>
      </c>
      <c r="C623" s="6">
        <f t="shared" si="63"/>
        <v>2.5299999999999998</v>
      </c>
      <c r="D623" s="6">
        <f t="shared" si="64"/>
        <v>1573.6599999999999</v>
      </c>
      <c r="E623" s="6">
        <f t="shared" si="68"/>
        <v>332.56474500000002</v>
      </c>
      <c r="F623" s="6">
        <f t="shared" si="69"/>
        <v>5.3985000000000838E-3</v>
      </c>
      <c r="G623" s="6">
        <f t="shared" si="65"/>
        <v>-650.44943344539604</v>
      </c>
      <c r="H623" s="7">
        <f t="shared" si="66"/>
        <v>8.3255298103938891E-14</v>
      </c>
      <c r="I623" s="8" t="str">
        <f t="shared" si="67"/>
        <v/>
      </c>
    </row>
    <row r="624" spans="1:9" x14ac:dyDescent="0.2">
      <c r="A624" s="5">
        <v>623</v>
      </c>
      <c r="B624" s="6">
        <v>2.627116</v>
      </c>
      <c r="C624" s="6">
        <f t="shared" si="63"/>
        <v>2.5361159999999998</v>
      </c>
      <c r="D624" s="6">
        <f t="shared" si="64"/>
        <v>1580.0002679999998</v>
      </c>
      <c r="E624" s="6">
        <f t="shared" si="68"/>
        <v>335.097803</v>
      </c>
      <c r="F624" s="6">
        <f t="shared" si="69"/>
        <v>7.2609999999999619E-3</v>
      </c>
      <c r="G624" s="6">
        <f t="shared" si="65"/>
        <v>-651.21482712702925</v>
      </c>
      <c r="H624" s="7">
        <f t="shared" si="66"/>
        <v>6.1972539017927455E-14</v>
      </c>
      <c r="I624" s="8" t="str">
        <f t="shared" si="67"/>
        <v/>
      </c>
    </row>
    <row r="625" spans="1:9" x14ac:dyDescent="0.2">
      <c r="A625" s="5">
        <v>624</v>
      </c>
      <c r="B625" s="6">
        <v>2.6355219999999999</v>
      </c>
      <c r="C625" s="6">
        <f t="shared" si="63"/>
        <v>2.5445219999999997</v>
      </c>
      <c r="D625" s="6">
        <f t="shared" si="64"/>
        <v>1587.7817279999999</v>
      </c>
      <c r="E625" s="6">
        <f t="shared" si="68"/>
        <v>337.63812200000001</v>
      </c>
      <c r="F625" s="6">
        <f t="shared" si="69"/>
        <v>7.5434999999999253E-3</v>
      </c>
      <c r="G625" s="6">
        <f t="shared" si="65"/>
        <v>-652.25839942784819</v>
      </c>
      <c r="H625" s="7">
        <f t="shared" si="66"/>
        <v>5.9747292809485951E-14</v>
      </c>
      <c r="I625" s="8" t="str">
        <f t="shared" si="67"/>
        <v/>
      </c>
    </row>
    <row r="626" spans="1:9" x14ac:dyDescent="0.2">
      <c r="A626" s="5">
        <v>625</v>
      </c>
      <c r="B626" s="6">
        <v>2.6422029999999999</v>
      </c>
      <c r="C626" s="6">
        <f t="shared" si="63"/>
        <v>2.5512029999999997</v>
      </c>
      <c r="D626" s="6">
        <f t="shared" si="64"/>
        <v>1594.5018749999997</v>
      </c>
      <c r="E626" s="6">
        <f t="shared" si="68"/>
        <v>340.18598450000002</v>
      </c>
      <c r="F626" s="6">
        <f t="shared" si="69"/>
        <v>6.8985000000001406E-3</v>
      </c>
      <c r="G626" s="6">
        <f t="shared" si="65"/>
        <v>-653.08113866836356</v>
      </c>
      <c r="H626" s="7">
        <f t="shared" si="66"/>
        <v>6.5415990067735917E-14</v>
      </c>
      <c r="I626" s="8" t="str">
        <f t="shared" si="67"/>
        <v/>
      </c>
    </row>
    <row r="627" spans="1:9" x14ac:dyDescent="0.2">
      <c r="A627" s="5">
        <v>626</v>
      </c>
      <c r="B627" s="6">
        <v>2.6493190000000002</v>
      </c>
      <c r="C627" s="6">
        <f t="shared" si="63"/>
        <v>2.558319</v>
      </c>
      <c r="D627" s="6">
        <f t="shared" si="64"/>
        <v>1601.5076939999999</v>
      </c>
      <c r="E627" s="6">
        <f t="shared" si="68"/>
        <v>342.7407455</v>
      </c>
      <c r="F627" s="6">
        <f t="shared" si="69"/>
        <v>5.833500000000047E-3</v>
      </c>
      <c r="G627" s="6">
        <f t="shared" si="65"/>
        <v>-653.95033047191191</v>
      </c>
      <c r="H627" s="7">
        <f t="shared" si="66"/>
        <v>7.7461697075405355E-14</v>
      </c>
      <c r="I627" s="8" t="str">
        <f t="shared" si="67"/>
        <v/>
      </c>
    </row>
    <row r="628" spans="1:9" x14ac:dyDescent="0.2">
      <c r="A628" s="5">
        <v>627</v>
      </c>
      <c r="B628" s="6">
        <v>2.65387</v>
      </c>
      <c r="C628" s="6">
        <f t="shared" si="63"/>
        <v>2.5628699999999998</v>
      </c>
      <c r="D628" s="6">
        <f t="shared" si="64"/>
        <v>1606.9194899999998</v>
      </c>
      <c r="E628" s="6">
        <f t="shared" si="68"/>
        <v>345.30133999999998</v>
      </c>
      <c r="F628" s="6">
        <f t="shared" si="69"/>
        <v>5.4924999999999002E-3</v>
      </c>
      <c r="G628" s="6">
        <f t="shared" si="65"/>
        <v>-654.50166647274784</v>
      </c>
      <c r="H628" s="7">
        <f t="shared" si="66"/>
        <v>8.2340241652300847E-14</v>
      </c>
      <c r="I628" s="8" t="str">
        <f t="shared" si="67"/>
        <v/>
      </c>
    </row>
    <row r="629" spans="1:9" x14ac:dyDescent="0.2">
      <c r="A629" s="5">
        <v>628</v>
      </c>
      <c r="B629" s="6">
        <v>2.660304</v>
      </c>
      <c r="C629" s="6">
        <f t="shared" si="63"/>
        <v>2.5693039999999998</v>
      </c>
      <c r="D629" s="6">
        <f t="shared" si="64"/>
        <v>1613.5229119999999</v>
      </c>
      <c r="E629" s="6">
        <f t="shared" si="68"/>
        <v>347.86742699999996</v>
      </c>
      <c r="F629" s="6">
        <f t="shared" si="69"/>
        <v>5.7825000000000237E-3</v>
      </c>
      <c r="G629" s="6">
        <f t="shared" si="65"/>
        <v>-655.27468662115007</v>
      </c>
      <c r="H629" s="7">
        <f t="shared" si="66"/>
        <v>7.8303143290745592E-14</v>
      </c>
      <c r="I629" s="8" t="str">
        <f t="shared" si="67"/>
        <v/>
      </c>
    </row>
    <row r="630" spans="1:9" x14ac:dyDescent="0.2">
      <c r="A630" s="5">
        <v>629</v>
      </c>
      <c r="B630" s="6">
        <v>2.665435</v>
      </c>
      <c r="C630" s="6">
        <f t="shared" si="63"/>
        <v>2.5744349999999998</v>
      </c>
      <c r="D630" s="6">
        <f t="shared" si="64"/>
        <v>1619.3196149999999</v>
      </c>
      <c r="E630" s="6">
        <f t="shared" si="68"/>
        <v>350.43929649999995</v>
      </c>
      <c r="F630" s="6">
        <f t="shared" si="69"/>
        <v>5.2464999999999318E-3</v>
      </c>
      <c r="G630" s="6">
        <f t="shared" si="65"/>
        <v>-655.88602537269685</v>
      </c>
      <c r="H630" s="7">
        <f t="shared" si="66"/>
        <v>8.6383370768159244E-14</v>
      </c>
      <c r="I630" s="8" t="str">
        <f t="shared" si="67"/>
        <v/>
      </c>
    </row>
    <row r="631" spans="1:9" x14ac:dyDescent="0.2">
      <c r="A631" s="5">
        <v>630</v>
      </c>
      <c r="B631" s="6">
        <v>2.6707969999999999</v>
      </c>
      <c r="C631" s="6">
        <f t="shared" si="63"/>
        <v>2.5797969999999997</v>
      </c>
      <c r="D631" s="6">
        <f t="shared" si="64"/>
        <v>1625.2721099999999</v>
      </c>
      <c r="E631" s="6">
        <f t="shared" si="68"/>
        <v>353.01641249999994</v>
      </c>
      <c r="F631" s="6">
        <f t="shared" si="69"/>
        <v>5.0215000000000121E-3</v>
      </c>
      <c r="G631" s="6">
        <f t="shared" si="65"/>
        <v>-656.51952487840595</v>
      </c>
      <c r="H631" s="7">
        <f t="shared" si="66"/>
        <v>9.034115229312249E-14</v>
      </c>
      <c r="I631" s="8" t="str">
        <f t="shared" si="67"/>
        <v/>
      </c>
    </row>
    <row r="632" spans="1:9" x14ac:dyDescent="0.2">
      <c r="A632" s="5">
        <v>631</v>
      </c>
      <c r="B632" s="6">
        <v>2.675478</v>
      </c>
      <c r="C632" s="6">
        <f t="shared" si="63"/>
        <v>2.5844779999999998</v>
      </c>
      <c r="D632" s="6">
        <f t="shared" si="64"/>
        <v>1630.8056179999999</v>
      </c>
      <c r="E632" s="6">
        <f t="shared" si="68"/>
        <v>355.59854999999993</v>
      </c>
      <c r="F632" s="6">
        <f t="shared" si="69"/>
        <v>5.0145000000001438E-3</v>
      </c>
      <c r="G632" s="6">
        <f t="shared" si="65"/>
        <v>-657.06788587509095</v>
      </c>
      <c r="H632" s="7">
        <f t="shared" si="66"/>
        <v>9.0542827386410275E-14</v>
      </c>
      <c r="I632" s="8" t="str">
        <f t="shared" si="67"/>
        <v/>
      </c>
    </row>
    <row r="633" spans="1:9" x14ac:dyDescent="0.2">
      <c r="A633" s="5">
        <v>632</v>
      </c>
      <c r="B633" s="6">
        <v>2.6808260000000002</v>
      </c>
      <c r="C633" s="6">
        <f t="shared" si="63"/>
        <v>2.589826</v>
      </c>
      <c r="D633" s="6">
        <f t="shared" si="64"/>
        <v>1636.7700319999999</v>
      </c>
      <c r="E633" s="6">
        <f t="shared" si="68"/>
        <v>358.18570199999994</v>
      </c>
      <c r="F633" s="6">
        <f t="shared" si="69"/>
        <v>5.3259999999999419E-3</v>
      </c>
      <c r="G633" s="6">
        <f t="shared" si="65"/>
        <v>-657.68903533509331</v>
      </c>
      <c r="H633" s="7">
        <f t="shared" si="66"/>
        <v>8.5327866256491945E-14</v>
      </c>
      <c r="I633" s="8" t="str">
        <f t="shared" si="67"/>
        <v/>
      </c>
    </row>
    <row r="634" spans="1:9" x14ac:dyDescent="0.2">
      <c r="A634" s="5">
        <v>633</v>
      </c>
      <c r="B634" s="6">
        <v>2.6861299999999999</v>
      </c>
      <c r="C634" s="6">
        <f t="shared" si="63"/>
        <v>2.5951299999999997</v>
      </c>
      <c r="D634" s="6">
        <f t="shared" si="64"/>
        <v>1642.7172899999998</v>
      </c>
      <c r="E634" s="6">
        <f t="shared" si="68"/>
        <v>360.77817999999991</v>
      </c>
      <c r="F634" s="6">
        <f t="shared" si="69"/>
        <v>4.7245000000000203E-3</v>
      </c>
      <c r="G634" s="6">
        <f t="shared" si="65"/>
        <v>-658.29977036573132</v>
      </c>
      <c r="H634" s="7">
        <f t="shared" si="66"/>
        <v>9.628071270476565E-14</v>
      </c>
      <c r="I634" s="8" t="str">
        <f t="shared" si="67"/>
        <v/>
      </c>
    </row>
    <row r="635" spans="1:9" x14ac:dyDescent="0.2">
      <c r="A635" s="5">
        <v>634</v>
      </c>
      <c r="B635" s="6">
        <v>2.6902750000000002</v>
      </c>
      <c r="C635" s="6">
        <f t="shared" si="63"/>
        <v>2.599275</v>
      </c>
      <c r="D635" s="6">
        <f t="shared" si="64"/>
        <v>1647.9403500000001</v>
      </c>
      <c r="E635" s="6">
        <f t="shared" si="68"/>
        <v>363.37538249999989</v>
      </c>
      <c r="F635" s="6">
        <f t="shared" si="69"/>
        <v>4.5435000000000336E-3</v>
      </c>
      <c r="G635" s="6">
        <f t="shared" si="65"/>
        <v>-658.77290604106975</v>
      </c>
      <c r="H635" s="7">
        <f t="shared" si="66"/>
        <v>1.0018821590314948E-13</v>
      </c>
      <c r="I635" s="8" t="str">
        <f t="shared" si="67"/>
        <v/>
      </c>
    </row>
    <row r="636" spans="1:9" x14ac:dyDescent="0.2">
      <c r="A636" s="5">
        <v>635</v>
      </c>
      <c r="B636" s="6">
        <v>2.695217</v>
      </c>
      <c r="C636" s="6">
        <f t="shared" si="63"/>
        <v>2.6042169999999998</v>
      </c>
      <c r="D636" s="6">
        <f t="shared" si="64"/>
        <v>1653.6777949999998</v>
      </c>
      <c r="E636" s="6">
        <f t="shared" si="68"/>
        <v>365.97712849999988</v>
      </c>
      <c r="F636" s="6">
        <f t="shared" si="69"/>
        <v>4.5869999999998967E-3</v>
      </c>
      <c r="G636" s="6">
        <f t="shared" si="65"/>
        <v>-659.33207417557458</v>
      </c>
      <c r="H636" s="7">
        <f t="shared" si="66"/>
        <v>9.9322332300839474E-14</v>
      </c>
      <c r="I636" s="8" t="str">
        <f t="shared" si="67"/>
        <v/>
      </c>
    </row>
    <row r="637" spans="1:9" x14ac:dyDescent="0.2">
      <c r="A637" s="5">
        <v>636</v>
      </c>
      <c r="B637" s="6">
        <v>2.699449</v>
      </c>
      <c r="C637" s="6">
        <f t="shared" si="63"/>
        <v>2.6084489999999998</v>
      </c>
      <c r="D637" s="6">
        <f t="shared" si="64"/>
        <v>1658.9735639999999</v>
      </c>
      <c r="E637" s="6">
        <f t="shared" si="68"/>
        <v>368.58346149999988</v>
      </c>
      <c r="F637" s="6">
        <f t="shared" si="69"/>
        <v>4.2755000000000987E-3</v>
      </c>
      <c r="G637" s="6">
        <f t="shared" si="65"/>
        <v>-659.80667656351966</v>
      </c>
      <c r="H637" s="7">
        <f t="shared" si="66"/>
        <v>1.0663536043251828E-13</v>
      </c>
      <c r="I637" s="8" t="str">
        <f t="shared" si="67"/>
        <v/>
      </c>
    </row>
    <row r="638" spans="1:9" x14ac:dyDescent="0.2">
      <c r="A638" s="5">
        <v>637</v>
      </c>
      <c r="B638" s="6">
        <v>2.7037680000000002</v>
      </c>
      <c r="C638" s="6">
        <f t="shared" si="63"/>
        <v>2.612768</v>
      </c>
      <c r="D638" s="6">
        <f t="shared" si="64"/>
        <v>1664.333216</v>
      </c>
      <c r="E638" s="6">
        <f t="shared" si="68"/>
        <v>371.1940699999999</v>
      </c>
      <c r="F638" s="6">
        <f t="shared" si="69"/>
        <v>4.2685000000000084E-3</v>
      </c>
      <c r="G638" s="6">
        <f t="shared" si="65"/>
        <v>-660.28671666407126</v>
      </c>
      <c r="H638" s="7">
        <f t="shared" si="66"/>
        <v>1.0688794335172594E-13</v>
      </c>
      <c r="I638" s="8" t="str">
        <f t="shared" si="67"/>
        <v/>
      </c>
    </row>
    <row r="639" spans="1:9" x14ac:dyDescent="0.2">
      <c r="A639" s="5">
        <v>638</v>
      </c>
      <c r="B639" s="6">
        <v>2.707986</v>
      </c>
      <c r="C639" s="6">
        <f t="shared" si="63"/>
        <v>2.6169859999999998</v>
      </c>
      <c r="D639" s="6">
        <f t="shared" si="64"/>
        <v>1669.6370679999998</v>
      </c>
      <c r="E639" s="6">
        <f t="shared" si="68"/>
        <v>373.80894699999988</v>
      </c>
      <c r="F639" s="6">
        <f t="shared" si="69"/>
        <v>4.6594999999998166E-3</v>
      </c>
      <c r="G639" s="6">
        <f t="shared" si="65"/>
        <v>-660.75131300630937</v>
      </c>
      <c r="H639" s="7">
        <f t="shared" si="66"/>
        <v>9.798738435232825E-14</v>
      </c>
      <c r="I639" s="8" t="str">
        <f t="shared" si="67"/>
        <v/>
      </c>
    </row>
    <row r="640" spans="1:9" x14ac:dyDescent="0.2">
      <c r="A640" s="5">
        <v>639</v>
      </c>
      <c r="B640" s="6">
        <v>2.7130869999999998</v>
      </c>
      <c r="C640" s="6">
        <f t="shared" si="63"/>
        <v>2.6220869999999996</v>
      </c>
      <c r="D640" s="6">
        <f t="shared" si="64"/>
        <v>1675.5135929999997</v>
      </c>
      <c r="E640" s="6">
        <f t="shared" si="68"/>
        <v>376.42848349999986</v>
      </c>
      <c r="F640" s="6">
        <f t="shared" si="69"/>
        <v>4.5504999999999018E-3</v>
      </c>
      <c r="G640" s="6">
        <f t="shared" si="65"/>
        <v>-661.3080673741988</v>
      </c>
      <c r="H640" s="7">
        <f t="shared" si="66"/>
        <v>1.0041905918256529E-13</v>
      </c>
      <c r="I640" s="8" t="str">
        <f t="shared" si="67"/>
        <v/>
      </c>
    </row>
    <row r="641" spans="1:9" x14ac:dyDescent="0.2">
      <c r="A641" s="5">
        <v>640</v>
      </c>
      <c r="B641" s="6">
        <v>2.7170869999999998</v>
      </c>
      <c r="C641" s="6">
        <f t="shared" si="63"/>
        <v>2.6260869999999996</v>
      </c>
      <c r="D641" s="6">
        <f t="shared" si="64"/>
        <v>1680.6956799999998</v>
      </c>
      <c r="E641" s="6">
        <f t="shared" si="68"/>
        <v>379.05257049999983</v>
      </c>
      <c r="F641" s="6">
        <f t="shared" si="69"/>
        <v>4.6085000000000154E-3</v>
      </c>
      <c r="G641" s="6">
        <f t="shared" si="65"/>
        <v>-661.74065186185942</v>
      </c>
      <c r="H641" s="7">
        <f t="shared" si="66"/>
        <v>9.9220102017526974E-14</v>
      </c>
      <c r="I641" s="8" t="str">
        <f t="shared" si="67"/>
        <v/>
      </c>
    </row>
    <row r="642" spans="1:9" x14ac:dyDescent="0.2">
      <c r="A642" s="5">
        <v>641</v>
      </c>
      <c r="B642" s="6">
        <v>2.7223039999999998</v>
      </c>
      <c r="C642" s="6">
        <f t="shared" ref="C642:C705" si="70">B642-$B$2</f>
        <v>2.6313039999999996</v>
      </c>
      <c r="D642" s="6">
        <f t="shared" ref="D642:D705" si="71">A642*C642</f>
        <v>1686.6658639999998</v>
      </c>
      <c r="E642" s="6">
        <f t="shared" si="68"/>
        <v>381.68126599999982</v>
      </c>
      <c r="F642" s="6">
        <f t="shared" si="69"/>
        <v>5.1085000000001823E-3</v>
      </c>
      <c r="G642" s="6">
        <f t="shared" ref="G642:G705" si="72">(A642-$L$5)*C642-E642</f>
        <v>-662.29963317989086</v>
      </c>
      <c r="H642" s="7">
        <f t="shared" ref="H642:H705" si="73">IF(ABS(F642)&lt;0.000000001,"",-(G642)/(2*$L$4*F642)*0.000000000001)</f>
        <v>8.9584435816289458E-14</v>
      </c>
      <c r="I642" s="8" t="str">
        <f t="shared" ref="I642:I705" si="74">IF(AND(B642&gt;=0.5,B642&lt;=2.5,ISNUMBER(H642),H642&gt;0),H642,"")</f>
        <v/>
      </c>
    </row>
    <row r="643" spans="1:9" x14ac:dyDescent="0.2">
      <c r="A643" s="5">
        <v>642</v>
      </c>
      <c r="B643" s="6">
        <v>2.7273040000000002</v>
      </c>
      <c r="C643" s="6">
        <f t="shared" si="70"/>
        <v>2.636304</v>
      </c>
      <c r="D643" s="6">
        <f t="shared" si="71"/>
        <v>1692.5071680000001</v>
      </c>
      <c r="E643" s="6">
        <f t="shared" ref="E643:E706" si="75">E642+(C642+C643)/2*(A643-A642)</f>
        <v>384.31506999999982</v>
      </c>
      <c r="F643" s="6">
        <f t="shared" ref="F643:F706" si="76">(B644-B642)/(A644-A642)</f>
        <v>4.137999999999975E-3</v>
      </c>
      <c r="G643" s="6">
        <f t="shared" si="72"/>
        <v>-662.83036378946679</v>
      </c>
      <c r="H643" s="7">
        <f t="shared" si="73"/>
        <v>1.106836200204122E-13</v>
      </c>
      <c r="I643" s="8" t="str">
        <f t="shared" si="74"/>
        <v/>
      </c>
    </row>
    <row r="644" spans="1:9" x14ac:dyDescent="0.2">
      <c r="A644" s="5">
        <v>643</v>
      </c>
      <c r="B644" s="6">
        <v>2.7305799999999998</v>
      </c>
      <c r="C644" s="6">
        <f t="shared" si="70"/>
        <v>2.6395799999999996</v>
      </c>
      <c r="D644" s="6">
        <f t="shared" si="71"/>
        <v>1697.2499399999997</v>
      </c>
      <c r="E644" s="6">
        <f t="shared" si="75"/>
        <v>386.95301199999983</v>
      </c>
      <c r="F644" s="6">
        <f t="shared" si="76"/>
        <v>3.4494999999998832E-3</v>
      </c>
      <c r="G644" s="6">
        <f t="shared" si="72"/>
        <v>-663.1748224848609</v>
      </c>
      <c r="H644" s="7">
        <f t="shared" si="73"/>
        <v>1.3284442295553913E-13</v>
      </c>
      <c r="I644" s="8" t="str">
        <f t="shared" si="74"/>
        <v/>
      </c>
    </row>
    <row r="645" spans="1:9" x14ac:dyDescent="0.2">
      <c r="A645" s="5">
        <v>644</v>
      </c>
      <c r="B645" s="6">
        <v>2.7342029999999999</v>
      </c>
      <c r="C645" s="6">
        <f t="shared" si="70"/>
        <v>2.6432029999999997</v>
      </c>
      <c r="D645" s="6">
        <f t="shared" si="71"/>
        <v>1702.2227319999997</v>
      </c>
      <c r="E645" s="6">
        <f t="shared" si="75"/>
        <v>389.59440349999983</v>
      </c>
      <c r="F645" s="6">
        <f t="shared" si="76"/>
        <v>3.3765000000001155E-3</v>
      </c>
      <c r="G645" s="6">
        <f t="shared" si="72"/>
        <v>-663.55214388455954</v>
      </c>
      <c r="H645" s="7">
        <f t="shared" si="73"/>
        <v>1.3579373970361938E-13</v>
      </c>
      <c r="I645" s="8" t="str">
        <f t="shared" si="74"/>
        <v/>
      </c>
    </row>
    <row r="646" spans="1:9" x14ac:dyDescent="0.2">
      <c r="A646" s="5">
        <v>645</v>
      </c>
      <c r="B646" s="6">
        <v>2.737333</v>
      </c>
      <c r="C646" s="6">
        <f t="shared" si="70"/>
        <v>2.6463329999999998</v>
      </c>
      <c r="D646" s="6">
        <f t="shared" si="71"/>
        <v>1706.884785</v>
      </c>
      <c r="E646" s="6">
        <f t="shared" si="75"/>
        <v>392.23917149999983</v>
      </c>
      <c r="F646" s="6">
        <f t="shared" si="76"/>
        <v>3.0650000000000954E-3</v>
      </c>
      <c r="G646" s="6">
        <f t="shared" si="72"/>
        <v>-663.87499124615408</v>
      </c>
      <c r="H646" s="7">
        <f t="shared" si="73"/>
        <v>1.4966742128719584E-13</v>
      </c>
      <c r="I646" s="8" t="str">
        <f t="shared" si="74"/>
        <v/>
      </c>
    </row>
    <row r="647" spans="1:9" x14ac:dyDescent="0.2">
      <c r="A647" s="5">
        <v>646</v>
      </c>
      <c r="B647" s="6">
        <v>2.7403330000000001</v>
      </c>
      <c r="C647" s="6">
        <f t="shared" si="70"/>
        <v>2.6493329999999999</v>
      </c>
      <c r="D647" s="6">
        <f t="shared" si="71"/>
        <v>1711.469118</v>
      </c>
      <c r="E647" s="6">
        <f t="shared" si="75"/>
        <v>394.88700449999982</v>
      </c>
      <c r="F647" s="6">
        <f t="shared" si="76"/>
        <v>3.0580000000000052E-3</v>
      </c>
      <c r="G647" s="6">
        <f t="shared" si="72"/>
        <v>-664.1814296118996</v>
      </c>
      <c r="H647" s="7">
        <f t="shared" si="73"/>
        <v>1.5007926485855606E-13</v>
      </c>
      <c r="I647" s="8" t="str">
        <f t="shared" si="74"/>
        <v/>
      </c>
    </row>
    <row r="648" spans="1:9" x14ac:dyDescent="0.2">
      <c r="A648" s="5">
        <v>647</v>
      </c>
      <c r="B648" s="6">
        <v>2.743449</v>
      </c>
      <c r="C648" s="6">
        <f t="shared" si="70"/>
        <v>2.6524489999999998</v>
      </c>
      <c r="D648" s="6">
        <f t="shared" si="71"/>
        <v>1716.134503</v>
      </c>
      <c r="E648" s="6">
        <f t="shared" si="75"/>
        <v>397.53789549999982</v>
      </c>
      <c r="F648" s="6">
        <f t="shared" si="76"/>
        <v>2.7319999999999567E-3</v>
      </c>
      <c r="G648" s="6">
        <f t="shared" si="72"/>
        <v>-664.49660092778731</v>
      </c>
      <c r="H648" s="7">
        <f t="shared" si="73"/>
        <v>1.6806741288671078E-13</v>
      </c>
      <c r="I648" s="8" t="str">
        <f t="shared" si="74"/>
        <v/>
      </c>
    </row>
    <row r="649" spans="1:9" x14ac:dyDescent="0.2">
      <c r="A649" s="5">
        <v>648</v>
      </c>
      <c r="B649" s="6">
        <v>2.745797</v>
      </c>
      <c r="C649" s="6">
        <f t="shared" si="70"/>
        <v>2.6547969999999999</v>
      </c>
      <c r="D649" s="6">
        <f t="shared" si="71"/>
        <v>1720.308456</v>
      </c>
      <c r="E649" s="6">
        <f t="shared" si="75"/>
        <v>400.1915184999998</v>
      </c>
      <c r="F649" s="6">
        <f t="shared" si="76"/>
        <v>3.130499999999925E-3</v>
      </c>
      <c r="G649" s="6">
        <f t="shared" si="72"/>
        <v>-664.73174402204404</v>
      </c>
      <c r="H649" s="7">
        <f t="shared" si="73"/>
        <v>1.4672501306976886E-13</v>
      </c>
      <c r="I649" s="8" t="str">
        <f t="shared" si="74"/>
        <v/>
      </c>
    </row>
    <row r="650" spans="1:9" x14ac:dyDescent="0.2">
      <c r="A650" s="5">
        <v>649</v>
      </c>
      <c r="B650" s="6">
        <v>2.7497099999999999</v>
      </c>
      <c r="C650" s="6">
        <f t="shared" si="70"/>
        <v>2.6587099999999997</v>
      </c>
      <c r="D650" s="6">
        <f t="shared" si="71"/>
        <v>1725.5027899999998</v>
      </c>
      <c r="E650" s="6">
        <f t="shared" si="75"/>
        <v>402.84827199999978</v>
      </c>
      <c r="F650" s="6">
        <f t="shared" si="76"/>
        <v>4.2389999999998818E-3</v>
      </c>
      <c r="G650" s="6">
        <f t="shared" si="72"/>
        <v>-665.11970279709817</v>
      </c>
      <c r="H650" s="7">
        <f t="shared" si="73"/>
        <v>1.0841961048684336E-13</v>
      </c>
      <c r="I650" s="8" t="str">
        <f t="shared" si="74"/>
        <v/>
      </c>
    </row>
    <row r="651" spans="1:9" x14ac:dyDescent="0.2">
      <c r="A651" s="5">
        <v>650</v>
      </c>
      <c r="B651" s="6">
        <v>2.7542749999999998</v>
      </c>
      <c r="C651" s="6">
        <f t="shared" si="70"/>
        <v>2.6632749999999996</v>
      </c>
      <c r="D651" s="6">
        <f t="shared" si="71"/>
        <v>1731.1287499999999</v>
      </c>
      <c r="E651" s="6">
        <f t="shared" si="75"/>
        <v>405.5092644999998</v>
      </c>
      <c r="F651" s="6">
        <f t="shared" si="76"/>
        <v>3.4275000000001388E-3</v>
      </c>
      <c r="G651" s="6">
        <f t="shared" si="72"/>
        <v>-665.56773984364099</v>
      </c>
      <c r="H651" s="7">
        <f t="shared" si="73"/>
        <v>1.3417952377742013E-13</v>
      </c>
      <c r="I651" s="8" t="str">
        <f t="shared" si="74"/>
        <v/>
      </c>
    </row>
    <row r="652" spans="1:9" x14ac:dyDescent="0.2">
      <c r="A652" s="5">
        <v>651</v>
      </c>
      <c r="B652" s="6">
        <v>2.7565650000000002</v>
      </c>
      <c r="C652" s="6">
        <f t="shared" si="70"/>
        <v>2.665565</v>
      </c>
      <c r="D652" s="6">
        <f t="shared" si="71"/>
        <v>1735.282815</v>
      </c>
      <c r="E652" s="6">
        <f t="shared" si="75"/>
        <v>408.17368449999981</v>
      </c>
      <c r="F652" s="6">
        <f t="shared" si="76"/>
        <v>2.8840000000001087E-3</v>
      </c>
      <c r="G652" s="6">
        <f t="shared" si="72"/>
        <v>-665.79020446282675</v>
      </c>
      <c r="H652" s="7">
        <f t="shared" si="73"/>
        <v>1.5951943081220919E-13</v>
      </c>
      <c r="I652" s="8" t="str">
        <f t="shared" si="74"/>
        <v/>
      </c>
    </row>
    <row r="653" spans="1:9" x14ac:dyDescent="0.2">
      <c r="A653" s="5">
        <v>652</v>
      </c>
      <c r="B653" s="6">
        <v>2.760043</v>
      </c>
      <c r="C653" s="6">
        <f t="shared" si="70"/>
        <v>2.6690429999999998</v>
      </c>
      <c r="D653" s="6">
        <f t="shared" si="71"/>
        <v>1740.2160359999998</v>
      </c>
      <c r="E653" s="6">
        <f t="shared" si="75"/>
        <v>410.84098849999981</v>
      </c>
      <c r="F653" s="6">
        <f t="shared" si="76"/>
        <v>3.1159999999998966E-3</v>
      </c>
      <c r="G653" s="6">
        <f t="shared" si="72"/>
        <v>-666.12460067484767</v>
      </c>
      <c r="H653" s="7">
        <f t="shared" si="73"/>
        <v>1.4771665684620458E-13</v>
      </c>
      <c r="I653" s="8" t="str">
        <f t="shared" si="74"/>
        <v/>
      </c>
    </row>
    <row r="654" spans="1:9" x14ac:dyDescent="0.2">
      <c r="A654" s="5">
        <v>653</v>
      </c>
      <c r="B654" s="6">
        <v>2.7627969999999999</v>
      </c>
      <c r="C654" s="6">
        <f t="shared" si="70"/>
        <v>2.6717969999999998</v>
      </c>
      <c r="D654" s="6">
        <f t="shared" si="71"/>
        <v>1744.6834409999999</v>
      </c>
      <c r="E654" s="6">
        <f t="shared" si="75"/>
        <v>413.51140849999979</v>
      </c>
      <c r="F654" s="6">
        <f t="shared" si="76"/>
        <v>4.1960000000000885E-3</v>
      </c>
      <c r="G654" s="6">
        <f t="shared" si="72"/>
        <v>-666.38663309460208</v>
      </c>
      <c r="H654" s="7">
        <f t="shared" si="73"/>
        <v>1.0973931467651614E-13</v>
      </c>
      <c r="I654" s="8" t="str">
        <f t="shared" si="74"/>
        <v/>
      </c>
    </row>
    <row r="655" spans="1:9" x14ac:dyDescent="0.2">
      <c r="A655" s="5">
        <v>654</v>
      </c>
      <c r="B655" s="6">
        <v>2.7684350000000002</v>
      </c>
      <c r="C655" s="6">
        <f t="shared" si="70"/>
        <v>2.677435</v>
      </c>
      <c r="D655" s="6">
        <f t="shared" si="71"/>
        <v>1751.04249</v>
      </c>
      <c r="E655" s="6">
        <f t="shared" si="75"/>
        <v>416.1860244999998</v>
      </c>
      <c r="F655" s="6">
        <f t="shared" si="76"/>
        <v>5.1810000000001022E-3</v>
      </c>
      <c r="G655" s="6">
        <f t="shared" si="72"/>
        <v>-666.9174289299599</v>
      </c>
      <c r="H655" s="7">
        <f t="shared" si="73"/>
        <v>8.8946716604887953E-14</v>
      </c>
      <c r="I655" s="8" t="str">
        <f t="shared" si="74"/>
        <v/>
      </c>
    </row>
    <row r="656" spans="1:9" x14ac:dyDescent="0.2">
      <c r="A656" s="5">
        <v>655</v>
      </c>
      <c r="B656" s="6">
        <v>2.7731590000000002</v>
      </c>
      <c r="C656" s="6">
        <f t="shared" si="70"/>
        <v>2.682159</v>
      </c>
      <c r="D656" s="6">
        <f t="shared" si="71"/>
        <v>1756.8141450000001</v>
      </c>
      <c r="E656" s="6">
        <f t="shared" si="75"/>
        <v>418.86582149999981</v>
      </c>
      <c r="F656" s="6">
        <f t="shared" si="76"/>
        <v>3.6014999999998132E-3</v>
      </c>
      <c r="G656" s="6">
        <f t="shared" si="72"/>
        <v>-667.35745120988713</v>
      </c>
      <c r="H656" s="7">
        <f t="shared" si="73"/>
        <v>1.2804025808796765E-13</v>
      </c>
      <c r="I656" s="8" t="str">
        <f t="shared" si="74"/>
        <v/>
      </c>
    </row>
    <row r="657" spans="1:9" x14ac:dyDescent="0.2">
      <c r="A657" s="5">
        <v>656</v>
      </c>
      <c r="B657" s="6">
        <v>2.7756379999999998</v>
      </c>
      <c r="C657" s="6">
        <f t="shared" si="70"/>
        <v>2.6846379999999996</v>
      </c>
      <c r="D657" s="6">
        <f t="shared" si="71"/>
        <v>1761.1225279999999</v>
      </c>
      <c r="E657" s="6">
        <f t="shared" si="75"/>
        <v>421.54921999999982</v>
      </c>
      <c r="F657" s="6">
        <f t="shared" si="76"/>
        <v>2.9420000000000002E-3</v>
      </c>
      <c r="G657" s="6">
        <f t="shared" si="72"/>
        <v>-667.58588144611485</v>
      </c>
      <c r="H657" s="7">
        <f t="shared" si="73"/>
        <v>1.5679634004004516E-13</v>
      </c>
      <c r="I657" s="8" t="str">
        <f t="shared" si="74"/>
        <v/>
      </c>
    </row>
    <row r="658" spans="1:9" x14ac:dyDescent="0.2">
      <c r="A658" s="5">
        <v>657</v>
      </c>
      <c r="B658" s="6">
        <v>2.7790430000000002</v>
      </c>
      <c r="C658" s="6">
        <f t="shared" si="70"/>
        <v>2.688043</v>
      </c>
      <c r="D658" s="6">
        <f t="shared" si="71"/>
        <v>1766.044251</v>
      </c>
      <c r="E658" s="6">
        <f t="shared" si="75"/>
        <v>424.23556049999979</v>
      </c>
      <c r="F658" s="6">
        <f t="shared" si="76"/>
        <v>3.4780000000000921E-3</v>
      </c>
      <c r="G658" s="6">
        <f t="shared" si="72"/>
        <v>-667.89623399123604</v>
      </c>
      <c r="H658" s="7">
        <f t="shared" si="73"/>
        <v>1.3269387083002706E-13</v>
      </c>
      <c r="I658" s="8" t="str">
        <f t="shared" si="74"/>
        <v/>
      </c>
    </row>
    <row r="659" spans="1:9" x14ac:dyDescent="0.2">
      <c r="A659" s="5">
        <v>658</v>
      </c>
      <c r="B659" s="6">
        <v>2.782594</v>
      </c>
      <c r="C659" s="6">
        <f t="shared" si="70"/>
        <v>2.6915939999999998</v>
      </c>
      <c r="D659" s="6">
        <f t="shared" si="71"/>
        <v>1771.0688519999999</v>
      </c>
      <c r="E659" s="6">
        <f t="shared" si="75"/>
        <v>426.92537899999979</v>
      </c>
      <c r="F659" s="6">
        <f t="shared" si="76"/>
        <v>3.0434999999999768E-3</v>
      </c>
      <c r="G659" s="6">
        <f t="shared" si="72"/>
        <v>-668.21634287015684</v>
      </c>
      <c r="H659" s="7">
        <f t="shared" si="73"/>
        <v>1.5171035801546497E-13</v>
      </c>
      <c r="I659" s="8" t="str">
        <f t="shared" si="74"/>
        <v/>
      </c>
    </row>
    <row r="660" spans="1:9" x14ac:dyDescent="0.2">
      <c r="A660" s="5">
        <v>659</v>
      </c>
      <c r="B660" s="6">
        <v>2.7851300000000001</v>
      </c>
      <c r="C660" s="6">
        <f t="shared" si="70"/>
        <v>2.6941299999999999</v>
      </c>
      <c r="D660" s="6">
        <f t="shared" si="71"/>
        <v>1775.4316699999999</v>
      </c>
      <c r="E660" s="6">
        <f t="shared" si="75"/>
        <v>429.61824099999978</v>
      </c>
      <c r="F660" s="6">
        <f t="shared" si="76"/>
        <v>2.0944999999998881E-3</v>
      </c>
      <c r="G660" s="6">
        <f t="shared" si="72"/>
        <v>-668.44241743533371</v>
      </c>
      <c r="H660" s="7">
        <f t="shared" si="73"/>
        <v>2.2052360456918395E-13</v>
      </c>
      <c r="I660" s="8" t="str">
        <f t="shared" si="74"/>
        <v/>
      </c>
    </row>
    <row r="661" spans="1:9" x14ac:dyDescent="0.2">
      <c r="A661" s="5">
        <v>660</v>
      </c>
      <c r="B661" s="6">
        <v>2.7867829999999998</v>
      </c>
      <c r="C661" s="6">
        <f t="shared" si="70"/>
        <v>2.6957829999999996</v>
      </c>
      <c r="D661" s="6">
        <f t="shared" si="71"/>
        <v>1779.2167799999997</v>
      </c>
      <c r="E661" s="6">
        <f t="shared" si="75"/>
        <v>432.31319749999977</v>
      </c>
      <c r="F661" s="6">
        <f t="shared" si="76"/>
        <v>2.7029999999998999E-3</v>
      </c>
      <c r="G661" s="6">
        <f t="shared" si="72"/>
        <v>-668.58812297485952</v>
      </c>
      <c r="H661" s="7">
        <f t="shared" si="73"/>
        <v>1.7091652636611517E-13</v>
      </c>
      <c r="I661" s="8" t="str">
        <f t="shared" si="74"/>
        <v/>
      </c>
    </row>
    <row r="662" spans="1:9" x14ac:dyDescent="0.2">
      <c r="A662" s="5">
        <v>661</v>
      </c>
      <c r="B662" s="6">
        <v>2.7905359999999999</v>
      </c>
      <c r="C662" s="6">
        <f t="shared" si="70"/>
        <v>2.6995359999999997</v>
      </c>
      <c r="D662" s="6">
        <f t="shared" si="71"/>
        <v>1784.3932959999997</v>
      </c>
      <c r="E662" s="6">
        <f t="shared" si="75"/>
        <v>435.01085699999976</v>
      </c>
      <c r="F662" s="6">
        <f t="shared" si="76"/>
        <v>4.1810000000002123E-3</v>
      </c>
      <c r="G662" s="6">
        <f t="shared" si="72"/>
        <v>-668.91518237040714</v>
      </c>
      <c r="H662" s="7">
        <f t="shared" si="73"/>
        <v>1.1055091255077115E-13</v>
      </c>
      <c r="I662" s="8" t="str">
        <f t="shared" si="74"/>
        <v/>
      </c>
    </row>
    <row r="663" spans="1:9" x14ac:dyDescent="0.2">
      <c r="A663" s="5">
        <v>662</v>
      </c>
      <c r="B663" s="6">
        <v>2.7951450000000002</v>
      </c>
      <c r="C663" s="6">
        <f t="shared" si="70"/>
        <v>2.704145</v>
      </c>
      <c r="D663" s="6">
        <f t="shared" si="71"/>
        <v>1790.14399</v>
      </c>
      <c r="E663" s="6">
        <f t="shared" si="75"/>
        <v>437.71269749999976</v>
      </c>
      <c r="F663" s="6">
        <f t="shared" si="76"/>
        <v>2.202999999999955E-3</v>
      </c>
      <c r="G663" s="6">
        <f t="shared" si="72"/>
        <v>-669.31222984631427</v>
      </c>
      <c r="H663" s="7">
        <f t="shared" si="73"/>
        <v>2.0993541580138593E-13</v>
      </c>
      <c r="I663" s="8" t="str">
        <f t="shared" si="74"/>
        <v/>
      </c>
    </row>
    <row r="664" spans="1:9" x14ac:dyDescent="0.2">
      <c r="A664" s="5">
        <v>663</v>
      </c>
      <c r="B664" s="6">
        <v>2.7949419999999998</v>
      </c>
      <c r="C664" s="6">
        <f t="shared" si="70"/>
        <v>2.7039419999999996</v>
      </c>
      <c r="D664" s="6">
        <f t="shared" si="71"/>
        <v>1792.7135459999997</v>
      </c>
      <c r="E664" s="6">
        <f t="shared" si="75"/>
        <v>440.41674099999977</v>
      </c>
      <c r="F664" s="6">
        <f t="shared" si="76"/>
        <v>1.3769999999999616E-3</v>
      </c>
      <c r="G664" s="6">
        <f t="shared" si="72"/>
        <v>-669.29494518356546</v>
      </c>
      <c r="H664" s="7">
        <f t="shared" si="73"/>
        <v>3.3585749999276597E-13</v>
      </c>
      <c r="I664" s="8" t="str">
        <f t="shared" si="74"/>
        <v/>
      </c>
    </row>
    <row r="665" spans="1:9" x14ac:dyDescent="0.2">
      <c r="A665" s="5">
        <v>664</v>
      </c>
      <c r="B665" s="6">
        <v>2.7978990000000001</v>
      </c>
      <c r="C665" s="6">
        <f t="shared" si="70"/>
        <v>2.7068989999999999</v>
      </c>
      <c r="D665" s="6">
        <f t="shared" si="71"/>
        <v>1797.380936</v>
      </c>
      <c r="E665" s="6">
        <f t="shared" si="75"/>
        <v>443.12216149999978</v>
      </c>
      <c r="F665" s="6">
        <f t="shared" si="76"/>
        <v>3.4930000000001904E-3</v>
      </c>
      <c r="G665" s="6">
        <f t="shared" si="72"/>
        <v>-669.54376526606859</v>
      </c>
      <c r="H665" s="7">
        <f t="shared" si="73"/>
        <v>1.3244995979205353E-13</v>
      </c>
      <c r="I665" s="8" t="str">
        <f t="shared" si="74"/>
        <v/>
      </c>
    </row>
    <row r="666" spans="1:9" x14ac:dyDescent="0.2">
      <c r="A666" s="5">
        <v>665</v>
      </c>
      <c r="B666" s="6">
        <v>2.8019280000000002</v>
      </c>
      <c r="C666" s="6">
        <f t="shared" si="70"/>
        <v>2.710928</v>
      </c>
      <c r="D666" s="6">
        <f t="shared" si="71"/>
        <v>1802.76712</v>
      </c>
      <c r="E666" s="6">
        <f t="shared" si="75"/>
        <v>445.83107499999977</v>
      </c>
      <c r="F666" s="6">
        <f t="shared" si="76"/>
        <v>3.5719999999999086E-3</v>
      </c>
      <c r="G666" s="6">
        <f t="shared" si="72"/>
        <v>-669.87876099126481</v>
      </c>
      <c r="H666" s="7">
        <f t="shared" si="73"/>
        <v>1.2958543899252998E-13</v>
      </c>
      <c r="I666" s="8" t="str">
        <f t="shared" si="74"/>
        <v/>
      </c>
    </row>
    <row r="667" spans="1:9" x14ac:dyDescent="0.2">
      <c r="A667" s="5">
        <v>666</v>
      </c>
      <c r="B667" s="6">
        <v>2.805043</v>
      </c>
      <c r="C667" s="6">
        <f t="shared" si="70"/>
        <v>2.7140429999999998</v>
      </c>
      <c r="D667" s="6">
        <f t="shared" si="71"/>
        <v>1807.5526379999999</v>
      </c>
      <c r="E667" s="6">
        <f t="shared" si="75"/>
        <v>448.54356049999978</v>
      </c>
      <c r="F667" s="6">
        <f t="shared" si="76"/>
        <v>3.2679999999998266E-3</v>
      </c>
      <c r="G667" s="6">
        <f t="shared" si="72"/>
        <v>-670.13464616103056</v>
      </c>
      <c r="H667" s="7">
        <f t="shared" si="73"/>
        <v>1.4169400307407148E-13</v>
      </c>
      <c r="I667" s="8" t="str">
        <f t="shared" si="74"/>
        <v/>
      </c>
    </row>
    <row r="668" spans="1:9" x14ac:dyDescent="0.2">
      <c r="A668" s="5">
        <v>667</v>
      </c>
      <c r="B668" s="6">
        <v>2.8084639999999998</v>
      </c>
      <c r="C668" s="6">
        <f t="shared" si="70"/>
        <v>2.7174639999999997</v>
      </c>
      <c r="D668" s="6">
        <f t="shared" si="71"/>
        <v>1812.5484879999997</v>
      </c>
      <c r="E668" s="6">
        <f t="shared" si="75"/>
        <v>451.25931399999979</v>
      </c>
      <c r="F668" s="6">
        <f t="shared" si="76"/>
        <v>3.9135000000001252E-3</v>
      </c>
      <c r="G668" s="6">
        <f t="shared" si="72"/>
        <v>-670.4122470441024</v>
      </c>
      <c r="H668" s="7">
        <f t="shared" si="73"/>
        <v>1.1837174430575584E-13</v>
      </c>
      <c r="I668" s="8" t="str">
        <f t="shared" si="74"/>
        <v/>
      </c>
    </row>
    <row r="669" spans="1:9" x14ac:dyDescent="0.2">
      <c r="A669" s="5">
        <v>668</v>
      </c>
      <c r="B669" s="6">
        <v>2.8128700000000002</v>
      </c>
      <c r="C669" s="6">
        <f t="shared" si="70"/>
        <v>2.72187</v>
      </c>
      <c r="D669" s="6">
        <f t="shared" si="71"/>
        <v>1818.2091600000001</v>
      </c>
      <c r="E669" s="6">
        <f t="shared" si="75"/>
        <v>453.97898099999981</v>
      </c>
      <c r="F669" s="6">
        <f t="shared" si="76"/>
        <v>2.6740000000000652E-3</v>
      </c>
      <c r="G669" s="6">
        <f t="shared" si="72"/>
        <v>-670.76537085726068</v>
      </c>
      <c r="H669" s="7">
        <f t="shared" si="73"/>
        <v>1.7333276970329013E-13</v>
      </c>
      <c r="I669" s="8" t="str">
        <f t="shared" si="74"/>
        <v/>
      </c>
    </row>
    <row r="670" spans="1:9" x14ac:dyDescent="0.2">
      <c r="A670" s="5">
        <v>669</v>
      </c>
      <c r="B670" s="6">
        <v>2.813812</v>
      </c>
      <c r="C670" s="6">
        <f t="shared" si="70"/>
        <v>2.7228119999999998</v>
      </c>
      <c r="D670" s="6">
        <f t="shared" si="71"/>
        <v>1821.5612279999998</v>
      </c>
      <c r="E670" s="6">
        <f t="shared" si="75"/>
        <v>456.70132199999978</v>
      </c>
      <c r="F670" s="6">
        <f t="shared" si="76"/>
        <v>1.5069999999999251E-3</v>
      </c>
      <c r="G670" s="6">
        <f t="shared" si="72"/>
        <v>-670.83992650410482</v>
      </c>
      <c r="H670" s="7">
        <f t="shared" si="73"/>
        <v>3.075934594263706E-13</v>
      </c>
      <c r="I670" s="8" t="str">
        <f t="shared" si="74"/>
        <v/>
      </c>
    </row>
    <row r="671" spans="1:9" x14ac:dyDescent="0.2">
      <c r="A671" s="5">
        <v>670</v>
      </c>
      <c r="B671" s="6">
        <v>2.8158840000000001</v>
      </c>
      <c r="C671" s="6">
        <f t="shared" si="70"/>
        <v>2.7248839999999999</v>
      </c>
      <c r="D671" s="6">
        <f t="shared" si="71"/>
        <v>1825.67228</v>
      </c>
      <c r="E671" s="6">
        <f t="shared" si="75"/>
        <v>459.42516999999975</v>
      </c>
      <c r="F671" s="6">
        <f t="shared" si="76"/>
        <v>2.8040000000000287E-3</v>
      </c>
      <c r="G671" s="6">
        <f t="shared" si="72"/>
        <v>-671.00184526871305</v>
      </c>
      <c r="H671" s="7">
        <f t="shared" si="73"/>
        <v>1.6535493135564111E-13</v>
      </c>
      <c r="I671" s="8" t="str">
        <f t="shared" si="74"/>
        <v/>
      </c>
    </row>
    <row r="672" spans="1:9" x14ac:dyDescent="0.2">
      <c r="A672" s="5">
        <v>671</v>
      </c>
      <c r="B672" s="6">
        <v>2.81942</v>
      </c>
      <c r="C672" s="6">
        <f t="shared" si="70"/>
        <v>2.7284199999999998</v>
      </c>
      <c r="D672" s="6">
        <f t="shared" si="71"/>
        <v>1830.76982</v>
      </c>
      <c r="E672" s="6">
        <f t="shared" si="75"/>
        <v>462.15182199999975</v>
      </c>
      <c r="F672" s="6">
        <f t="shared" si="76"/>
        <v>2.8114999999999668E-3</v>
      </c>
      <c r="G672" s="6">
        <f t="shared" si="72"/>
        <v>-671.27463395580503</v>
      </c>
      <c r="H672" s="7">
        <f t="shared" si="73"/>
        <v>1.6498087200387614E-13</v>
      </c>
      <c r="I672" s="8" t="str">
        <f t="shared" si="74"/>
        <v/>
      </c>
    </row>
    <row r="673" spans="1:9" x14ac:dyDescent="0.2">
      <c r="A673" s="5">
        <v>672</v>
      </c>
      <c r="B673" s="6">
        <v>2.821507</v>
      </c>
      <c r="C673" s="6">
        <f t="shared" si="70"/>
        <v>2.7305069999999998</v>
      </c>
      <c r="D673" s="6">
        <f t="shared" si="71"/>
        <v>1834.9007039999999</v>
      </c>
      <c r="E673" s="6">
        <f t="shared" si="75"/>
        <v>464.88128549999976</v>
      </c>
      <c r="F673" s="6">
        <f t="shared" si="76"/>
        <v>2.6595000000000368E-3</v>
      </c>
      <c r="G673" s="6">
        <f t="shared" si="72"/>
        <v>-671.43355091224203</v>
      </c>
      <c r="H673" s="7">
        <f t="shared" si="73"/>
        <v>1.744514125161394E-13</v>
      </c>
      <c r="I673" s="8" t="str">
        <f t="shared" si="74"/>
        <v/>
      </c>
    </row>
    <row r="674" spans="1:9" x14ac:dyDescent="0.2">
      <c r="A674" s="5">
        <v>673</v>
      </c>
      <c r="B674" s="6">
        <v>2.8247390000000001</v>
      </c>
      <c r="C674" s="6">
        <f t="shared" si="70"/>
        <v>2.7337389999999999</v>
      </c>
      <c r="D674" s="6">
        <f t="shared" si="71"/>
        <v>1839.806347</v>
      </c>
      <c r="E674" s="6">
        <f t="shared" si="75"/>
        <v>467.61340849999976</v>
      </c>
      <c r="F674" s="6">
        <f t="shared" si="76"/>
        <v>2.3839999999999417E-3</v>
      </c>
      <c r="G674" s="6">
        <f t="shared" si="72"/>
        <v>-671.67642317827199</v>
      </c>
      <c r="H674" s="7">
        <f t="shared" si="73"/>
        <v>1.9468177591091442E-13</v>
      </c>
      <c r="I674" s="8" t="str">
        <f t="shared" si="74"/>
        <v/>
      </c>
    </row>
    <row r="675" spans="1:9" x14ac:dyDescent="0.2">
      <c r="A675" s="5">
        <v>674</v>
      </c>
      <c r="B675" s="6">
        <v>2.8262749999999999</v>
      </c>
      <c r="C675" s="6">
        <f t="shared" si="70"/>
        <v>2.7352749999999997</v>
      </c>
      <c r="D675" s="6">
        <f t="shared" si="71"/>
        <v>1843.5753499999998</v>
      </c>
      <c r="E675" s="6">
        <f t="shared" si="75"/>
        <v>470.34791549999977</v>
      </c>
      <c r="F675" s="6">
        <f t="shared" si="76"/>
        <v>1.3259999999999383E-3</v>
      </c>
      <c r="G675" s="6">
        <f t="shared" si="72"/>
        <v>-671.79031162153365</v>
      </c>
      <c r="H675" s="7">
        <f t="shared" si="73"/>
        <v>3.5007545210388321E-13</v>
      </c>
      <c r="I675" s="8" t="str">
        <f t="shared" si="74"/>
        <v/>
      </c>
    </row>
    <row r="676" spans="1:9" x14ac:dyDescent="0.2">
      <c r="A676" s="5">
        <v>675</v>
      </c>
      <c r="B676" s="6">
        <v>2.827391</v>
      </c>
      <c r="C676" s="6">
        <f t="shared" si="70"/>
        <v>2.7363909999999998</v>
      </c>
      <c r="D676" s="6">
        <f t="shared" si="71"/>
        <v>1847.0639249999999</v>
      </c>
      <c r="E676" s="6">
        <f t="shared" si="75"/>
        <v>473.08374849999979</v>
      </c>
      <c r="F676" s="6">
        <f t="shared" si="76"/>
        <v>3.0075000000000518E-3</v>
      </c>
      <c r="G676" s="6">
        <f t="shared" si="72"/>
        <v>-671.871942693591</v>
      </c>
      <c r="H676" s="7">
        <f t="shared" si="73"/>
        <v>1.5436623631026987E-13</v>
      </c>
      <c r="I676" s="8" t="str">
        <f t="shared" si="74"/>
        <v/>
      </c>
    </row>
    <row r="677" spans="1:9" x14ac:dyDescent="0.2">
      <c r="A677" s="5">
        <v>676</v>
      </c>
      <c r="B677" s="6">
        <v>2.83229</v>
      </c>
      <c r="C677" s="6">
        <f t="shared" si="70"/>
        <v>2.7412899999999998</v>
      </c>
      <c r="D677" s="6">
        <f t="shared" si="71"/>
        <v>1853.1120399999998</v>
      </c>
      <c r="E677" s="6">
        <f t="shared" si="75"/>
        <v>475.82258899999977</v>
      </c>
      <c r="F677" s="6">
        <f t="shared" si="76"/>
        <v>3.4350000000000769E-3</v>
      </c>
      <c r="G677" s="6">
        <f t="shared" si="72"/>
        <v>-672.22538654485345</v>
      </c>
      <c r="H677" s="7">
        <f t="shared" si="73"/>
        <v>1.3522581708649827E-13</v>
      </c>
      <c r="I677" s="8" t="str">
        <f t="shared" si="74"/>
        <v/>
      </c>
    </row>
    <row r="678" spans="1:9" x14ac:dyDescent="0.2">
      <c r="A678" s="5">
        <v>677</v>
      </c>
      <c r="B678" s="6">
        <v>2.8342610000000001</v>
      </c>
      <c r="C678" s="6">
        <f t="shared" si="70"/>
        <v>2.7432609999999999</v>
      </c>
      <c r="D678" s="6">
        <f t="shared" si="71"/>
        <v>1857.1876970000001</v>
      </c>
      <c r="E678" s="6">
        <f t="shared" si="75"/>
        <v>478.56486449999977</v>
      </c>
      <c r="F678" s="6">
        <f t="shared" si="76"/>
        <v>2.8840000000001087E-3</v>
      </c>
      <c r="G678" s="6">
        <f t="shared" si="72"/>
        <v>-672.36561555114827</v>
      </c>
      <c r="H678" s="7">
        <f t="shared" si="73"/>
        <v>1.6109486077067728E-13</v>
      </c>
      <c r="I678" s="8" t="str">
        <f t="shared" si="74"/>
        <v/>
      </c>
    </row>
    <row r="679" spans="1:9" x14ac:dyDescent="0.2">
      <c r="A679" s="5">
        <v>678</v>
      </c>
      <c r="B679" s="6">
        <v>2.8380580000000002</v>
      </c>
      <c r="C679" s="6">
        <f t="shared" si="70"/>
        <v>2.747058</v>
      </c>
      <c r="D679" s="6">
        <f t="shared" si="71"/>
        <v>1862.505324</v>
      </c>
      <c r="E679" s="6">
        <f t="shared" si="75"/>
        <v>481.31002399999977</v>
      </c>
      <c r="F679" s="6">
        <f t="shared" si="76"/>
        <v>2.1809999999999885E-3</v>
      </c>
      <c r="G679" s="6">
        <f t="shared" si="72"/>
        <v>-672.63196037606019</v>
      </c>
      <c r="H679" s="7">
        <f t="shared" si="73"/>
        <v>2.1310482344760977E-13</v>
      </c>
      <c r="I679" s="8" t="str">
        <f t="shared" si="74"/>
        <v/>
      </c>
    </row>
    <row r="680" spans="1:9" x14ac:dyDescent="0.2">
      <c r="A680" s="5">
        <v>679</v>
      </c>
      <c r="B680" s="6">
        <v>2.8386230000000001</v>
      </c>
      <c r="C680" s="6">
        <f t="shared" si="70"/>
        <v>2.7476229999999999</v>
      </c>
      <c r="D680" s="6">
        <f t="shared" si="71"/>
        <v>1865.636017</v>
      </c>
      <c r="E680" s="6">
        <f t="shared" si="75"/>
        <v>484.05736449999978</v>
      </c>
      <c r="F680" s="6">
        <f t="shared" si="76"/>
        <v>9.7099999999983311E-4</v>
      </c>
      <c r="G680" s="6">
        <f t="shared" si="72"/>
        <v>-672.67102793494223</v>
      </c>
      <c r="H680" s="7">
        <f t="shared" si="73"/>
        <v>4.78690643884834E-13</v>
      </c>
      <c r="I680" s="8" t="str">
        <f t="shared" si="74"/>
        <v/>
      </c>
    </row>
    <row r="681" spans="1:9" x14ac:dyDescent="0.2">
      <c r="A681" s="5">
        <v>680</v>
      </c>
      <c r="B681" s="6">
        <v>2.84</v>
      </c>
      <c r="C681" s="6">
        <f t="shared" si="70"/>
        <v>2.7489999999999997</v>
      </c>
      <c r="D681" s="6">
        <f t="shared" si="71"/>
        <v>1869.3199999999997</v>
      </c>
      <c r="E681" s="6">
        <f t="shared" si="75"/>
        <v>486.80567599999978</v>
      </c>
      <c r="F681" s="6">
        <f t="shared" si="76"/>
        <v>1.4564999999999717E-3</v>
      </c>
      <c r="G681" s="6">
        <f t="shared" si="72"/>
        <v>-672.7648651448194</v>
      </c>
      <c r="H681" s="7">
        <f t="shared" si="73"/>
        <v>3.191716139639904E-13</v>
      </c>
      <c r="I681" s="8" t="str">
        <f t="shared" si="74"/>
        <v/>
      </c>
    </row>
    <row r="682" spans="1:9" x14ac:dyDescent="0.2">
      <c r="A682" s="5">
        <v>681</v>
      </c>
      <c r="B682" s="6">
        <v>2.8415360000000001</v>
      </c>
      <c r="C682" s="6">
        <f t="shared" si="70"/>
        <v>2.7505359999999999</v>
      </c>
      <c r="D682" s="6">
        <f t="shared" si="71"/>
        <v>1873.115016</v>
      </c>
      <c r="E682" s="6">
        <f t="shared" si="75"/>
        <v>489.5554439999998</v>
      </c>
      <c r="F682" s="6">
        <f t="shared" si="76"/>
        <v>2.3334999999999884E-3</v>
      </c>
      <c r="G682" s="6">
        <f t="shared" si="72"/>
        <v>-672.86800158808114</v>
      </c>
      <c r="H682" s="7">
        <f t="shared" si="73"/>
        <v>1.9924779170241822E-13</v>
      </c>
      <c r="I682" s="8" t="str">
        <f t="shared" si="74"/>
        <v/>
      </c>
    </row>
    <row r="683" spans="1:9" x14ac:dyDescent="0.2">
      <c r="A683" s="5">
        <v>682</v>
      </c>
      <c r="B683" s="6">
        <v>2.8446669999999998</v>
      </c>
      <c r="C683" s="6">
        <f t="shared" si="70"/>
        <v>2.7536669999999996</v>
      </c>
      <c r="D683" s="6">
        <f t="shared" si="71"/>
        <v>1878.0008939999998</v>
      </c>
      <c r="E683" s="6">
        <f t="shared" si="75"/>
        <v>492.30754549999978</v>
      </c>
      <c r="F683" s="6">
        <f t="shared" si="76"/>
        <v>2.6669999999999749E-3</v>
      </c>
      <c r="G683" s="6">
        <f t="shared" si="72"/>
        <v>-673.07510509579754</v>
      </c>
      <c r="H683" s="7">
        <f t="shared" si="73"/>
        <v>1.7438613734016143E-13</v>
      </c>
      <c r="I683" s="8" t="str">
        <f t="shared" si="74"/>
        <v/>
      </c>
    </row>
    <row r="684" spans="1:9" x14ac:dyDescent="0.2">
      <c r="A684" s="5">
        <v>683</v>
      </c>
      <c r="B684" s="6">
        <v>2.84687</v>
      </c>
      <c r="C684" s="6">
        <f t="shared" si="70"/>
        <v>2.7558699999999998</v>
      </c>
      <c r="D684" s="6">
        <f t="shared" si="71"/>
        <v>1882.2592099999999</v>
      </c>
      <c r="E684" s="6">
        <f t="shared" si="75"/>
        <v>495.06231399999979</v>
      </c>
      <c r="F684" s="6">
        <f t="shared" si="76"/>
        <v>2.1955000000000169E-3</v>
      </c>
      <c r="G684" s="6">
        <f t="shared" si="72"/>
        <v>-673.21862200237672</v>
      </c>
      <c r="H684" s="7">
        <f t="shared" si="73"/>
        <v>2.1188203004385554E-13</v>
      </c>
      <c r="I684" s="8" t="str">
        <f t="shared" si="74"/>
        <v/>
      </c>
    </row>
    <row r="685" spans="1:9" x14ac:dyDescent="0.2">
      <c r="A685" s="5">
        <v>684</v>
      </c>
      <c r="B685" s="6">
        <v>2.8490579999999999</v>
      </c>
      <c r="C685" s="6">
        <f t="shared" si="70"/>
        <v>2.7580579999999997</v>
      </c>
      <c r="D685" s="6">
        <f t="shared" si="71"/>
        <v>1886.5116719999999</v>
      </c>
      <c r="E685" s="6">
        <f t="shared" si="75"/>
        <v>497.81927799999977</v>
      </c>
      <c r="F685" s="6">
        <f t="shared" si="76"/>
        <v>2.4999999999999467E-3</v>
      </c>
      <c r="G685" s="6">
        <f t="shared" si="72"/>
        <v>-673.35897371712713</v>
      </c>
      <c r="H685" s="7">
        <f t="shared" si="73"/>
        <v>1.8611359140882848E-13</v>
      </c>
      <c r="I685" s="8" t="str">
        <f t="shared" si="74"/>
        <v/>
      </c>
    </row>
    <row r="686" spans="1:9" x14ac:dyDescent="0.2">
      <c r="A686" s="5">
        <v>685</v>
      </c>
      <c r="B686" s="6">
        <v>2.8518699999999999</v>
      </c>
      <c r="C686" s="6">
        <f t="shared" si="70"/>
        <v>2.7608699999999997</v>
      </c>
      <c r="D686" s="6">
        <f t="shared" si="71"/>
        <v>1891.1959499999998</v>
      </c>
      <c r="E686" s="6">
        <f t="shared" si="75"/>
        <v>500.57874199999975</v>
      </c>
      <c r="F686" s="6">
        <f t="shared" si="76"/>
        <v>2.6375000000000703E-3</v>
      </c>
      <c r="G686" s="6">
        <f t="shared" si="72"/>
        <v>-673.53654061195255</v>
      </c>
      <c r="H686" s="7">
        <f t="shared" si="73"/>
        <v>1.7645750725360418E-13</v>
      </c>
      <c r="I686" s="8" t="str">
        <f t="shared" si="74"/>
        <v/>
      </c>
    </row>
    <row r="687" spans="1:9" x14ac:dyDescent="0.2">
      <c r="A687" s="5">
        <v>686</v>
      </c>
      <c r="B687" s="6">
        <v>2.854333</v>
      </c>
      <c r="C687" s="6">
        <f t="shared" si="70"/>
        <v>2.7633329999999998</v>
      </c>
      <c r="D687" s="6">
        <f t="shared" si="71"/>
        <v>1895.6464379999998</v>
      </c>
      <c r="E687" s="6">
        <f t="shared" si="75"/>
        <v>503.34084349999978</v>
      </c>
      <c r="F687" s="6">
        <f t="shared" si="76"/>
        <v>2.007000000000092E-3</v>
      </c>
      <c r="G687" s="6">
        <f t="shared" si="72"/>
        <v>-673.68960651022962</v>
      </c>
      <c r="H687" s="7">
        <f t="shared" si="73"/>
        <v>2.319444156997629E-13</v>
      </c>
      <c r="I687" s="8" t="str">
        <f t="shared" si="74"/>
        <v/>
      </c>
    </row>
    <row r="688" spans="1:9" x14ac:dyDescent="0.2">
      <c r="A688" s="5">
        <v>687</v>
      </c>
      <c r="B688" s="6">
        <v>2.8558840000000001</v>
      </c>
      <c r="C688" s="6">
        <f t="shared" si="70"/>
        <v>2.7648839999999999</v>
      </c>
      <c r="D688" s="6">
        <f t="shared" si="71"/>
        <v>1899.475308</v>
      </c>
      <c r="E688" s="6">
        <f t="shared" si="75"/>
        <v>506.1049519999998</v>
      </c>
      <c r="F688" s="6">
        <f t="shared" si="76"/>
        <v>1.9204999999999917E-3</v>
      </c>
      <c r="G688" s="6">
        <f t="shared" si="72"/>
        <v>-673.78444414532009</v>
      </c>
      <c r="H688" s="7">
        <f t="shared" si="73"/>
        <v>2.4242539657339838E-13</v>
      </c>
      <c r="I688" s="8" t="str">
        <f t="shared" si="74"/>
        <v/>
      </c>
    </row>
    <row r="689" spans="1:9" x14ac:dyDescent="0.2">
      <c r="A689" s="5">
        <v>688</v>
      </c>
      <c r="B689" s="6">
        <v>2.858174</v>
      </c>
      <c r="C689" s="6">
        <f t="shared" si="70"/>
        <v>2.7671739999999998</v>
      </c>
      <c r="D689" s="6">
        <f t="shared" si="71"/>
        <v>1903.8157119999998</v>
      </c>
      <c r="E689" s="6">
        <f t="shared" si="75"/>
        <v>508.8709809999998</v>
      </c>
      <c r="F689" s="6">
        <f t="shared" si="76"/>
        <v>1.4129999999998866E-3</v>
      </c>
      <c r="G689" s="6">
        <f t="shared" si="72"/>
        <v>-673.92217876450582</v>
      </c>
      <c r="H689" s="7">
        <f t="shared" si="73"/>
        <v>3.2956344465284641E-13</v>
      </c>
      <c r="I689" s="8" t="str">
        <f t="shared" si="74"/>
        <v/>
      </c>
    </row>
    <row r="690" spans="1:9" x14ac:dyDescent="0.2">
      <c r="A690" s="5">
        <v>689</v>
      </c>
      <c r="B690" s="6">
        <v>2.8587099999999999</v>
      </c>
      <c r="C690" s="6">
        <f t="shared" si="70"/>
        <v>2.7677099999999997</v>
      </c>
      <c r="D690" s="6">
        <f t="shared" si="71"/>
        <v>1906.9521899999997</v>
      </c>
      <c r="E690" s="6">
        <f t="shared" si="75"/>
        <v>511.63842299999982</v>
      </c>
      <c r="F690" s="6">
        <f t="shared" si="76"/>
        <v>1.8839999999999968E-3</v>
      </c>
      <c r="G690" s="6">
        <f t="shared" si="72"/>
        <v>-673.95388108585246</v>
      </c>
      <c r="H690" s="7">
        <f t="shared" si="73"/>
        <v>2.4718421086280002E-13</v>
      </c>
      <c r="I690" s="8" t="str">
        <f t="shared" si="74"/>
        <v/>
      </c>
    </row>
    <row r="691" spans="1:9" x14ac:dyDescent="0.2">
      <c r="A691" s="5">
        <v>690</v>
      </c>
      <c r="B691" s="6">
        <v>2.861942</v>
      </c>
      <c r="C691" s="6">
        <f t="shared" si="70"/>
        <v>2.7709419999999998</v>
      </c>
      <c r="D691" s="6">
        <f t="shared" si="71"/>
        <v>1911.9499799999999</v>
      </c>
      <c r="E691" s="6">
        <f t="shared" si="75"/>
        <v>514.40774899999985</v>
      </c>
      <c r="F691" s="6">
        <f t="shared" si="76"/>
        <v>2.55099999999997E-3</v>
      </c>
      <c r="G691" s="6">
        <f t="shared" si="72"/>
        <v>-674.14180935188233</v>
      </c>
      <c r="H691" s="7">
        <f t="shared" si="73"/>
        <v>1.8260482545022671E-13</v>
      </c>
      <c r="I691" s="8" t="str">
        <f t="shared" si="74"/>
        <v/>
      </c>
    </row>
    <row r="692" spans="1:9" x14ac:dyDescent="0.2">
      <c r="A692" s="5">
        <v>691</v>
      </c>
      <c r="B692" s="6">
        <v>2.8638119999999998</v>
      </c>
      <c r="C692" s="6">
        <f t="shared" si="70"/>
        <v>2.7728119999999996</v>
      </c>
      <c r="D692" s="6">
        <f t="shared" si="71"/>
        <v>1916.0130919999997</v>
      </c>
      <c r="E692" s="6">
        <f t="shared" si="75"/>
        <v>517.17962599999987</v>
      </c>
      <c r="F692" s="6">
        <f t="shared" si="76"/>
        <v>2.355000000000107E-3</v>
      </c>
      <c r="G692" s="6">
        <f t="shared" si="72"/>
        <v>-674.24867259986377</v>
      </c>
      <c r="H692" s="7">
        <f t="shared" si="73"/>
        <v>1.9783386458830907E-13</v>
      </c>
      <c r="I692" s="8" t="str">
        <f t="shared" si="74"/>
        <v/>
      </c>
    </row>
    <row r="693" spans="1:9" x14ac:dyDescent="0.2">
      <c r="A693" s="5">
        <v>692</v>
      </c>
      <c r="B693" s="6">
        <v>2.8666520000000002</v>
      </c>
      <c r="C693" s="6">
        <f t="shared" si="70"/>
        <v>2.775652</v>
      </c>
      <c r="D693" s="6">
        <f t="shared" si="71"/>
        <v>1920.751184</v>
      </c>
      <c r="E693" s="6">
        <f t="shared" si="75"/>
        <v>519.95385799999985</v>
      </c>
      <c r="F693" s="6">
        <f t="shared" si="76"/>
        <v>1.5900000000002024E-4</v>
      </c>
      <c r="G693" s="6">
        <f t="shared" si="72"/>
        <v>-674.40812758610286</v>
      </c>
      <c r="H693" s="7">
        <f t="shared" si="73"/>
        <v>2.9308737913594896E-12</v>
      </c>
      <c r="I693" s="8" t="str">
        <f t="shared" si="74"/>
        <v/>
      </c>
    </row>
    <row r="694" spans="1:9" x14ac:dyDescent="0.2">
      <c r="A694" s="5">
        <v>693</v>
      </c>
      <c r="B694" s="6">
        <v>2.8641299999999998</v>
      </c>
      <c r="C694" s="6">
        <f t="shared" si="70"/>
        <v>2.7731299999999997</v>
      </c>
      <c r="D694" s="6">
        <f t="shared" si="71"/>
        <v>1921.7790899999998</v>
      </c>
      <c r="E694" s="6">
        <f t="shared" si="75"/>
        <v>522.72824899999989</v>
      </c>
      <c r="F694" s="6">
        <f t="shared" si="76"/>
        <v>-1.1810000000000986E-3</v>
      </c>
      <c r="G694" s="6">
        <f t="shared" si="72"/>
        <v>-674.26904906663276</v>
      </c>
      <c r="H694" s="7">
        <f t="shared" si="73"/>
        <v>-3.9450705421674231E-13</v>
      </c>
      <c r="I694" s="8" t="str">
        <f t="shared" si="74"/>
        <v/>
      </c>
    </row>
    <row r="695" spans="1:9" x14ac:dyDescent="0.2">
      <c r="A695" s="5">
        <v>694</v>
      </c>
      <c r="B695" s="6">
        <v>2.86429</v>
      </c>
      <c r="C695" s="6">
        <f t="shared" si="70"/>
        <v>2.7732899999999998</v>
      </c>
      <c r="D695" s="6">
        <f t="shared" si="71"/>
        <v>1924.6632599999998</v>
      </c>
      <c r="E695" s="6">
        <f t="shared" si="75"/>
        <v>525.50145899999984</v>
      </c>
      <c r="F695" s="6">
        <f t="shared" si="76"/>
        <v>3.9900000000003821E-4</v>
      </c>
      <c r="G695" s="6">
        <f t="shared" si="72"/>
        <v>-674.27771244613916</v>
      </c>
      <c r="H695" s="7">
        <f t="shared" si="73"/>
        <v>1.1677163341709627E-12</v>
      </c>
      <c r="I695" s="8" t="str">
        <f t="shared" si="74"/>
        <v/>
      </c>
    </row>
    <row r="696" spans="1:9" x14ac:dyDescent="0.2">
      <c r="A696" s="5">
        <v>695</v>
      </c>
      <c r="B696" s="6">
        <v>2.8649279999999999</v>
      </c>
      <c r="C696" s="6">
        <f t="shared" si="70"/>
        <v>2.7739279999999997</v>
      </c>
      <c r="D696" s="6">
        <f t="shared" si="71"/>
        <v>1927.8799599999998</v>
      </c>
      <c r="E696" s="6">
        <f t="shared" si="75"/>
        <v>528.27506799999981</v>
      </c>
      <c r="F696" s="6">
        <f t="shared" si="76"/>
        <v>1.2680000000000469E-3</v>
      </c>
      <c r="G696" s="6">
        <f t="shared" si="72"/>
        <v>-674.31161967192099</v>
      </c>
      <c r="H696" s="7">
        <f t="shared" si="73"/>
        <v>3.6746233980372847E-13</v>
      </c>
      <c r="I696" s="8" t="str">
        <f t="shared" si="74"/>
        <v/>
      </c>
    </row>
    <row r="697" spans="1:9" x14ac:dyDescent="0.2">
      <c r="A697" s="5">
        <v>696</v>
      </c>
      <c r="B697" s="6">
        <v>2.8668260000000001</v>
      </c>
      <c r="C697" s="6">
        <f t="shared" si="70"/>
        <v>2.7758259999999999</v>
      </c>
      <c r="D697" s="6">
        <f t="shared" si="71"/>
        <v>1931.9748959999999</v>
      </c>
      <c r="E697" s="6">
        <f t="shared" si="75"/>
        <v>531.04994499999975</v>
      </c>
      <c r="F697" s="6">
        <f t="shared" si="76"/>
        <v>1.1590000000001321E-3</v>
      </c>
      <c r="G697" s="6">
        <f t="shared" si="72"/>
        <v>-674.410593011316</v>
      </c>
      <c r="H697" s="7">
        <f t="shared" si="73"/>
        <v>4.0207992787669784E-13</v>
      </c>
      <c r="I697" s="8" t="str">
        <f t="shared" si="74"/>
        <v/>
      </c>
    </row>
    <row r="698" spans="1:9" x14ac:dyDescent="0.2">
      <c r="A698" s="5">
        <v>697</v>
      </c>
      <c r="B698" s="6">
        <v>2.8672460000000002</v>
      </c>
      <c r="C698" s="6">
        <f t="shared" si="70"/>
        <v>2.776246</v>
      </c>
      <c r="D698" s="6">
        <f t="shared" si="71"/>
        <v>1935.0434620000001</v>
      </c>
      <c r="E698" s="6">
        <f t="shared" si="75"/>
        <v>533.82598099999973</v>
      </c>
      <c r="F698" s="6">
        <f t="shared" si="76"/>
        <v>8.2599999999999341E-4</v>
      </c>
      <c r="G698" s="6">
        <f t="shared" si="72"/>
        <v>-674.43207438252034</v>
      </c>
      <c r="H698" s="7">
        <f t="shared" si="73"/>
        <v>5.6419549613926403E-13</v>
      </c>
      <c r="I698" s="8" t="str">
        <f t="shared" si="74"/>
        <v/>
      </c>
    </row>
    <row r="699" spans="1:9" x14ac:dyDescent="0.2">
      <c r="A699" s="5">
        <v>698</v>
      </c>
      <c r="B699" s="6">
        <v>2.8684780000000001</v>
      </c>
      <c r="C699" s="6">
        <f t="shared" si="70"/>
        <v>2.7774779999999999</v>
      </c>
      <c r="D699" s="6">
        <f t="shared" si="71"/>
        <v>1938.6796439999998</v>
      </c>
      <c r="E699" s="6">
        <f t="shared" si="75"/>
        <v>536.60284299999978</v>
      </c>
      <c r="F699" s="6">
        <f t="shared" si="76"/>
        <v>1.8044999999999867E-3</v>
      </c>
      <c r="G699" s="6">
        <f t="shared" si="72"/>
        <v>-674.49385440471985</v>
      </c>
      <c r="H699" s="7">
        <f t="shared" si="73"/>
        <v>2.5828105799805689E-13</v>
      </c>
      <c r="I699" s="8" t="str">
        <f t="shared" si="74"/>
        <v/>
      </c>
    </row>
    <row r="700" spans="1:9" x14ac:dyDescent="0.2">
      <c r="A700" s="5">
        <v>699</v>
      </c>
      <c r="B700" s="6">
        <v>2.8708550000000002</v>
      </c>
      <c r="C700" s="6">
        <f t="shared" si="70"/>
        <v>2.779855</v>
      </c>
      <c r="D700" s="6">
        <f t="shared" si="71"/>
        <v>1943.118645</v>
      </c>
      <c r="E700" s="6">
        <f t="shared" si="75"/>
        <v>539.38150949999977</v>
      </c>
      <c r="F700" s="6">
        <f t="shared" si="76"/>
        <v>2.0290000000000585E-3</v>
      </c>
      <c r="G700" s="6">
        <f t="shared" si="72"/>
        <v>-674.61067473651224</v>
      </c>
      <c r="H700" s="7">
        <f t="shared" si="73"/>
        <v>2.2974316943310826E-13</v>
      </c>
      <c r="I700" s="8" t="str">
        <f t="shared" si="74"/>
        <v/>
      </c>
    </row>
    <row r="701" spans="1:9" x14ac:dyDescent="0.2">
      <c r="A701" s="5">
        <v>700</v>
      </c>
      <c r="B701" s="6">
        <v>2.8725360000000002</v>
      </c>
      <c r="C701" s="6">
        <f t="shared" si="70"/>
        <v>2.781536</v>
      </c>
      <c r="D701" s="6">
        <f t="shared" si="71"/>
        <v>1947.0752</v>
      </c>
      <c r="E701" s="6">
        <f t="shared" si="75"/>
        <v>542.16220499999974</v>
      </c>
      <c r="F701" s="6">
        <f t="shared" si="76"/>
        <v>1.1664999999998482E-3</v>
      </c>
      <c r="G701" s="6">
        <f t="shared" si="72"/>
        <v>-674.69160836745164</v>
      </c>
      <c r="H701" s="7">
        <f t="shared" si="73"/>
        <v>3.9966122166204949E-13</v>
      </c>
      <c r="I701" s="8" t="str">
        <f t="shared" si="74"/>
        <v/>
      </c>
    </row>
    <row r="702" spans="1:9" x14ac:dyDescent="0.2">
      <c r="A702" s="5">
        <v>701</v>
      </c>
      <c r="B702" s="6">
        <v>2.8731879999999999</v>
      </c>
      <c r="C702" s="6">
        <f t="shared" si="70"/>
        <v>2.7821879999999997</v>
      </c>
      <c r="D702" s="6">
        <f t="shared" si="71"/>
        <v>1950.3137879999997</v>
      </c>
      <c r="E702" s="6">
        <f t="shared" si="75"/>
        <v>544.94406699999979</v>
      </c>
      <c r="F702" s="6">
        <f t="shared" si="76"/>
        <v>1.0654999999999415E-3</v>
      </c>
      <c r="G702" s="6">
        <f t="shared" si="72"/>
        <v>-674.72234763894028</v>
      </c>
      <c r="H702" s="7">
        <f t="shared" si="73"/>
        <v>4.3756551438994696E-13</v>
      </c>
      <c r="I702" s="8" t="str">
        <f t="shared" si="74"/>
        <v/>
      </c>
    </row>
    <row r="703" spans="1:9" x14ac:dyDescent="0.2">
      <c r="A703" s="5">
        <v>702</v>
      </c>
      <c r="B703" s="6">
        <v>2.8746670000000001</v>
      </c>
      <c r="C703" s="6">
        <f t="shared" si="70"/>
        <v>2.7836669999999999</v>
      </c>
      <c r="D703" s="6">
        <f t="shared" si="71"/>
        <v>1954.1342339999999</v>
      </c>
      <c r="E703" s="6">
        <f t="shared" si="75"/>
        <v>547.72699449999982</v>
      </c>
      <c r="F703" s="6">
        <f t="shared" si="76"/>
        <v>1.2465000000001503E-3</v>
      </c>
      <c r="G703" s="6">
        <f t="shared" si="72"/>
        <v>-674.79059775325288</v>
      </c>
      <c r="H703" s="7">
        <f t="shared" si="73"/>
        <v>3.7406595723591097E-13</v>
      </c>
      <c r="I703" s="8" t="str">
        <f t="shared" si="74"/>
        <v/>
      </c>
    </row>
    <row r="704" spans="1:9" x14ac:dyDescent="0.2">
      <c r="A704" s="5">
        <v>703</v>
      </c>
      <c r="B704" s="6">
        <v>2.8756810000000002</v>
      </c>
      <c r="C704" s="6">
        <f t="shared" si="70"/>
        <v>2.784681</v>
      </c>
      <c r="D704" s="6">
        <f t="shared" si="71"/>
        <v>1957.6307429999999</v>
      </c>
      <c r="E704" s="6">
        <f t="shared" si="75"/>
        <v>550.51116849999983</v>
      </c>
      <c r="F704" s="6">
        <f t="shared" si="76"/>
        <v>1.5505000000000102E-3</v>
      </c>
      <c r="G704" s="6">
        <f t="shared" si="72"/>
        <v>-674.83637592087484</v>
      </c>
      <c r="H704" s="7">
        <f t="shared" si="73"/>
        <v>3.0074482291366197E-13</v>
      </c>
      <c r="I704" s="8" t="str">
        <f t="shared" si="74"/>
        <v/>
      </c>
    </row>
    <row r="705" spans="1:9" x14ac:dyDescent="0.2">
      <c r="A705" s="5">
        <v>704</v>
      </c>
      <c r="B705" s="6">
        <v>2.8777680000000001</v>
      </c>
      <c r="C705" s="6">
        <f t="shared" si="70"/>
        <v>2.7867679999999999</v>
      </c>
      <c r="D705" s="6">
        <f t="shared" si="71"/>
        <v>1961.8846719999999</v>
      </c>
      <c r="E705" s="6">
        <f t="shared" si="75"/>
        <v>553.29689299999984</v>
      </c>
      <c r="F705" s="6">
        <f t="shared" si="76"/>
        <v>2.0364999999999966E-3</v>
      </c>
      <c r="G705" s="6">
        <f t="shared" si="72"/>
        <v>-674.92850887731186</v>
      </c>
      <c r="H705" s="7">
        <f t="shared" si="73"/>
        <v>2.2900491570481641E-13</v>
      </c>
      <c r="I705" s="8" t="str">
        <f t="shared" si="74"/>
        <v/>
      </c>
    </row>
    <row r="706" spans="1:9" x14ac:dyDescent="0.2">
      <c r="A706" s="5">
        <v>705</v>
      </c>
      <c r="B706" s="6">
        <v>2.8797540000000001</v>
      </c>
      <c r="C706" s="6">
        <f t="shared" ref="C706:C769" si="77">B706-$B$2</f>
        <v>2.788754</v>
      </c>
      <c r="D706" s="6">
        <f t="shared" ref="D706:D769" si="78">A706*C706</f>
        <v>1966.0715700000001</v>
      </c>
      <c r="E706" s="6">
        <f t="shared" si="75"/>
        <v>556.08465399999989</v>
      </c>
      <c r="F706" s="6">
        <f t="shared" si="76"/>
        <v>1.39149999999999E-3</v>
      </c>
      <c r="G706" s="6">
        <f t="shared" ref="G706:G769" si="79">(A706-$L$5)*C706-E706</f>
        <v>-675.0141970754355</v>
      </c>
      <c r="H706" s="7">
        <f t="shared" ref="H706:H769" si="80">IF(ABS(F706)&lt;0.000000001,"",-(G706)/(2*$L$4*F706)*0.000000000001)</f>
        <v>3.351977869046195E-13</v>
      </c>
      <c r="I706" s="8" t="str">
        <f t="shared" ref="I706:I769" si="81">IF(AND(B706&gt;=0.5,B706&lt;=2.5,ISNUMBER(H706),H706&gt;0),H706,"")</f>
        <v/>
      </c>
    </row>
    <row r="707" spans="1:9" x14ac:dyDescent="0.2">
      <c r="A707" s="5">
        <v>706</v>
      </c>
      <c r="B707" s="6">
        <v>2.8805510000000001</v>
      </c>
      <c r="C707" s="6">
        <f t="shared" si="77"/>
        <v>2.7895509999999999</v>
      </c>
      <c r="D707" s="6">
        <f t="shared" si="78"/>
        <v>1969.423006</v>
      </c>
      <c r="E707" s="6">
        <f t="shared" ref="E707:E770" si="82">E706+(C706+C707)/2*(A707-A706)</f>
        <v>558.87380649999989</v>
      </c>
      <c r="F707" s="6">
        <f t="shared" ref="F707:F770" si="83">(B708-B706)/(A708-A706)</f>
        <v>1.043499999999975E-3</v>
      </c>
      <c r="G707" s="6">
        <f t="shared" si="79"/>
        <v>-675.04778753460187</v>
      </c>
      <c r="H707" s="7">
        <f t="shared" si="80"/>
        <v>4.470061630400267E-13</v>
      </c>
      <c r="I707" s="8" t="str">
        <f t="shared" si="81"/>
        <v/>
      </c>
    </row>
    <row r="708" spans="1:9" x14ac:dyDescent="0.2">
      <c r="A708" s="5">
        <v>707</v>
      </c>
      <c r="B708" s="6">
        <v>2.8818410000000001</v>
      </c>
      <c r="C708" s="6">
        <f t="shared" si="77"/>
        <v>2.7908409999999999</v>
      </c>
      <c r="D708" s="6">
        <f t="shared" si="78"/>
        <v>1973.124587</v>
      </c>
      <c r="E708" s="6">
        <f t="shared" si="82"/>
        <v>561.66400249999992</v>
      </c>
      <c r="F708" s="6">
        <f t="shared" si="83"/>
        <v>7.6049999999994178E-4</v>
      </c>
      <c r="G708" s="6">
        <f t="shared" si="79"/>
        <v>-675.10086603187244</v>
      </c>
      <c r="H708" s="7">
        <f t="shared" si="80"/>
        <v>6.1339593401238759E-13</v>
      </c>
      <c r="I708" s="8" t="str">
        <f t="shared" si="81"/>
        <v/>
      </c>
    </row>
    <row r="709" spans="1:9" x14ac:dyDescent="0.2">
      <c r="A709" s="5">
        <v>708</v>
      </c>
      <c r="B709" s="6">
        <v>2.882072</v>
      </c>
      <c r="C709" s="6">
        <f t="shared" si="77"/>
        <v>2.7910719999999998</v>
      </c>
      <c r="D709" s="6">
        <f t="shared" si="78"/>
        <v>1976.0789759999998</v>
      </c>
      <c r="E709" s="6">
        <f t="shared" si="82"/>
        <v>564.45495899999992</v>
      </c>
      <c r="F709" s="6">
        <f t="shared" si="83"/>
        <v>1.4449999999999186E-4</v>
      </c>
      <c r="G709" s="6">
        <f t="shared" si="79"/>
        <v>-675.11013978603489</v>
      </c>
      <c r="H709" s="7">
        <f t="shared" si="80"/>
        <v>3.2283322898486848E-12</v>
      </c>
      <c r="I709" s="8" t="str">
        <f t="shared" si="81"/>
        <v/>
      </c>
    </row>
    <row r="710" spans="1:9" x14ac:dyDescent="0.2">
      <c r="A710" s="5">
        <v>709</v>
      </c>
      <c r="B710" s="6">
        <v>2.8821300000000001</v>
      </c>
      <c r="C710" s="6">
        <f t="shared" si="77"/>
        <v>2.7911299999999999</v>
      </c>
      <c r="D710" s="6">
        <f t="shared" si="78"/>
        <v>1978.9111699999999</v>
      </c>
      <c r="E710" s="6">
        <f t="shared" si="82"/>
        <v>567.24605999999994</v>
      </c>
      <c r="F710" s="6">
        <f t="shared" si="83"/>
        <v>1.4500000000028379E-5</v>
      </c>
      <c r="G710" s="6">
        <f t="shared" si="79"/>
        <v>-675.11241026110599</v>
      </c>
      <c r="H710" s="7">
        <f t="shared" si="80"/>
        <v>3.2172109293560195E-11</v>
      </c>
      <c r="I710" s="8" t="str">
        <f t="shared" si="81"/>
        <v/>
      </c>
    </row>
    <row r="711" spans="1:9" x14ac:dyDescent="0.2">
      <c r="A711" s="5">
        <v>710</v>
      </c>
      <c r="B711" s="6">
        <v>2.882101</v>
      </c>
      <c r="C711" s="6">
        <f t="shared" si="77"/>
        <v>2.7911009999999998</v>
      </c>
      <c r="D711" s="6">
        <f t="shared" si="78"/>
        <v>1981.6817099999998</v>
      </c>
      <c r="E711" s="6">
        <f t="shared" si="82"/>
        <v>570.03717549999999</v>
      </c>
      <c r="F711" s="6">
        <f t="shared" si="83"/>
        <v>2.6850000000000485E-4</v>
      </c>
      <c r="G711" s="6">
        <f t="shared" si="79"/>
        <v>-675.11130402357048</v>
      </c>
      <c r="H711" s="7">
        <f t="shared" si="80"/>
        <v>1.7374108765698671E-12</v>
      </c>
      <c r="I711" s="8" t="str">
        <f t="shared" si="81"/>
        <v/>
      </c>
    </row>
    <row r="712" spans="1:9" x14ac:dyDescent="0.2">
      <c r="A712" s="5">
        <v>711</v>
      </c>
      <c r="B712" s="6">
        <v>2.8826670000000001</v>
      </c>
      <c r="C712" s="6">
        <f t="shared" si="77"/>
        <v>2.7916669999999999</v>
      </c>
      <c r="D712" s="6">
        <f t="shared" si="78"/>
        <v>1984.875237</v>
      </c>
      <c r="E712" s="6">
        <f t="shared" si="82"/>
        <v>572.82855949999998</v>
      </c>
      <c r="F712" s="6">
        <f t="shared" si="83"/>
        <v>2.1960000000000868E-3</v>
      </c>
      <c r="G712" s="6">
        <f t="shared" si="79"/>
        <v>-675.13232872857452</v>
      </c>
      <c r="H712" s="7">
        <f t="shared" si="80"/>
        <v>2.1243595091499718E-13</v>
      </c>
      <c r="I712" s="8" t="str">
        <f t="shared" si="81"/>
        <v/>
      </c>
    </row>
    <row r="713" spans="1:9" x14ac:dyDescent="0.2">
      <c r="A713" s="5">
        <v>712</v>
      </c>
      <c r="B713" s="6">
        <v>2.8864930000000002</v>
      </c>
      <c r="C713" s="6">
        <f t="shared" si="77"/>
        <v>2.795493</v>
      </c>
      <c r="D713" s="6">
        <f t="shared" si="78"/>
        <v>1990.391016</v>
      </c>
      <c r="E713" s="6">
        <f t="shared" si="82"/>
        <v>575.6221395</v>
      </c>
      <c r="F713" s="6">
        <f t="shared" si="83"/>
        <v>1.8694999999999684E-3</v>
      </c>
      <c r="G713" s="6">
        <f t="shared" si="79"/>
        <v>-675.27062379102199</v>
      </c>
      <c r="H713" s="7">
        <f t="shared" si="80"/>
        <v>2.4958807630114612E-13</v>
      </c>
      <c r="I713" s="8" t="str">
        <f t="shared" si="81"/>
        <v/>
      </c>
    </row>
    <row r="714" spans="1:9" x14ac:dyDescent="0.2">
      <c r="A714" s="5">
        <v>713</v>
      </c>
      <c r="B714" s="6">
        <v>2.886406</v>
      </c>
      <c r="C714" s="6">
        <f t="shared" si="77"/>
        <v>2.7954059999999998</v>
      </c>
      <c r="D714" s="6">
        <f t="shared" si="78"/>
        <v>1993.124478</v>
      </c>
      <c r="E714" s="6">
        <f t="shared" si="82"/>
        <v>578.41758900000002</v>
      </c>
      <c r="F714" s="6">
        <f t="shared" si="83"/>
        <v>6.6649999999990328E-4</v>
      </c>
      <c r="G714" s="6">
        <f t="shared" si="79"/>
        <v>-675.26756607841537</v>
      </c>
      <c r="H714" s="7">
        <f t="shared" si="80"/>
        <v>7.000792135000099E-13</v>
      </c>
      <c r="I714" s="8" t="str">
        <f t="shared" si="81"/>
        <v/>
      </c>
    </row>
    <row r="715" spans="1:9" x14ac:dyDescent="0.2">
      <c r="A715" s="5">
        <v>714</v>
      </c>
      <c r="B715" s="6">
        <v>2.887826</v>
      </c>
      <c r="C715" s="6">
        <f t="shared" si="77"/>
        <v>2.7968259999999998</v>
      </c>
      <c r="D715" s="6">
        <f t="shared" si="78"/>
        <v>1996.9337639999999</v>
      </c>
      <c r="E715" s="6">
        <f t="shared" si="82"/>
        <v>581.213705</v>
      </c>
      <c r="F715" s="6">
        <f t="shared" si="83"/>
        <v>2.2755000000000969E-3</v>
      </c>
      <c r="G715" s="6">
        <f t="shared" si="79"/>
        <v>-675.31605357153489</v>
      </c>
      <c r="H715" s="7">
        <f t="shared" si="80"/>
        <v>2.0506978692425771E-13</v>
      </c>
      <c r="I715" s="8" t="str">
        <f t="shared" si="81"/>
        <v/>
      </c>
    </row>
    <row r="716" spans="1:9" x14ac:dyDescent="0.2">
      <c r="A716" s="5">
        <v>715</v>
      </c>
      <c r="B716" s="6">
        <v>2.8909570000000002</v>
      </c>
      <c r="C716" s="6">
        <f t="shared" si="77"/>
        <v>2.799957</v>
      </c>
      <c r="D716" s="6">
        <f t="shared" si="78"/>
        <v>2001.969255</v>
      </c>
      <c r="E716" s="6">
        <f t="shared" si="82"/>
        <v>584.01209649999998</v>
      </c>
      <c r="F716" s="6">
        <f t="shared" si="83"/>
        <v>2.123000000000097E-3</v>
      </c>
      <c r="G716" s="6">
        <f t="shared" si="79"/>
        <v>-675.41983407925136</v>
      </c>
      <c r="H716" s="7">
        <f t="shared" si="80"/>
        <v>2.1983420225481313E-13</v>
      </c>
      <c r="I716" s="8" t="str">
        <f t="shared" si="81"/>
        <v/>
      </c>
    </row>
    <row r="717" spans="1:9" x14ac:dyDescent="0.2">
      <c r="A717" s="5">
        <v>716</v>
      </c>
      <c r="B717" s="6">
        <v>2.8920720000000002</v>
      </c>
      <c r="C717" s="6">
        <f t="shared" si="77"/>
        <v>2.801072</v>
      </c>
      <c r="D717" s="6">
        <f t="shared" si="78"/>
        <v>2005.567552</v>
      </c>
      <c r="E717" s="6">
        <f t="shared" si="82"/>
        <v>586.81261099999995</v>
      </c>
      <c r="F717" s="6">
        <f t="shared" si="83"/>
        <v>1.9634999999997849E-3</v>
      </c>
      <c r="G717" s="6">
        <f t="shared" si="79"/>
        <v>-675.45567700518666</v>
      </c>
      <c r="H717" s="7">
        <f t="shared" si="80"/>
        <v>2.3770449629355858E-13</v>
      </c>
      <c r="I717" s="8" t="str">
        <f t="shared" si="81"/>
        <v/>
      </c>
    </row>
    <row r="718" spans="1:9" x14ac:dyDescent="0.2">
      <c r="A718" s="5">
        <v>717</v>
      </c>
      <c r="B718" s="6">
        <v>2.8948839999999998</v>
      </c>
      <c r="C718" s="6">
        <f t="shared" si="77"/>
        <v>2.8038839999999996</v>
      </c>
      <c r="D718" s="6">
        <f t="shared" si="78"/>
        <v>2010.3848279999997</v>
      </c>
      <c r="E718" s="6">
        <f t="shared" si="82"/>
        <v>589.6150889999999</v>
      </c>
      <c r="F718" s="6">
        <f t="shared" si="83"/>
        <v>1.3554999999998429E-3</v>
      </c>
      <c r="G718" s="6">
        <f t="shared" si="79"/>
        <v>-675.54325990001212</v>
      </c>
      <c r="H718" s="7">
        <f t="shared" si="80"/>
        <v>3.4436982466458354E-13</v>
      </c>
      <c r="I718" s="8" t="str">
        <f t="shared" si="81"/>
        <v/>
      </c>
    </row>
    <row r="719" spans="1:9" x14ac:dyDescent="0.2">
      <c r="A719" s="5">
        <v>718</v>
      </c>
      <c r="B719" s="6">
        <v>2.8947829999999999</v>
      </c>
      <c r="C719" s="6">
        <f t="shared" si="77"/>
        <v>2.8037829999999997</v>
      </c>
      <c r="D719" s="6">
        <f t="shared" si="78"/>
        <v>2013.1161939999997</v>
      </c>
      <c r="E719" s="6">
        <f t="shared" si="82"/>
        <v>592.41892249999989</v>
      </c>
      <c r="F719" s="6">
        <f t="shared" si="83"/>
        <v>-5.049999999995336E-5</v>
      </c>
      <c r="G719" s="6">
        <f t="shared" si="79"/>
        <v>-675.5402151416987</v>
      </c>
      <c r="H719" s="7">
        <f t="shared" si="80"/>
        <v>-9.2433899690535584E-12</v>
      </c>
      <c r="I719" s="8" t="str">
        <f t="shared" si="81"/>
        <v/>
      </c>
    </row>
    <row r="720" spans="1:9" x14ac:dyDescent="0.2">
      <c r="A720" s="5">
        <v>719</v>
      </c>
      <c r="B720" s="6">
        <v>2.8947829999999999</v>
      </c>
      <c r="C720" s="6">
        <f t="shared" si="77"/>
        <v>2.8037829999999997</v>
      </c>
      <c r="D720" s="6">
        <f t="shared" si="78"/>
        <v>2015.9199769999998</v>
      </c>
      <c r="E720" s="6">
        <f t="shared" si="82"/>
        <v>595.22270549999985</v>
      </c>
      <c r="F720" s="6">
        <f t="shared" si="83"/>
        <v>9.7800000000014542E-4</v>
      </c>
      <c r="G720" s="6">
        <f t="shared" si="79"/>
        <v>-675.54021514169858</v>
      </c>
      <c r="H720" s="7">
        <f t="shared" si="80"/>
        <v>4.7729160883098577E-13</v>
      </c>
      <c r="I720" s="8" t="str">
        <f t="shared" si="81"/>
        <v/>
      </c>
    </row>
    <row r="721" spans="1:9" x14ac:dyDescent="0.2">
      <c r="A721" s="5">
        <v>720</v>
      </c>
      <c r="B721" s="6">
        <v>2.8967390000000002</v>
      </c>
      <c r="C721" s="6">
        <f t="shared" si="77"/>
        <v>2.805739</v>
      </c>
      <c r="D721" s="6">
        <f t="shared" si="78"/>
        <v>2020.1320800000001</v>
      </c>
      <c r="E721" s="6">
        <f t="shared" si="82"/>
        <v>598.02746649999983</v>
      </c>
      <c r="F721" s="6">
        <f t="shared" si="83"/>
        <v>1.3620000000000854E-3</v>
      </c>
      <c r="G721" s="6">
        <f t="shared" si="79"/>
        <v>-675.59526895616466</v>
      </c>
      <c r="H721" s="7">
        <f t="shared" si="80"/>
        <v>3.4275274232328035E-13</v>
      </c>
      <c r="I721" s="8" t="str">
        <f t="shared" si="81"/>
        <v/>
      </c>
    </row>
    <row r="722" spans="1:9" x14ac:dyDescent="0.2">
      <c r="A722" s="5">
        <v>721</v>
      </c>
      <c r="B722" s="6">
        <v>2.8975070000000001</v>
      </c>
      <c r="C722" s="6">
        <f t="shared" si="77"/>
        <v>2.8065069999999999</v>
      </c>
      <c r="D722" s="6">
        <f t="shared" si="78"/>
        <v>2023.4915469999999</v>
      </c>
      <c r="E722" s="6">
        <f t="shared" si="82"/>
        <v>600.83358949999979</v>
      </c>
      <c r="F722" s="6">
        <f t="shared" si="83"/>
        <v>7.8999999999984638E-4</v>
      </c>
      <c r="G722" s="6">
        <f t="shared" si="79"/>
        <v>-675.61611717779556</v>
      </c>
      <c r="H722" s="7">
        <f t="shared" si="80"/>
        <v>5.9094131765393051E-13</v>
      </c>
      <c r="I722" s="8" t="str">
        <f t="shared" si="81"/>
        <v/>
      </c>
    </row>
    <row r="723" spans="1:9" x14ac:dyDescent="0.2">
      <c r="A723" s="5">
        <v>722</v>
      </c>
      <c r="B723" s="6">
        <v>2.8983189999999999</v>
      </c>
      <c r="C723" s="6">
        <f t="shared" si="77"/>
        <v>2.8073189999999997</v>
      </c>
      <c r="D723" s="6">
        <f t="shared" si="78"/>
        <v>2026.8843179999997</v>
      </c>
      <c r="E723" s="6">
        <f t="shared" si="82"/>
        <v>603.6405024999998</v>
      </c>
      <c r="F723" s="6">
        <f t="shared" si="83"/>
        <v>1.123500000000055E-3</v>
      </c>
      <c r="G723" s="6">
        <f t="shared" si="79"/>
        <v>-675.63734782879067</v>
      </c>
      <c r="H723" s="7">
        <f t="shared" si="80"/>
        <v>4.1553921771548086E-13</v>
      </c>
      <c r="I723" s="8" t="str">
        <f t="shared" si="81"/>
        <v/>
      </c>
    </row>
    <row r="724" spans="1:9" x14ac:dyDescent="0.2">
      <c r="A724" s="5">
        <v>723</v>
      </c>
      <c r="B724" s="6">
        <v>2.8997540000000002</v>
      </c>
      <c r="C724" s="6">
        <f t="shared" si="77"/>
        <v>2.808754</v>
      </c>
      <c r="D724" s="6">
        <f t="shared" si="78"/>
        <v>2030.7291419999999</v>
      </c>
      <c r="E724" s="6">
        <f t="shared" si="82"/>
        <v>606.44853899999976</v>
      </c>
      <c r="F724" s="6">
        <f t="shared" si="83"/>
        <v>3.2600000000004847E-4</v>
      </c>
      <c r="G724" s="6">
        <f t="shared" si="79"/>
        <v>-675.67343251373882</v>
      </c>
      <c r="H724" s="7">
        <f t="shared" si="80"/>
        <v>1.4321571939926271E-12</v>
      </c>
      <c r="I724" s="8" t="str">
        <f t="shared" si="81"/>
        <v/>
      </c>
    </row>
    <row r="725" spans="1:9" x14ac:dyDescent="0.2">
      <c r="A725" s="5">
        <v>724</v>
      </c>
      <c r="B725" s="6">
        <v>2.898971</v>
      </c>
      <c r="C725" s="6">
        <f t="shared" si="77"/>
        <v>2.8079709999999998</v>
      </c>
      <c r="D725" s="6">
        <f t="shared" si="78"/>
        <v>2032.9710039999998</v>
      </c>
      <c r="E725" s="6">
        <f t="shared" si="82"/>
        <v>609.2569014999998</v>
      </c>
      <c r="F725" s="6">
        <f t="shared" si="83"/>
        <v>-2.8300000000003322E-4</v>
      </c>
      <c r="G725" s="6">
        <f t="shared" si="79"/>
        <v>-675.65452610027933</v>
      </c>
      <c r="H725" s="7">
        <f t="shared" si="80"/>
        <v>-1.6497179544469446E-12</v>
      </c>
      <c r="I725" s="8" t="str">
        <f t="shared" si="81"/>
        <v/>
      </c>
    </row>
    <row r="726" spans="1:9" x14ac:dyDescent="0.2">
      <c r="A726" s="5">
        <v>725</v>
      </c>
      <c r="B726" s="6">
        <v>2.8991880000000001</v>
      </c>
      <c r="C726" s="6">
        <f t="shared" si="77"/>
        <v>2.8081879999999999</v>
      </c>
      <c r="D726" s="6">
        <f t="shared" si="78"/>
        <v>2035.9362999999998</v>
      </c>
      <c r="E726" s="6">
        <f t="shared" si="82"/>
        <v>612.06498099999976</v>
      </c>
      <c r="F726" s="6">
        <f t="shared" si="83"/>
        <v>1.740000000001185E-4</v>
      </c>
      <c r="G726" s="6">
        <f t="shared" si="79"/>
        <v>-675.65954880873494</v>
      </c>
      <c r="H726" s="7">
        <f t="shared" si="80"/>
        <v>2.683181906592019E-12</v>
      </c>
      <c r="I726" s="8" t="str">
        <f t="shared" si="81"/>
        <v/>
      </c>
    </row>
    <row r="727" spans="1:9" x14ac:dyDescent="0.2">
      <c r="A727" s="5">
        <v>726</v>
      </c>
      <c r="B727" s="6">
        <v>2.8993190000000002</v>
      </c>
      <c r="C727" s="6">
        <f t="shared" si="77"/>
        <v>2.808319</v>
      </c>
      <c r="D727" s="6">
        <f t="shared" si="78"/>
        <v>2038.839594</v>
      </c>
      <c r="E727" s="6">
        <f t="shared" si="82"/>
        <v>614.87323449999974</v>
      </c>
      <c r="F727" s="6">
        <f t="shared" si="83"/>
        <v>-2.9699999999999172E-4</v>
      </c>
      <c r="G727" s="6">
        <f t="shared" si="79"/>
        <v>-675.66244995070576</v>
      </c>
      <c r="H727" s="7">
        <f t="shared" si="80"/>
        <v>-1.5719719070908193E-12</v>
      </c>
      <c r="I727" s="8" t="str">
        <f t="shared" si="81"/>
        <v/>
      </c>
    </row>
    <row r="728" spans="1:9" x14ac:dyDescent="0.2">
      <c r="A728" s="5">
        <v>727</v>
      </c>
      <c r="B728" s="6">
        <v>2.8985940000000001</v>
      </c>
      <c r="C728" s="6">
        <f t="shared" si="77"/>
        <v>2.8075939999999999</v>
      </c>
      <c r="D728" s="6">
        <f t="shared" si="78"/>
        <v>2041.120838</v>
      </c>
      <c r="E728" s="6">
        <f t="shared" si="82"/>
        <v>617.68119099999979</v>
      </c>
      <c r="F728" s="6">
        <f t="shared" si="83"/>
        <v>4.6349999999995006E-4</v>
      </c>
      <c r="G728" s="6">
        <f t="shared" si="79"/>
        <v>-675.64711901231726</v>
      </c>
      <c r="H728" s="7">
        <f t="shared" si="80"/>
        <v>1.0072601141070241E-12</v>
      </c>
      <c r="I728" s="8" t="str">
        <f t="shared" si="81"/>
        <v/>
      </c>
    </row>
    <row r="729" spans="1:9" x14ac:dyDescent="0.2">
      <c r="A729" s="5">
        <v>728</v>
      </c>
      <c r="B729" s="6">
        <v>2.9002460000000001</v>
      </c>
      <c r="C729" s="6">
        <f t="shared" si="77"/>
        <v>2.8092459999999999</v>
      </c>
      <c r="D729" s="6">
        <f t="shared" si="78"/>
        <v>2045.1310879999999</v>
      </c>
      <c r="E729" s="6">
        <f t="shared" si="82"/>
        <v>620.48961099999974</v>
      </c>
      <c r="F729" s="6">
        <f t="shared" si="83"/>
        <v>1.3334999999998765E-3</v>
      </c>
      <c r="G729" s="6">
        <f t="shared" si="79"/>
        <v>-675.68040040572112</v>
      </c>
      <c r="H729" s="7">
        <f t="shared" si="80"/>
        <v>3.5012227970145093E-13</v>
      </c>
      <c r="I729" s="8" t="str">
        <f t="shared" si="81"/>
        <v/>
      </c>
    </row>
    <row r="730" spans="1:9" x14ac:dyDescent="0.2">
      <c r="A730" s="5">
        <v>729</v>
      </c>
      <c r="B730" s="6">
        <v>2.9012609999999999</v>
      </c>
      <c r="C730" s="6">
        <f t="shared" si="77"/>
        <v>2.8102609999999997</v>
      </c>
      <c r="D730" s="6">
        <f t="shared" si="78"/>
        <v>2048.680269</v>
      </c>
      <c r="E730" s="6">
        <f t="shared" si="82"/>
        <v>623.2993644999998</v>
      </c>
      <c r="F730" s="6">
        <f t="shared" si="83"/>
        <v>2.8300000000003322E-4</v>
      </c>
      <c r="G730" s="6">
        <f t="shared" si="79"/>
        <v>-675.69983371946512</v>
      </c>
      <c r="H730" s="7">
        <f t="shared" si="80"/>
        <v>1.6498285802030919E-12</v>
      </c>
      <c r="I730" s="8" t="str">
        <f t="shared" si="81"/>
        <v/>
      </c>
    </row>
    <row r="731" spans="1:9" x14ac:dyDescent="0.2">
      <c r="A731" s="5">
        <v>730</v>
      </c>
      <c r="B731" s="6">
        <v>2.9008120000000002</v>
      </c>
      <c r="C731" s="6">
        <f t="shared" si="77"/>
        <v>2.809812</v>
      </c>
      <c r="D731" s="6">
        <f t="shared" si="78"/>
        <v>2051.1627600000002</v>
      </c>
      <c r="E731" s="6">
        <f t="shared" si="82"/>
        <v>626.10940099999982</v>
      </c>
      <c r="F731" s="6">
        <f t="shared" si="83"/>
        <v>-7.1749999999992653E-4</v>
      </c>
      <c r="G731" s="6">
        <f t="shared" si="79"/>
        <v>-675.69168611072519</v>
      </c>
      <c r="H731" s="7">
        <f t="shared" si="80"/>
        <v>-6.5072593489270103E-13</v>
      </c>
      <c r="I731" s="8" t="str">
        <f t="shared" si="81"/>
        <v/>
      </c>
    </row>
    <row r="732" spans="1:9" x14ac:dyDescent="0.2">
      <c r="A732" s="5">
        <v>731</v>
      </c>
      <c r="B732" s="6">
        <v>2.899826</v>
      </c>
      <c r="C732" s="6">
        <f t="shared" si="77"/>
        <v>2.8088259999999998</v>
      </c>
      <c r="D732" s="6">
        <f t="shared" si="78"/>
        <v>2053.2518059999998</v>
      </c>
      <c r="E732" s="6">
        <f t="shared" si="82"/>
        <v>628.91871999999978</v>
      </c>
      <c r="F732" s="6">
        <f t="shared" si="83"/>
        <v>1.4199999999999768E-3</v>
      </c>
      <c r="G732" s="6">
        <f t="shared" si="79"/>
        <v>-675.67478003451674</v>
      </c>
      <c r="H732" s="7">
        <f t="shared" si="80"/>
        <v>3.2879167349604076E-13</v>
      </c>
      <c r="I732" s="8" t="str">
        <f t="shared" si="81"/>
        <v/>
      </c>
    </row>
    <row r="733" spans="1:9" x14ac:dyDescent="0.2">
      <c r="A733" s="5">
        <v>732</v>
      </c>
      <c r="B733" s="6">
        <v>2.9036520000000001</v>
      </c>
      <c r="C733" s="6">
        <f t="shared" si="77"/>
        <v>2.8126519999999999</v>
      </c>
      <c r="D733" s="6">
        <f t="shared" si="78"/>
        <v>2058.8612640000001</v>
      </c>
      <c r="E733" s="6">
        <f t="shared" si="82"/>
        <v>631.72945899999979</v>
      </c>
      <c r="F733" s="6">
        <f t="shared" si="83"/>
        <v>2.0579999999998932E-3</v>
      </c>
      <c r="G733" s="6">
        <f t="shared" si="79"/>
        <v>-675.73655509696425</v>
      </c>
      <c r="H733" s="7">
        <f t="shared" si="80"/>
        <v>2.2688380091531572E-13</v>
      </c>
      <c r="I733" s="8" t="str">
        <f t="shared" si="81"/>
        <v/>
      </c>
    </row>
    <row r="734" spans="1:9" x14ac:dyDescent="0.2">
      <c r="A734" s="5">
        <v>733</v>
      </c>
      <c r="B734" s="6">
        <v>2.9039419999999998</v>
      </c>
      <c r="C734" s="6">
        <f t="shared" si="77"/>
        <v>2.8129419999999996</v>
      </c>
      <c r="D734" s="6">
        <f t="shared" si="78"/>
        <v>2061.8864859999999</v>
      </c>
      <c r="E734" s="6">
        <f t="shared" si="82"/>
        <v>634.54225599999984</v>
      </c>
      <c r="F734" s="6">
        <f t="shared" si="83"/>
        <v>6.0899999999985965E-4</v>
      </c>
      <c r="G734" s="6">
        <f t="shared" si="79"/>
        <v>-675.7409474723197</v>
      </c>
      <c r="H734" s="7">
        <f t="shared" si="80"/>
        <v>7.6671575922666746E-13</v>
      </c>
      <c r="I734" s="8" t="str">
        <f t="shared" si="81"/>
        <v/>
      </c>
    </row>
    <row r="735" spans="1:9" x14ac:dyDescent="0.2">
      <c r="A735" s="5">
        <v>734</v>
      </c>
      <c r="B735" s="6">
        <v>2.9048699999999998</v>
      </c>
      <c r="C735" s="6">
        <f t="shared" si="77"/>
        <v>2.8138699999999996</v>
      </c>
      <c r="D735" s="6">
        <f t="shared" si="78"/>
        <v>2065.3805799999996</v>
      </c>
      <c r="E735" s="6">
        <f t="shared" si="82"/>
        <v>637.35566199999982</v>
      </c>
      <c r="F735" s="6">
        <f t="shared" si="83"/>
        <v>4.9300000000007671E-4</v>
      </c>
      <c r="G735" s="6">
        <f t="shared" si="79"/>
        <v>-675.75407507345699</v>
      </c>
      <c r="H735" s="7">
        <f t="shared" si="80"/>
        <v>9.4713786694394799E-13</v>
      </c>
      <c r="I735" s="8" t="str">
        <f t="shared" si="81"/>
        <v/>
      </c>
    </row>
    <row r="736" spans="1:9" x14ac:dyDescent="0.2">
      <c r="A736" s="5">
        <v>735</v>
      </c>
      <c r="B736" s="6">
        <v>2.904928</v>
      </c>
      <c r="C736" s="6">
        <f t="shared" si="77"/>
        <v>2.8139279999999998</v>
      </c>
      <c r="D736" s="6">
        <f t="shared" si="78"/>
        <v>2068.2370799999999</v>
      </c>
      <c r="E736" s="6">
        <f t="shared" si="82"/>
        <v>640.16956099999982</v>
      </c>
      <c r="F736" s="6">
        <f t="shared" si="83"/>
        <v>-4.1349999999984455E-4</v>
      </c>
      <c r="G736" s="6">
        <f t="shared" si="79"/>
        <v>-675.75483754852803</v>
      </c>
      <c r="H736" s="7">
        <f t="shared" si="80"/>
        <v>-1.1292369897602912E-12</v>
      </c>
      <c r="I736" s="8" t="str">
        <f t="shared" si="81"/>
        <v/>
      </c>
    </row>
    <row r="737" spans="1:9" x14ac:dyDescent="0.2">
      <c r="A737" s="5">
        <v>736</v>
      </c>
      <c r="B737" s="6">
        <v>2.9040430000000002</v>
      </c>
      <c r="C737" s="6">
        <f t="shared" si="77"/>
        <v>2.813043</v>
      </c>
      <c r="D737" s="6">
        <f t="shared" si="78"/>
        <v>2070.3996480000001</v>
      </c>
      <c r="E737" s="6">
        <f t="shared" si="82"/>
        <v>642.98304649999977</v>
      </c>
      <c r="F737" s="6">
        <f t="shared" si="83"/>
        <v>-4.5699999999992968E-4</v>
      </c>
      <c r="G737" s="6">
        <f t="shared" si="79"/>
        <v>-675.74408823063311</v>
      </c>
      <c r="H737" s="7">
        <f t="shared" si="80"/>
        <v>-1.0217331894967435E-12</v>
      </c>
      <c r="I737" s="8" t="str">
        <f t="shared" si="81"/>
        <v/>
      </c>
    </row>
    <row r="738" spans="1:9" x14ac:dyDescent="0.2">
      <c r="A738" s="5">
        <v>737</v>
      </c>
      <c r="B738" s="6">
        <v>2.9040140000000001</v>
      </c>
      <c r="C738" s="6">
        <f t="shared" si="77"/>
        <v>2.8130139999999999</v>
      </c>
      <c r="D738" s="6">
        <f t="shared" si="78"/>
        <v>2073.1913180000001</v>
      </c>
      <c r="E738" s="6">
        <f t="shared" si="82"/>
        <v>645.79607499999975</v>
      </c>
      <c r="F738" s="6">
        <f t="shared" si="83"/>
        <v>1.2974999999999515E-3</v>
      </c>
      <c r="G738" s="6">
        <f t="shared" si="79"/>
        <v>-675.74376499309756</v>
      </c>
      <c r="H738" s="7">
        <f t="shared" si="80"/>
        <v>3.5987040018976135E-13</v>
      </c>
      <c r="I738" s="8" t="str">
        <f t="shared" si="81"/>
        <v/>
      </c>
    </row>
    <row r="739" spans="1:9" x14ac:dyDescent="0.2">
      <c r="A739" s="5">
        <v>738</v>
      </c>
      <c r="B739" s="6">
        <v>2.9066380000000001</v>
      </c>
      <c r="C739" s="6">
        <f t="shared" si="77"/>
        <v>2.8156379999999999</v>
      </c>
      <c r="D739" s="6">
        <f t="shared" si="78"/>
        <v>2077.9408439999997</v>
      </c>
      <c r="E739" s="6">
        <f t="shared" si="82"/>
        <v>648.6104009999998</v>
      </c>
      <c r="F739" s="6">
        <f t="shared" si="83"/>
        <v>2.6669999999999749E-3</v>
      </c>
      <c r="G739" s="6">
        <f t="shared" si="79"/>
        <v>-675.77038841700301</v>
      </c>
      <c r="H739" s="7">
        <f t="shared" si="80"/>
        <v>1.7508445472534459E-13</v>
      </c>
      <c r="I739" s="8" t="str">
        <f t="shared" si="81"/>
        <v/>
      </c>
    </row>
    <row r="740" spans="1:9" x14ac:dyDescent="0.2">
      <c r="A740" s="5">
        <v>739</v>
      </c>
      <c r="B740" s="6">
        <v>2.909348</v>
      </c>
      <c r="C740" s="6">
        <f t="shared" si="77"/>
        <v>2.8183479999999999</v>
      </c>
      <c r="D740" s="6">
        <f t="shared" si="78"/>
        <v>2082.759172</v>
      </c>
      <c r="E740" s="6">
        <f t="shared" si="82"/>
        <v>651.42739399999982</v>
      </c>
      <c r="F740" s="6">
        <f t="shared" si="83"/>
        <v>4.129999999999967E-4</v>
      </c>
      <c r="G740" s="6">
        <f t="shared" si="79"/>
        <v>-675.79517440739312</v>
      </c>
      <c r="H740" s="7">
        <f t="shared" si="80"/>
        <v>1.1306715922797206E-12</v>
      </c>
      <c r="I740" s="8" t="str">
        <f t="shared" si="81"/>
        <v/>
      </c>
    </row>
    <row r="741" spans="1:9" x14ac:dyDescent="0.2">
      <c r="A741" s="5">
        <v>740</v>
      </c>
      <c r="B741" s="6">
        <v>2.907464</v>
      </c>
      <c r="C741" s="6">
        <f t="shared" si="77"/>
        <v>2.8164639999999999</v>
      </c>
      <c r="D741" s="6">
        <f t="shared" si="78"/>
        <v>2084.18336</v>
      </c>
      <c r="E741" s="6">
        <f t="shared" si="82"/>
        <v>654.24479999999983</v>
      </c>
      <c r="F741" s="6">
        <f t="shared" si="83"/>
        <v>-4.4200000000005346E-4</v>
      </c>
      <c r="G741" s="6">
        <f t="shared" si="79"/>
        <v>-675.77982711370498</v>
      </c>
      <c r="H741" s="7">
        <f t="shared" si="80"/>
        <v>-1.0564632642369214E-12</v>
      </c>
      <c r="I741" s="8" t="str">
        <f t="shared" si="81"/>
        <v/>
      </c>
    </row>
    <row r="742" spans="1:9" x14ac:dyDescent="0.2">
      <c r="A742" s="5">
        <v>741</v>
      </c>
      <c r="B742" s="6">
        <v>2.9084639999999999</v>
      </c>
      <c r="C742" s="6">
        <f t="shared" si="77"/>
        <v>2.8174639999999997</v>
      </c>
      <c r="D742" s="6">
        <f t="shared" si="78"/>
        <v>2087.740824</v>
      </c>
      <c r="E742" s="6">
        <f t="shared" si="82"/>
        <v>657.06176399999981</v>
      </c>
      <c r="F742" s="6">
        <f t="shared" si="83"/>
        <v>3.1849999999988832E-4</v>
      </c>
      <c r="G742" s="6">
        <f t="shared" si="79"/>
        <v>-675.78697323562017</v>
      </c>
      <c r="H742" s="7">
        <f t="shared" si="80"/>
        <v>1.4661277886597388E-12</v>
      </c>
      <c r="I742" s="8" t="str">
        <f t="shared" si="81"/>
        <v/>
      </c>
    </row>
    <row r="743" spans="1:9" x14ac:dyDescent="0.2">
      <c r="A743" s="5">
        <v>742</v>
      </c>
      <c r="B743" s="6">
        <v>2.9081009999999998</v>
      </c>
      <c r="C743" s="6">
        <f t="shared" si="77"/>
        <v>2.8171009999999996</v>
      </c>
      <c r="D743" s="6">
        <f t="shared" si="78"/>
        <v>2090.2889419999997</v>
      </c>
      <c r="E743" s="6">
        <f t="shared" si="82"/>
        <v>659.87904649999984</v>
      </c>
      <c r="F743" s="6">
        <f t="shared" si="83"/>
        <v>8.1850000000005529E-4</v>
      </c>
      <c r="G743" s="6">
        <f t="shared" si="79"/>
        <v>-675.78474219336499</v>
      </c>
      <c r="H743" s="7">
        <f t="shared" si="80"/>
        <v>5.7050721937833341E-13</v>
      </c>
      <c r="I743" s="8" t="str">
        <f t="shared" si="81"/>
        <v/>
      </c>
    </row>
    <row r="744" spans="1:9" x14ac:dyDescent="0.2">
      <c r="A744" s="5">
        <v>743</v>
      </c>
      <c r="B744" s="6">
        <v>2.910101</v>
      </c>
      <c r="C744" s="6">
        <f t="shared" si="77"/>
        <v>2.8191009999999999</v>
      </c>
      <c r="D744" s="6">
        <f t="shared" si="78"/>
        <v>2094.5920430000001</v>
      </c>
      <c r="E744" s="6">
        <f t="shared" si="82"/>
        <v>662.6971474999998</v>
      </c>
      <c r="F744" s="6">
        <f t="shared" si="83"/>
        <v>1.4855000000000285E-3</v>
      </c>
      <c r="G744" s="6">
        <f t="shared" si="79"/>
        <v>-675.79503443719523</v>
      </c>
      <c r="H744" s="7">
        <f t="shared" si="80"/>
        <v>3.1435023284656703E-13</v>
      </c>
      <c r="I744" s="8" t="str">
        <f t="shared" si="81"/>
        <v/>
      </c>
    </row>
    <row r="745" spans="1:9" x14ac:dyDescent="0.2">
      <c r="A745" s="5">
        <v>744</v>
      </c>
      <c r="B745" s="6">
        <v>2.9110719999999999</v>
      </c>
      <c r="C745" s="6">
        <f t="shared" si="77"/>
        <v>2.8200719999999997</v>
      </c>
      <c r="D745" s="6">
        <f t="shared" si="78"/>
        <v>2098.1335679999997</v>
      </c>
      <c r="E745" s="6">
        <f t="shared" si="82"/>
        <v>665.51673399999981</v>
      </c>
      <c r="F745" s="6">
        <f t="shared" si="83"/>
        <v>5.6549999999999656E-4</v>
      </c>
      <c r="G745" s="6">
        <f t="shared" si="79"/>
        <v>-675.79906032157487</v>
      </c>
      <c r="H745" s="7">
        <f t="shared" si="80"/>
        <v>8.2576490316075942E-13</v>
      </c>
      <c r="I745" s="8" t="str">
        <f t="shared" si="81"/>
        <v/>
      </c>
    </row>
    <row r="746" spans="1:9" x14ac:dyDescent="0.2">
      <c r="A746" s="5">
        <v>745</v>
      </c>
      <c r="B746" s="6">
        <v>2.911232</v>
      </c>
      <c r="C746" s="6">
        <f t="shared" si="77"/>
        <v>2.8202319999999999</v>
      </c>
      <c r="D746" s="6">
        <f t="shared" si="78"/>
        <v>2101.0728399999998</v>
      </c>
      <c r="E746" s="6">
        <f t="shared" si="82"/>
        <v>668.33688599999982</v>
      </c>
      <c r="F746" s="6">
        <f t="shared" si="83"/>
        <v>2.3200000000000998E-4</v>
      </c>
      <c r="G746" s="6">
        <f t="shared" si="79"/>
        <v>-675.7995637010813</v>
      </c>
      <c r="H746" s="7">
        <f t="shared" si="80"/>
        <v>2.0128034507212862E-12</v>
      </c>
      <c r="I746" s="8" t="str">
        <f t="shared" si="81"/>
        <v/>
      </c>
    </row>
    <row r="747" spans="1:9" x14ac:dyDescent="0.2">
      <c r="A747" s="5">
        <v>746</v>
      </c>
      <c r="B747" s="6">
        <v>2.9115359999999999</v>
      </c>
      <c r="C747" s="6">
        <f t="shared" si="77"/>
        <v>2.8205359999999997</v>
      </c>
      <c r="D747" s="6">
        <f t="shared" si="78"/>
        <v>2104.1198559999998</v>
      </c>
      <c r="E747" s="6">
        <f t="shared" si="82"/>
        <v>671.15726999999981</v>
      </c>
      <c r="F747" s="6">
        <f t="shared" si="83"/>
        <v>-3.7700000000007172E-4</v>
      </c>
      <c r="G747" s="6">
        <f t="shared" si="79"/>
        <v>-675.80021612214352</v>
      </c>
      <c r="H747" s="7">
        <f t="shared" si="80"/>
        <v>-1.2386494731654411E-12</v>
      </c>
      <c r="I747" s="8" t="str">
        <f t="shared" si="81"/>
        <v/>
      </c>
    </row>
    <row r="748" spans="1:9" x14ac:dyDescent="0.2">
      <c r="A748" s="5">
        <v>747</v>
      </c>
      <c r="B748" s="6">
        <v>2.9104779999999999</v>
      </c>
      <c r="C748" s="6">
        <f t="shared" si="77"/>
        <v>2.8194779999999997</v>
      </c>
      <c r="D748" s="6">
        <f t="shared" si="78"/>
        <v>2106.1500659999997</v>
      </c>
      <c r="E748" s="6">
        <f t="shared" si="82"/>
        <v>673.97727699999984</v>
      </c>
      <c r="F748" s="6">
        <f t="shared" si="83"/>
        <v>-2.0299999999995322E-4</v>
      </c>
      <c r="G748" s="6">
        <f t="shared" si="79"/>
        <v>-675.79900352515733</v>
      </c>
      <c r="H748" s="7">
        <f t="shared" si="80"/>
        <v>-2.3003448940482084E-12</v>
      </c>
      <c r="I748" s="8" t="str">
        <f t="shared" si="81"/>
        <v/>
      </c>
    </row>
    <row r="749" spans="1:9" x14ac:dyDescent="0.2">
      <c r="A749" s="5">
        <v>748</v>
      </c>
      <c r="B749" s="6">
        <v>2.91113</v>
      </c>
      <c r="C749" s="6">
        <f t="shared" si="77"/>
        <v>2.8201299999999998</v>
      </c>
      <c r="D749" s="6">
        <f t="shared" si="78"/>
        <v>2109.4572399999997</v>
      </c>
      <c r="E749" s="6">
        <f t="shared" si="82"/>
        <v>676.79708099999982</v>
      </c>
      <c r="F749" s="6">
        <f t="shared" si="83"/>
        <v>2.3200000000000998E-4</v>
      </c>
      <c r="G749" s="6">
        <f t="shared" si="79"/>
        <v>-675.79909879664604</v>
      </c>
      <c r="H749" s="7">
        <f t="shared" si="80"/>
        <v>2.0128020660485197E-12</v>
      </c>
      <c r="I749" s="8" t="str">
        <f t="shared" si="81"/>
        <v/>
      </c>
    </row>
    <row r="750" spans="1:9" x14ac:dyDescent="0.2">
      <c r="A750" s="5">
        <v>749</v>
      </c>
      <c r="B750" s="6">
        <v>2.9109419999999999</v>
      </c>
      <c r="C750" s="6">
        <f t="shared" si="77"/>
        <v>2.8199419999999997</v>
      </c>
      <c r="D750" s="6">
        <f t="shared" si="78"/>
        <v>2112.1365579999997</v>
      </c>
      <c r="E750" s="6">
        <f t="shared" si="82"/>
        <v>679.61711699999978</v>
      </c>
      <c r="F750" s="6">
        <f t="shared" si="83"/>
        <v>2.9000000000056758E-5</v>
      </c>
      <c r="G750" s="6">
        <f t="shared" si="79"/>
        <v>-675.79925932572587</v>
      </c>
      <c r="H750" s="7">
        <f t="shared" si="80"/>
        <v>1.6102420353319687E-11</v>
      </c>
      <c r="I750" s="8" t="str">
        <f t="shared" si="81"/>
        <v/>
      </c>
    </row>
    <row r="751" spans="1:9" x14ac:dyDescent="0.2">
      <c r="A751" s="5">
        <v>750</v>
      </c>
      <c r="B751" s="6">
        <v>2.9111880000000001</v>
      </c>
      <c r="C751" s="6">
        <f t="shared" si="77"/>
        <v>2.8201879999999999</v>
      </c>
      <c r="D751" s="6">
        <f t="shared" si="78"/>
        <v>2115.1410000000001</v>
      </c>
      <c r="E751" s="6">
        <f t="shared" si="82"/>
        <v>682.43718199999978</v>
      </c>
      <c r="F751" s="6">
        <f t="shared" si="83"/>
        <v>-7.9500000000010118E-5</v>
      </c>
      <c r="G751" s="6">
        <f t="shared" si="79"/>
        <v>-675.79880327171702</v>
      </c>
      <c r="H751" s="7">
        <f t="shared" si="80"/>
        <v>-5.8738349071521415E-12</v>
      </c>
      <c r="I751" s="8" t="str">
        <f t="shared" si="81"/>
        <v/>
      </c>
    </row>
    <row r="752" spans="1:9" x14ac:dyDescent="0.2">
      <c r="A752" s="5">
        <v>751</v>
      </c>
      <c r="B752" s="6">
        <v>2.9107829999999999</v>
      </c>
      <c r="C752" s="6">
        <f t="shared" si="77"/>
        <v>2.8197829999999997</v>
      </c>
      <c r="D752" s="6">
        <f t="shared" si="78"/>
        <v>2117.657033</v>
      </c>
      <c r="E752" s="6">
        <f t="shared" si="82"/>
        <v>685.25716749999981</v>
      </c>
      <c r="F752" s="6">
        <f t="shared" si="83"/>
        <v>-1.2999999999996348E-4</v>
      </c>
      <c r="G752" s="6">
        <f t="shared" si="79"/>
        <v>-675.7999590923414</v>
      </c>
      <c r="H752" s="7">
        <f t="shared" si="80"/>
        <v>-3.5920821059899817E-12</v>
      </c>
      <c r="I752" s="8" t="str">
        <f t="shared" si="81"/>
        <v/>
      </c>
    </row>
    <row r="753" spans="1:9" x14ac:dyDescent="0.2">
      <c r="A753" s="5">
        <v>752</v>
      </c>
      <c r="B753" s="6">
        <v>2.9109280000000002</v>
      </c>
      <c r="C753" s="6">
        <f t="shared" si="77"/>
        <v>2.819928</v>
      </c>
      <c r="D753" s="6">
        <f t="shared" si="78"/>
        <v>2120.5858560000001</v>
      </c>
      <c r="E753" s="6">
        <f t="shared" si="82"/>
        <v>688.07702299999983</v>
      </c>
      <c r="F753" s="6">
        <f t="shared" si="83"/>
        <v>-3.6250000000004334E-4</v>
      </c>
      <c r="G753" s="6">
        <f t="shared" si="79"/>
        <v>-675.79940028001909</v>
      </c>
      <c r="H753" s="7">
        <f t="shared" si="80"/>
        <v>-1.2881938969519037E-12</v>
      </c>
      <c r="I753" s="8" t="str">
        <f t="shared" si="81"/>
        <v/>
      </c>
    </row>
    <row r="754" spans="1:9" x14ac:dyDescent="0.2">
      <c r="A754" s="5">
        <v>753</v>
      </c>
      <c r="B754" s="6">
        <v>2.9100579999999998</v>
      </c>
      <c r="C754" s="6">
        <f t="shared" si="77"/>
        <v>2.8190579999999996</v>
      </c>
      <c r="D754" s="6">
        <f t="shared" si="78"/>
        <v>2122.7506739999999</v>
      </c>
      <c r="E754" s="6">
        <f t="shared" si="82"/>
        <v>690.89651599999979</v>
      </c>
      <c r="F754" s="6">
        <f t="shared" si="83"/>
        <v>-9.2050000000010179E-4</v>
      </c>
      <c r="G754" s="6">
        <f t="shared" si="79"/>
        <v>-675.80362315395291</v>
      </c>
      <c r="H754" s="7">
        <f t="shared" si="80"/>
        <v>-5.0730386269049931E-13</v>
      </c>
      <c r="I754" s="8" t="str">
        <f t="shared" si="81"/>
        <v/>
      </c>
    </row>
    <row r="755" spans="1:9" x14ac:dyDescent="0.2">
      <c r="A755" s="5">
        <v>754</v>
      </c>
      <c r="B755" s="6">
        <v>2.909087</v>
      </c>
      <c r="C755" s="6">
        <f t="shared" si="77"/>
        <v>2.8180869999999998</v>
      </c>
      <c r="D755" s="6">
        <f t="shared" si="78"/>
        <v>2124.8375979999996</v>
      </c>
      <c r="E755" s="6">
        <f t="shared" si="82"/>
        <v>693.71508849999975</v>
      </c>
      <c r="F755" s="6">
        <f t="shared" si="83"/>
        <v>2.6100000000006673E-4</v>
      </c>
      <c r="G755" s="6">
        <f t="shared" si="79"/>
        <v>-675.8093072695732</v>
      </c>
      <c r="H755" s="7">
        <f t="shared" si="80"/>
        <v>1.7891844186618006E-12</v>
      </c>
      <c r="I755" s="8" t="str">
        <f t="shared" si="81"/>
        <v/>
      </c>
    </row>
    <row r="756" spans="1:9" x14ac:dyDescent="0.2">
      <c r="A756" s="5">
        <v>755</v>
      </c>
      <c r="B756" s="6">
        <v>2.9105799999999999</v>
      </c>
      <c r="C756" s="6">
        <f t="shared" si="77"/>
        <v>2.8195799999999998</v>
      </c>
      <c r="D756" s="6">
        <f t="shared" si="78"/>
        <v>2128.7828999999997</v>
      </c>
      <c r="E756" s="6">
        <f t="shared" si="82"/>
        <v>696.53392199999973</v>
      </c>
      <c r="F756" s="6">
        <f t="shared" si="83"/>
        <v>4.4949999999999157E-4</v>
      </c>
      <c r="G756" s="6">
        <f t="shared" si="79"/>
        <v>-675.79907442959257</v>
      </c>
      <c r="H756" s="7">
        <f t="shared" si="80"/>
        <v>1.0388655450187039E-12</v>
      </c>
      <c r="I756" s="8" t="str">
        <f t="shared" si="81"/>
        <v/>
      </c>
    </row>
    <row r="757" spans="1:9" x14ac:dyDescent="0.2">
      <c r="A757" s="5">
        <v>756</v>
      </c>
      <c r="B757" s="6">
        <v>2.909986</v>
      </c>
      <c r="C757" s="6">
        <f t="shared" si="77"/>
        <v>2.8189859999999998</v>
      </c>
      <c r="D757" s="6">
        <f t="shared" si="78"/>
        <v>2131.1534159999997</v>
      </c>
      <c r="E757" s="6">
        <f t="shared" si="82"/>
        <v>699.35320499999978</v>
      </c>
      <c r="F757" s="6">
        <f t="shared" si="83"/>
        <v>-4.4200000000005346E-4</v>
      </c>
      <c r="G757" s="6">
        <f t="shared" si="79"/>
        <v>-675.80373963317493</v>
      </c>
      <c r="H757" s="7">
        <f t="shared" si="80"/>
        <v>-1.0565006472681419E-12</v>
      </c>
      <c r="I757" s="8" t="str">
        <f t="shared" si="81"/>
        <v/>
      </c>
    </row>
    <row r="758" spans="1:9" x14ac:dyDescent="0.2">
      <c r="A758" s="5">
        <v>757</v>
      </c>
      <c r="B758" s="6">
        <v>2.9096959999999998</v>
      </c>
      <c r="C758" s="6">
        <f t="shared" si="77"/>
        <v>2.8186959999999996</v>
      </c>
      <c r="D758" s="6">
        <f t="shared" si="78"/>
        <v>2133.7528719999996</v>
      </c>
      <c r="E758" s="6">
        <f t="shared" si="82"/>
        <v>702.1720459999998</v>
      </c>
      <c r="F758" s="6">
        <f t="shared" si="83"/>
        <v>-3.3349999999998658E-4</v>
      </c>
      <c r="G758" s="6">
        <f t="shared" si="79"/>
        <v>-675.80630725781964</v>
      </c>
      <c r="H758" s="7">
        <f t="shared" si="80"/>
        <v>-1.4002250683485928E-12</v>
      </c>
      <c r="I758" s="8" t="str">
        <f t="shared" si="81"/>
        <v/>
      </c>
    </row>
    <row r="759" spans="1:9" x14ac:dyDescent="0.2">
      <c r="A759" s="5">
        <v>758</v>
      </c>
      <c r="B759" s="6">
        <v>2.909319</v>
      </c>
      <c r="C759" s="6">
        <f t="shared" si="77"/>
        <v>2.8183189999999998</v>
      </c>
      <c r="D759" s="6">
        <f t="shared" si="78"/>
        <v>2136.2858019999999</v>
      </c>
      <c r="E759" s="6">
        <f t="shared" si="82"/>
        <v>704.99055349999981</v>
      </c>
      <c r="F759" s="6">
        <f t="shared" si="83"/>
        <v>-3.8399999999993994E-4</v>
      </c>
      <c r="G759" s="6">
        <f t="shared" si="79"/>
        <v>-675.81002216985758</v>
      </c>
      <c r="H759" s="7">
        <f t="shared" si="80"/>
        <v>-1.2160875709883079E-12</v>
      </c>
      <c r="I759" s="8" t="str">
        <f t="shared" si="81"/>
        <v/>
      </c>
    </row>
    <row r="760" spans="1:9" x14ac:dyDescent="0.2">
      <c r="A760" s="5">
        <v>759</v>
      </c>
      <c r="B760" s="6">
        <v>2.908928</v>
      </c>
      <c r="C760" s="6">
        <f t="shared" si="77"/>
        <v>2.8179279999999998</v>
      </c>
      <c r="D760" s="6">
        <f t="shared" si="78"/>
        <v>2138.8073519999998</v>
      </c>
      <c r="E760" s="6">
        <f t="shared" si="82"/>
        <v>707.80867699999976</v>
      </c>
      <c r="F760" s="6">
        <f t="shared" si="83"/>
        <v>5.5800000000005845E-4</v>
      </c>
      <c r="G760" s="6">
        <f t="shared" si="79"/>
        <v>-675.81426603618866</v>
      </c>
      <c r="H760" s="7">
        <f t="shared" si="80"/>
        <v>8.3688272352410322E-13</v>
      </c>
      <c r="I760" s="8" t="str">
        <f t="shared" si="81"/>
        <v/>
      </c>
    </row>
    <row r="761" spans="1:9" x14ac:dyDescent="0.2">
      <c r="A761" s="5">
        <v>760</v>
      </c>
      <c r="B761" s="6">
        <v>2.9104350000000001</v>
      </c>
      <c r="C761" s="6">
        <f t="shared" si="77"/>
        <v>2.8194349999999999</v>
      </c>
      <c r="D761" s="6">
        <f t="shared" si="78"/>
        <v>2142.7705999999998</v>
      </c>
      <c r="E761" s="6">
        <f t="shared" si="82"/>
        <v>710.62735849999979</v>
      </c>
      <c r="F761" s="6">
        <f t="shared" si="83"/>
        <v>0</v>
      </c>
      <c r="G761" s="6">
        <f t="shared" si="79"/>
        <v>-675.79640224191485</v>
      </c>
      <c r="H761" s="7" t="str">
        <f t="shared" si="80"/>
        <v/>
      </c>
      <c r="I761" s="8" t="str">
        <f t="shared" si="81"/>
        <v/>
      </c>
    </row>
    <row r="762" spans="1:9" x14ac:dyDescent="0.2">
      <c r="A762" s="5">
        <v>761</v>
      </c>
      <c r="B762" s="6">
        <v>2.908928</v>
      </c>
      <c r="C762" s="6">
        <f t="shared" si="77"/>
        <v>2.8179279999999998</v>
      </c>
      <c r="D762" s="6">
        <f t="shared" si="78"/>
        <v>2144.4432079999997</v>
      </c>
      <c r="E762" s="6">
        <f t="shared" si="82"/>
        <v>713.44603999999981</v>
      </c>
      <c r="F762" s="6">
        <f t="shared" si="83"/>
        <v>-9.3500000000013017E-4</v>
      </c>
      <c r="G762" s="6">
        <f t="shared" si="79"/>
        <v>-675.81577303618872</v>
      </c>
      <c r="H762" s="7">
        <f t="shared" si="80"/>
        <v>-4.9944556261775986E-13</v>
      </c>
      <c r="I762" s="8" t="str">
        <f t="shared" si="81"/>
        <v/>
      </c>
    </row>
    <row r="763" spans="1:9" x14ac:dyDescent="0.2">
      <c r="A763" s="5">
        <v>762</v>
      </c>
      <c r="B763" s="6">
        <v>2.9085649999999998</v>
      </c>
      <c r="C763" s="6">
        <f t="shared" si="77"/>
        <v>2.8175649999999997</v>
      </c>
      <c r="D763" s="6">
        <f t="shared" si="78"/>
        <v>2146.9845299999997</v>
      </c>
      <c r="E763" s="6">
        <f t="shared" si="82"/>
        <v>716.26378649999981</v>
      </c>
      <c r="F763" s="6">
        <f t="shared" si="83"/>
        <v>-3.4800000000001496E-4</v>
      </c>
      <c r="G763" s="6">
        <f t="shared" si="79"/>
        <v>-675.82080199393351</v>
      </c>
      <c r="H763" s="7">
        <f t="shared" si="80"/>
        <v>-1.341911137944347E-12</v>
      </c>
      <c r="I763" s="8" t="str">
        <f t="shared" si="81"/>
        <v/>
      </c>
    </row>
    <row r="764" spans="1:9" x14ac:dyDescent="0.2">
      <c r="A764" s="5">
        <v>763</v>
      </c>
      <c r="B764" s="6">
        <v>2.9082319999999999</v>
      </c>
      <c r="C764" s="6">
        <f t="shared" si="77"/>
        <v>2.8172319999999997</v>
      </c>
      <c r="D764" s="6">
        <f t="shared" si="78"/>
        <v>2149.5480159999997</v>
      </c>
      <c r="E764" s="6">
        <f t="shared" si="82"/>
        <v>719.08118499999978</v>
      </c>
      <c r="F764" s="6">
        <f t="shared" si="83"/>
        <v>3.5500000000010523E-4</v>
      </c>
      <c r="G764" s="6">
        <f t="shared" si="79"/>
        <v>-675.82574833533579</v>
      </c>
      <c r="H764" s="7">
        <f t="shared" si="80"/>
        <v>1.3154605461252724E-12</v>
      </c>
      <c r="I764" s="8" t="str">
        <f t="shared" si="81"/>
        <v/>
      </c>
    </row>
    <row r="765" spans="1:9" x14ac:dyDescent="0.2">
      <c r="A765" s="5">
        <v>764</v>
      </c>
      <c r="B765" s="6">
        <v>2.9092750000000001</v>
      </c>
      <c r="C765" s="6">
        <f t="shared" si="77"/>
        <v>2.8182749999999999</v>
      </c>
      <c r="D765" s="6">
        <f t="shared" si="78"/>
        <v>2153.1621</v>
      </c>
      <c r="E765" s="6">
        <f t="shared" si="82"/>
        <v>721.89893849999976</v>
      </c>
      <c r="F765" s="6">
        <f t="shared" si="83"/>
        <v>5.3600000000009196E-4</v>
      </c>
      <c r="G765" s="6">
        <f t="shared" si="79"/>
        <v>-675.80921274049331</v>
      </c>
      <c r="H765" s="7">
        <f t="shared" si="80"/>
        <v>8.7122587304508934E-13</v>
      </c>
      <c r="I765" s="8" t="str">
        <f t="shared" si="81"/>
        <v/>
      </c>
    </row>
    <row r="766" spans="1:9" x14ac:dyDescent="0.2">
      <c r="A766" s="5">
        <v>765</v>
      </c>
      <c r="B766" s="6">
        <v>2.9093040000000001</v>
      </c>
      <c r="C766" s="6">
        <f t="shared" si="77"/>
        <v>2.8183039999999999</v>
      </c>
      <c r="D766" s="6">
        <f t="shared" si="78"/>
        <v>2156.0025599999999</v>
      </c>
      <c r="E766" s="6">
        <f t="shared" si="82"/>
        <v>724.71722799999975</v>
      </c>
      <c r="F766" s="6">
        <f t="shared" si="83"/>
        <v>4.5650000000008184E-4</v>
      </c>
      <c r="G766" s="6">
        <f t="shared" si="79"/>
        <v>-675.80872397802875</v>
      </c>
      <c r="H766" s="7">
        <f t="shared" si="80"/>
        <v>1.0229501209691889E-12</v>
      </c>
      <c r="I766" s="8" t="str">
        <f t="shared" si="81"/>
        <v/>
      </c>
    </row>
    <row r="767" spans="1:9" x14ac:dyDescent="0.2">
      <c r="A767" s="5">
        <v>766</v>
      </c>
      <c r="B767" s="6">
        <v>2.9101880000000002</v>
      </c>
      <c r="C767" s="6">
        <f t="shared" si="77"/>
        <v>2.819188</v>
      </c>
      <c r="D767" s="6">
        <f t="shared" si="78"/>
        <v>2159.498008</v>
      </c>
      <c r="E767" s="6">
        <f t="shared" si="82"/>
        <v>727.53597399999978</v>
      </c>
      <c r="F767" s="6">
        <f t="shared" si="83"/>
        <v>5.579999999998364E-4</v>
      </c>
      <c r="G767" s="6">
        <f t="shared" si="79"/>
        <v>-675.79294114980189</v>
      </c>
      <c r="H767" s="7">
        <f t="shared" si="80"/>
        <v>8.3685631622601853E-13</v>
      </c>
      <c r="I767" s="8" t="str">
        <f t="shared" si="81"/>
        <v/>
      </c>
    </row>
    <row r="768" spans="1:9" x14ac:dyDescent="0.2">
      <c r="A768" s="5">
        <v>767</v>
      </c>
      <c r="B768" s="6">
        <v>2.9104199999999998</v>
      </c>
      <c r="C768" s="6">
        <f t="shared" si="77"/>
        <v>2.8194199999999996</v>
      </c>
      <c r="D768" s="6">
        <f t="shared" si="78"/>
        <v>2162.4951399999995</v>
      </c>
      <c r="E768" s="6">
        <f t="shared" si="82"/>
        <v>730.35527799999977</v>
      </c>
      <c r="F768" s="6">
        <f t="shared" si="83"/>
        <v>1.3799999999997148E-4</v>
      </c>
      <c r="G768" s="6">
        <f t="shared" si="79"/>
        <v>-675.78856705008616</v>
      </c>
      <c r="H768" s="7">
        <f t="shared" si="80"/>
        <v>3.3837884202689542E-12</v>
      </c>
      <c r="I768" s="8" t="str">
        <f t="shared" si="81"/>
        <v/>
      </c>
    </row>
    <row r="769" spans="1:9" x14ac:dyDescent="0.2">
      <c r="A769" s="5">
        <v>768</v>
      </c>
      <c r="B769" s="6">
        <v>2.9104640000000002</v>
      </c>
      <c r="C769" s="6">
        <f t="shared" si="77"/>
        <v>2.819464</v>
      </c>
      <c r="D769" s="6">
        <f t="shared" si="78"/>
        <v>2165.348352</v>
      </c>
      <c r="E769" s="6">
        <f t="shared" si="82"/>
        <v>733.17471999999975</v>
      </c>
      <c r="F769" s="6">
        <f t="shared" si="83"/>
        <v>2.6850000000000485E-4</v>
      </c>
      <c r="G769" s="6">
        <f t="shared" si="79"/>
        <v>-675.78769347945035</v>
      </c>
      <c r="H769" s="7">
        <f t="shared" si="80"/>
        <v>1.7391515767928362E-12</v>
      </c>
      <c r="I769" s="8" t="str">
        <f t="shared" si="81"/>
        <v/>
      </c>
    </row>
    <row r="770" spans="1:9" x14ac:dyDescent="0.2">
      <c r="A770" s="5">
        <v>769</v>
      </c>
      <c r="B770" s="6">
        <v>2.9109569999999998</v>
      </c>
      <c r="C770" s="6">
        <f t="shared" ref="C770:C833" si="84">B770-$B$2</f>
        <v>2.8199569999999996</v>
      </c>
      <c r="D770" s="6">
        <f t="shared" ref="D770:D833" si="85">A770*C770</f>
        <v>2168.5469329999996</v>
      </c>
      <c r="E770" s="6">
        <f t="shared" si="82"/>
        <v>735.99443049999979</v>
      </c>
      <c r="F770" s="6">
        <f t="shared" si="83"/>
        <v>4.7099999999988817E-4</v>
      </c>
      <c r="G770" s="6">
        <f t="shared" ref="G770:G833" si="86">(A770-$L$5)*C770-E770</f>
        <v>-675.77741251755469</v>
      </c>
      <c r="H770" s="7">
        <f t="shared" ref="H770:H833" si="87">IF(ABS(F770)&lt;0.000000001,"",-(G770)/(2*$L$4*F770)*0.000000000001)</f>
        <v>9.9141208987751025E-13</v>
      </c>
      <c r="I770" s="8" t="str">
        <f t="shared" ref="I770:I833" si="88">IF(AND(B770&gt;=0.5,B770&lt;=2.5,ISNUMBER(H770),H770&gt;0),H770,"")</f>
        <v/>
      </c>
    </row>
    <row r="771" spans="1:9" x14ac:dyDescent="0.2">
      <c r="A771" s="5">
        <v>770</v>
      </c>
      <c r="B771" s="6">
        <v>2.9114059999999999</v>
      </c>
      <c r="C771" s="6">
        <f t="shared" si="84"/>
        <v>2.8204059999999997</v>
      </c>
      <c r="D771" s="6">
        <f t="shared" si="85"/>
        <v>2171.7126199999998</v>
      </c>
      <c r="E771" s="6">
        <f t="shared" ref="E771:E834" si="89">E770+(C770+C771)/2*(A771-A770)</f>
        <v>738.81461199999978</v>
      </c>
      <c r="F771" s="6">
        <f t="shared" ref="F771:F834" si="90">(B772-B770)/(A772-A770)</f>
        <v>-5.364999999999398E-4</v>
      </c>
      <c r="G771" s="6">
        <f t="shared" si="86"/>
        <v>-675.7676001262945</v>
      </c>
      <c r="H771" s="7">
        <f t="shared" si="87"/>
        <v>-8.7036032446029456E-13</v>
      </c>
      <c r="I771" s="8" t="str">
        <f t="shared" si="88"/>
        <v/>
      </c>
    </row>
    <row r="772" spans="1:9" x14ac:dyDescent="0.2">
      <c r="A772" s="5">
        <v>771</v>
      </c>
      <c r="B772" s="6">
        <v>2.9098839999999999</v>
      </c>
      <c r="C772" s="6">
        <f t="shared" si="84"/>
        <v>2.8188839999999997</v>
      </c>
      <c r="D772" s="6">
        <f t="shared" si="85"/>
        <v>2173.3595639999999</v>
      </c>
      <c r="E772" s="6">
        <f t="shared" si="89"/>
        <v>741.63425699999982</v>
      </c>
      <c r="F772" s="6">
        <f t="shared" si="90"/>
        <v>-7.6799999999987989E-4</v>
      </c>
      <c r="G772" s="6">
        <f t="shared" si="86"/>
        <v>-675.80238372873964</v>
      </c>
      <c r="H772" s="7">
        <f t="shared" si="87"/>
        <v>-6.0803691299078734E-13</v>
      </c>
      <c r="I772" s="8" t="str">
        <f t="shared" si="88"/>
        <v/>
      </c>
    </row>
    <row r="773" spans="1:9" x14ac:dyDescent="0.2">
      <c r="A773" s="5">
        <v>772</v>
      </c>
      <c r="B773" s="6">
        <v>2.9098700000000002</v>
      </c>
      <c r="C773" s="6">
        <f t="shared" si="84"/>
        <v>2.81887</v>
      </c>
      <c r="D773" s="6">
        <f t="shared" si="85"/>
        <v>2176.1676400000001</v>
      </c>
      <c r="E773" s="6">
        <f t="shared" si="89"/>
        <v>744.45313399999986</v>
      </c>
      <c r="F773" s="6">
        <f t="shared" si="90"/>
        <v>-1.2299999999987321E-4</v>
      </c>
      <c r="G773" s="6">
        <f t="shared" si="86"/>
        <v>-675.80271768303294</v>
      </c>
      <c r="H773" s="7">
        <f t="shared" si="87"/>
        <v>-3.7965250401320493E-12</v>
      </c>
      <c r="I773" s="8" t="str">
        <f t="shared" si="88"/>
        <v/>
      </c>
    </row>
    <row r="774" spans="1:9" x14ac:dyDescent="0.2">
      <c r="A774" s="5">
        <v>773</v>
      </c>
      <c r="B774" s="6">
        <v>2.9096380000000002</v>
      </c>
      <c r="C774" s="6">
        <f t="shared" si="84"/>
        <v>2.818638</v>
      </c>
      <c r="D774" s="6">
        <f t="shared" si="85"/>
        <v>2178.807174</v>
      </c>
      <c r="E774" s="6">
        <f t="shared" si="89"/>
        <v>747.27188799999988</v>
      </c>
      <c r="F774" s="6">
        <f t="shared" si="90"/>
        <v>-2.3200000000000998E-4</v>
      </c>
      <c r="G774" s="6">
        <f t="shared" si="86"/>
        <v>-675.80848378274857</v>
      </c>
      <c r="H774" s="7">
        <f t="shared" si="87"/>
        <v>-2.0128300183193211E-12</v>
      </c>
      <c r="I774" s="8" t="str">
        <f t="shared" si="88"/>
        <v/>
      </c>
    </row>
    <row r="775" spans="1:9" x14ac:dyDescent="0.2">
      <c r="A775" s="5">
        <v>774</v>
      </c>
      <c r="B775" s="6">
        <v>2.9094060000000002</v>
      </c>
      <c r="C775" s="6">
        <f t="shared" si="84"/>
        <v>2.818406</v>
      </c>
      <c r="D775" s="6">
        <f t="shared" si="85"/>
        <v>2181.4462439999998</v>
      </c>
      <c r="E775" s="6">
        <f t="shared" si="89"/>
        <v>750.09040999999991</v>
      </c>
      <c r="F775" s="6">
        <f t="shared" si="90"/>
        <v>2.7500000000002522E-4</v>
      </c>
      <c r="G775" s="6">
        <f t="shared" si="86"/>
        <v>-675.81448188246429</v>
      </c>
      <c r="H775" s="7">
        <f t="shared" si="87"/>
        <v>1.6981116686326002E-12</v>
      </c>
      <c r="I775" s="8" t="str">
        <f t="shared" si="88"/>
        <v/>
      </c>
    </row>
    <row r="776" spans="1:9" x14ac:dyDescent="0.2">
      <c r="A776" s="5">
        <v>775</v>
      </c>
      <c r="B776" s="6">
        <v>2.9101880000000002</v>
      </c>
      <c r="C776" s="6">
        <f t="shared" si="84"/>
        <v>2.819188</v>
      </c>
      <c r="D776" s="6">
        <f t="shared" si="85"/>
        <v>2184.8706999999999</v>
      </c>
      <c r="E776" s="6">
        <f t="shared" si="89"/>
        <v>752.90920699999992</v>
      </c>
      <c r="F776" s="6">
        <f t="shared" si="90"/>
        <v>1.0359999999998148E-3</v>
      </c>
      <c r="G776" s="6">
        <f t="shared" si="86"/>
        <v>-675.793482149802</v>
      </c>
      <c r="H776" s="7">
        <f t="shared" si="87"/>
        <v>4.5073957362874781E-13</v>
      </c>
      <c r="I776" s="8" t="str">
        <f t="shared" si="88"/>
        <v/>
      </c>
    </row>
    <row r="777" spans="1:9" x14ac:dyDescent="0.2">
      <c r="A777" s="5">
        <v>776</v>
      </c>
      <c r="B777" s="6">
        <v>2.9114779999999998</v>
      </c>
      <c r="C777" s="6">
        <f t="shared" si="84"/>
        <v>2.8204779999999996</v>
      </c>
      <c r="D777" s="6">
        <f t="shared" si="85"/>
        <v>2188.6909279999995</v>
      </c>
      <c r="E777" s="6">
        <f t="shared" si="89"/>
        <v>755.72903999999994</v>
      </c>
      <c r="F777" s="6">
        <f t="shared" si="90"/>
        <v>1.0654999999999415E-3</v>
      </c>
      <c r="G777" s="6">
        <f t="shared" si="86"/>
        <v>-675.75755064707255</v>
      </c>
      <c r="H777" s="7">
        <f t="shared" si="87"/>
        <v>4.3823685592522666E-13</v>
      </c>
      <c r="I777" s="8" t="str">
        <f t="shared" si="88"/>
        <v/>
      </c>
    </row>
    <row r="778" spans="1:9" x14ac:dyDescent="0.2">
      <c r="A778" s="5">
        <v>777</v>
      </c>
      <c r="B778" s="6">
        <v>2.9123190000000001</v>
      </c>
      <c r="C778" s="6">
        <f t="shared" si="84"/>
        <v>2.8213189999999999</v>
      </c>
      <c r="D778" s="6">
        <f t="shared" si="85"/>
        <v>2192.164863</v>
      </c>
      <c r="E778" s="6">
        <f t="shared" si="89"/>
        <v>758.54993849999994</v>
      </c>
      <c r="F778" s="6">
        <f t="shared" si="90"/>
        <v>1.2175000000000935E-3</v>
      </c>
      <c r="G778" s="6">
        <f t="shared" si="86"/>
        <v>-675.73328453560327</v>
      </c>
      <c r="H778" s="7">
        <f t="shared" si="87"/>
        <v>3.8351096703089125E-13</v>
      </c>
      <c r="I778" s="8" t="str">
        <f t="shared" si="88"/>
        <v/>
      </c>
    </row>
    <row r="779" spans="1:9" x14ac:dyDescent="0.2">
      <c r="A779" s="5">
        <v>778</v>
      </c>
      <c r="B779" s="6">
        <v>2.913913</v>
      </c>
      <c r="C779" s="6">
        <f t="shared" si="84"/>
        <v>2.8229129999999998</v>
      </c>
      <c r="D779" s="6">
        <f t="shared" si="85"/>
        <v>2196.226314</v>
      </c>
      <c r="E779" s="6">
        <f t="shared" si="89"/>
        <v>761.37205449999999</v>
      </c>
      <c r="F779" s="6">
        <f t="shared" si="90"/>
        <v>9.63499999999895E-4</v>
      </c>
      <c r="G779" s="6">
        <f t="shared" si="86"/>
        <v>-675.68569745393609</v>
      </c>
      <c r="H779" s="7">
        <f t="shared" si="87"/>
        <v>4.8457884814382345E-13</v>
      </c>
      <c r="I779" s="8" t="str">
        <f t="shared" si="88"/>
        <v/>
      </c>
    </row>
    <row r="780" spans="1:9" x14ac:dyDescent="0.2">
      <c r="A780" s="5">
        <v>779</v>
      </c>
      <c r="B780" s="6">
        <v>2.9142459999999999</v>
      </c>
      <c r="C780" s="6">
        <f t="shared" si="84"/>
        <v>2.8232459999999997</v>
      </c>
      <c r="D780" s="6">
        <f t="shared" si="85"/>
        <v>2199.308634</v>
      </c>
      <c r="E780" s="6">
        <f t="shared" si="89"/>
        <v>764.19513399999994</v>
      </c>
      <c r="F780" s="6">
        <f t="shared" si="90"/>
        <v>9.3499999999990813E-4</v>
      </c>
      <c r="G780" s="6">
        <f t="shared" si="86"/>
        <v>-675.67542311253385</v>
      </c>
      <c r="H780" s="7">
        <f t="shared" si="87"/>
        <v>4.993418403471356E-13</v>
      </c>
      <c r="I780" s="8" t="str">
        <f t="shared" si="88"/>
        <v/>
      </c>
    </row>
    <row r="781" spans="1:9" x14ac:dyDescent="0.2">
      <c r="A781" s="5">
        <v>780</v>
      </c>
      <c r="B781" s="6">
        <v>2.9157829999999998</v>
      </c>
      <c r="C781" s="6">
        <f t="shared" si="84"/>
        <v>2.8247829999999996</v>
      </c>
      <c r="D781" s="6">
        <f t="shared" si="85"/>
        <v>2203.3307399999999</v>
      </c>
      <c r="E781" s="6">
        <f t="shared" si="89"/>
        <v>767.01914849999991</v>
      </c>
      <c r="F781" s="6">
        <f t="shared" si="90"/>
        <v>6.3800000000013846E-4</v>
      </c>
      <c r="G781" s="6">
        <f t="shared" si="86"/>
        <v>-675.62646370191737</v>
      </c>
      <c r="H781" s="7">
        <f t="shared" si="87"/>
        <v>7.317410506048766E-13</v>
      </c>
      <c r="I781" s="8" t="str">
        <f t="shared" si="88"/>
        <v/>
      </c>
    </row>
    <row r="782" spans="1:9" x14ac:dyDescent="0.2">
      <c r="A782" s="5">
        <v>781</v>
      </c>
      <c r="B782" s="6">
        <v>2.9155220000000002</v>
      </c>
      <c r="C782" s="6">
        <f t="shared" si="84"/>
        <v>2.824522</v>
      </c>
      <c r="D782" s="6">
        <f t="shared" si="85"/>
        <v>2205.9516819999999</v>
      </c>
      <c r="E782" s="6">
        <f t="shared" si="89"/>
        <v>769.84380099999987</v>
      </c>
      <c r="F782" s="6">
        <f t="shared" si="90"/>
        <v>9.200000000000319E-4</v>
      </c>
      <c r="G782" s="6">
        <f t="shared" si="86"/>
        <v>-675.6350385640975</v>
      </c>
      <c r="H782" s="7">
        <f t="shared" si="87"/>
        <v>5.0745295154967472E-13</v>
      </c>
      <c r="I782" s="8" t="str">
        <f t="shared" si="88"/>
        <v/>
      </c>
    </row>
    <row r="783" spans="1:9" x14ac:dyDescent="0.2">
      <c r="A783" s="5">
        <v>782</v>
      </c>
      <c r="B783" s="6">
        <v>2.9176229999999999</v>
      </c>
      <c r="C783" s="6">
        <f t="shared" si="84"/>
        <v>2.8266229999999997</v>
      </c>
      <c r="D783" s="6">
        <f t="shared" si="85"/>
        <v>2210.4191859999996</v>
      </c>
      <c r="E783" s="6">
        <f t="shared" si="89"/>
        <v>772.66937349999989</v>
      </c>
      <c r="F783" s="6">
        <f t="shared" si="90"/>
        <v>1.9489999999999785E-3</v>
      </c>
      <c r="G783" s="6">
        <f t="shared" si="86"/>
        <v>-675.56391156624136</v>
      </c>
      <c r="H783" s="7">
        <f t="shared" si="87"/>
        <v>2.3951132243060709E-13</v>
      </c>
      <c r="I783" s="8" t="str">
        <f t="shared" si="88"/>
        <v/>
      </c>
    </row>
    <row r="784" spans="1:9" x14ac:dyDescent="0.2">
      <c r="A784" s="5">
        <v>783</v>
      </c>
      <c r="B784" s="6">
        <v>2.9194200000000001</v>
      </c>
      <c r="C784" s="6">
        <f t="shared" si="84"/>
        <v>2.8284199999999999</v>
      </c>
      <c r="D784" s="6">
        <f t="shared" si="85"/>
        <v>2214.6528600000001</v>
      </c>
      <c r="E784" s="6">
        <f t="shared" si="89"/>
        <v>775.49689499999988</v>
      </c>
      <c r="F784" s="6">
        <f t="shared" si="90"/>
        <v>2.9699999999999172E-4</v>
      </c>
      <c r="G784" s="6">
        <f t="shared" si="86"/>
        <v>-675.50127914732286</v>
      </c>
      <c r="H784" s="7">
        <f t="shared" si="87"/>
        <v>1.5715969329078088E-12</v>
      </c>
      <c r="I784" s="8" t="str">
        <f t="shared" si="88"/>
        <v/>
      </c>
    </row>
    <row r="785" spans="1:9" x14ac:dyDescent="0.2">
      <c r="A785" s="5">
        <v>784</v>
      </c>
      <c r="B785" s="6">
        <v>2.9182169999999998</v>
      </c>
      <c r="C785" s="6">
        <f t="shared" si="84"/>
        <v>2.8272169999999996</v>
      </c>
      <c r="D785" s="6">
        <f t="shared" si="85"/>
        <v>2216.5381279999997</v>
      </c>
      <c r="E785" s="6">
        <f t="shared" si="89"/>
        <v>778.32471349999992</v>
      </c>
      <c r="F785" s="6">
        <f t="shared" si="90"/>
        <v>4.7099999999988817E-4</v>
      </c>
      <c r="G785" s="6">
        <f t="shared" si="86"/>
        <v>-675.54441136265893</v>
      </c>
      <c r="H785" s="7">
        <f t="shared" si="87"/>
        <v>9.9107026110720767E-13</v>
      </c>
      <c r="I785" s="8" t="str">
        <f t="shared" si="88"/>
        <v/>
      </c>
    </row>
    <row r="786" spans="1:9" x14ac:dyDescent="0.2">
      <c r="A786" s="5">
        <v>785</v>
      </c>
      <c r="B786" s="6">
        <v>2.9203619999999999</v>
      </c>
      <c r="C786" s="6">
        <f t="shared" si="84"/>
        <v>2.8293619999999997</v>
      </c>
      <c r="D786" s="6">
        <f t="shared" si="85"/>
        <v>2221.0491699999998</v>
      </c>
      <c r="E786" s="6">
        <f t="shared" si="89"/>
        <v>781.1530029999999</v>
      </c>
      <c r="F786" s="6">
        <f t="shared" si="90"/>
        <v>1.3045000000000417E-3</v>
      </c>
      <c r="G786" s="6">
        <f t="shared" si="86"/>
        <v>-675.46535979416694</v>
      </c>
      <c r="H786" s="7">
        <f t="shared" si="87"/>
        <v>3.5779185065375465E-13</v>
      </c>
      <c r="I786" s="8" t="str">
        <f t="shared" si="88"/>
        <v/>
      </c>
    </row>
    <row r="787" spans="1:9" x14ac:dyDescent="0.2">
      <c r="A787" s="5">
        <v>786</v>
      </c>
      <c r="B787" s="6">
        <v>2.9208259999999999</v>
      </c>
      <c r="C787" s="6">
        <f t="shared" si="84"/>
        <v>2.8298259999999997</v>
      </c>
      <c r="D787" s="6">
        <f t="shared" si="85"/>
        <v>2224.2432359999998</v>
      </c>
      <c r="E787" s="6">
        <f t="shared" si="89"/>
        <v>783.98259699999994</v>
      </c>
      <c r="F787" s="6">
        <f t="shared" si="90"/>
        <v>9.7849999999999326E-4</v>
      </c>
      <c r="G787" s="6">
        <f t="shared" si="86"/>
        <v>-675.44779559473568</v>
      </c>
      <c r="H787" s="7">
        <f t="shared" si="87"/>
        <v>4.7698245528922998E-13</v>
      </c>
      <c r="I787" s="8" t="str">
        <f t="shared" si="88"/>
        <v/>
      </c>
    </row>
    <row r="788" spans="1:9" x14ac:dyDescent="0.2">
      <c r="A788" s="5">
        <v>787</v>
      </c>
      <c r="B788" s="6">
        <v>2.9223189999999999</v>
      </c>
      <c r="C788" s="6">
        <f t="shared" si="84"/>
        <v>2.8313189999999997</v>
      </c>
      <c r="D788" s="6">
        <f t="shared" si="85"/>
        <v>2228.2480529999998</v>
      </c>
      <c r="E788" s="6">
        <f t="shared" si="89"/>
        <v>786.81316949999996</v>
      </c>
      <c r="F788" s="6">
        <f t="shared" si="90"/>
        <v>1.2970000000001036E-3</v>
      </c>
      <c r="G788" s="6">
        <f t="shared" si="86"/>
        <v>-675.38978675475505</v>
      </c>
      <c r="H788" s="7">
        <f t="shared" si="87"/>
        <v>3.598205466471192E-13</v>
      </c>
      <c r="I788" s="8" t="str">
        <f t="shared" si="88"/>
        <v/>
      </c>
    </row>
    <row r="789" spans="1:9" x14ac:dyDescent="0.2">
      <c r="A789" s="5">
        <v>788</v>
      </c>
      <c r="B789" s="6">
        <v>2.9234200000000001</v>
      </c>
      <c r="C789" s="6">
        <f t="shared" si="84"/>
        <v>2.8324199999999999</v>
      </c>
      <c r="D789" s="6">
        <f t="shared" si="85"/>
        <v>2231.9469599999998</v>
      </c>
      <c r="E789" s="6">
        <f t="shared" si="89"/>
        <v>789.645039</v>
      </c>
      <c r="F789" s="6">
        <f t="shared" si="90"/>
        <v>-3.649999999999487E-5</v>
      </c>
      <c r="G789" s="6">
        <f t="shared" si="86"/>
        <v>-675.34590763498363</v>
      </c>
      <c r="H789" s="7">
        <f t="shared" si="87"/>
        <v>-1.2785121342205989E-11</v>
      </c>
      <c r="I789" s="8" t="str">
        <f t="shared" si="88"/>
        <v/>
      </c>
    </row>
    <row r="790" spans="1:9" x14ac:dyDescent="0.2">
      <c r="A790" s="5">
        <v>789</v>
      </c>
      <c r="B790" s="6">
        <v>2.9222459999999999</v>
      </c>
      <c r="C790" s="6">
        <f t="shared" si="84"/>
        <v>2.8312459999999997</v>
      </c>
      <c r="D790" s="6">
        <f t="shared" si="85"/>
        <v>2233.8530939999996</v>
      </c>
      <c r="E790" s="6">
        <f t="shared" si="89"/>
        <v>792.47687199999996</v>
      </c>
      <c r="F790" s="6">
        <f t="shared" si="90"/>
        <v>-1.2170000000000236E-3</v>
      </c>
      <c r="G790" s="6">
        <f t="shared" si="86"/>
        <v>-675.39387008785525</v>
      </c>
      <c r="H790" s="7">
        <f t="shared" si="87"/>
        <v>-3.8347581802927417E-13</v>
      </c>
      <c r="I790" s="8" t="str">
        <f t="shared" si="88"/>
        <v/>
      </c>
    </row>
    <row r="791" spans="1:9" x14ac:dyDescent="0.2">
      <c r="A791" s="5">
        <v>790</v>
      </c>
      <c r="B791" s="6">
        <v>2.9209860000000001</v>
      </c>
      <c r="C791" s="6">
        <f t="shared" si="84"/>
        <v>2.8299859999999999</v>
      </c>
      <c r="D791" s="6">
        <f t="shared" si="85"/>
        <v>2235.68894</v>
      </c>
      <c r="E791" s="6">
        <f t="shared" si="89"/>
        <v>795.30748799999992</v>
      </c>
      <c r="F791" s="6">
        <f t="shared" si="90"/>
        <v>5.8000000000113516E-5</v>
      </c>
      <c r="G791" s="6">
        <f t="shared" si="86"/>
        <v>-675.44660597424206</v>
      </c>
      <c r="H791" s="7">
        <f t="shared" si="87"/>
        <v>8.0470088014539373E-12</v>
      </c>
      <c r="I791" s="8" t="str">
        <f t="shared" si="88"/>
        <v/>
      </c>
    </row>
    <row r="792" spans="1:9" x14ac:dyDescent="0.2">
      <c r="A792" s="5">
        <v>791</v>
      </c>
      <c r="B792" s="6">
        <v>2.9223620000000001</v>
      </c>
      <c r="C792" s="6">
        <f t="shared" si="84"/>
        <v>2.8313619999999999</v>
      </c>
      <c r="D792" s="6">
        <f t="shared" si="85"/>
        <v>2239.6073419999998</v>
      </c>
      <c r="E792" s="6">
        <f t="shared" si="89"/>
        <v>798.13816199999997</v>
      </c>
      <c r="F792" s="6">
        <f t="shared" si="90"/>
        <v>1.154999999999351E-4</v>
      </c>
      <c r="G792" s="6">
        <f t="shared" si="86"/>
        <v>-675.38763903799736</v>
      </c>
      <c r="H792" s="7">
        <f t="shared" si="87"/>
        <v>4.0405693935228669E-12</v>
      </c>
      <c r="I792" s="8" t="str">
        <f t="shared" si="88"/>
        <v/>
      </c>
    </row>
    <row r="793" spans="1:9" x14ac:dyDescent="0.2">
      <c r="A793" s="5">
        <v>792</v>
      </c>
      <c r="B793" s="6">
        <v>2.921217</v>
      </c>
      <c r="C793" s="6">
        <f t="shared" si="84"/>
        <v>2.8302169999999998</v>
      </c>
      <c r="D793" s="6">
        <f t="shared" si="85"/>
        <v>2241.5318639999996</v>
      </c>
      <c r="E793" s="6">
        <f t="shared" si="89"/>
        <v>800.9689515</v>
      </c>
      <c r="F793" s="6">
        <f t="shared" si="90"/>
        <v>-1.5200000000015201E-4</v>
      </c>
      <c r="G793" s="6">
        <f t="shared" si="86"/>
        <v>-675.43785172840455</v>
      </c>
      <c r="H793" s="7">
        <f t="shared" si="87"/>
        <v>-3.0705293512687342E-12</v>
      </c>
      <c r="I793" s="8" t="str">
        <f t="shared" si="88"/>
        <v/>
      </c>
    </row>
    <row r="794" spans="1:9" x14ac:dyDescent="0.2">
      <c r="A794" s="5">
        <v>793</v>
      </c>
      <c r="B794" s="6">
        <v>2.9220579999999998</v>
      </c>
      <c r="C794" s="6">
        <f t="shared" si="84"/>
        <v>2.8310579999999996</v>
      </c>
      <c r="D794" s="6">
        <f t="shared" si="85"/>
        <v>2245.0289939999998</v>
      </c>
      <c r="E794" s="6">
        <f t="shared" si="89"/>
        <v>803.79958899999997</v>
      </c>
      <c r="F794" s="6">
        <f t="shared" si="90"/>
        <v>1.1669999999999181E-3</v>
      </c>
      <c r="G794" s="6">
        <f t="shared" si="86"/>
        <v>-675.40012961693515</v>
      </c>
      <c r="H794" s="7">
        <f t="shared" si="87"/>
        <v>3.9990950797816506E-13</v>
      </c>
      <c r="I794" s="8" t="str">
        <f t="shared" si="88"/>
        <v/>
      </c>
    </row>
    <row r="795" spans="1:9" x14ac:dyDescent="0.2">
      <c r="A795" s="5">
        <v>794</v>
      </c>
      <c r="B795" s="6">
        <v>2.9235509999999998</v>
      </c>
      <c r="C795" s="6">
        <f t="shared" si="84"/>
        <v>2.8325509999999996</v>
      </c>
      <c r="D795" s="6">
        <f t="shared" si="85"/>
        <v>2249.0454939999995</v>
      </c>
      <c r="E795" s="6">
        <f t="shared" si="89"/>
        <v>806.63139349999994</v>
      </c>
      <c r="F795" s="6">
        <f t="shared" si="90"/>
        <v>1.5580000000001704E-3</v>
      </c>
      <c r="G795" s="6">
        <f t="shared" si="86"/>
        <v>-675.33166977695453</v>
      </c>
      <c r="H795" s="7">
        <f t="shared" si="87"/>
        <v>2.9951674632865514E-13</v>
      </c>
      <c r="I795" s="8" t="str">
        <f t="shared" si="88"/>
        <v/>
      </c>
    </row>
    <row r="796" spans="1:9" x14ac:dyDescent="0.2">
      <c r="A796" s="5">
        <v>795</v>
      </c>
      <c r="B796" s="6">
        <v>2.9251740000000002</v>
      </c>
      <c r="C796" s="6">
        <f t="shared" si="84"/>
        <v>2.834174</v>
      </c>
      <c r="D796" s="6">
        <f t="shared" si="85"/>
        <v>2253.16833</v>
      </c>
      <c r="E796" s="6">
        <f t="shared" si="89"/>
        <v>809.46475599999997</v>
      </c>
      <c r="F796" s="6">
        <f t="shared" si="90"/>
        <v>2.203000000000177E-3</v>
      </c>
      <c r="G796" s="6">
        <f t="shared" si="86"/>
        <v>-675.25562593282291</v>
      </c>
      <c r="H796" s="7">
        <f t="shared" si="87"/>
        <v>2.1179961202108708E-13</v>
      </c>
      <c r="I796" s="8" t="str">
        <f t="shared" si="88"/>
        <v/>
      </c>
    </row>
    <row r="797" spans="1:9" x14ac:dyDescent="0.2">
      <c r="A797" s="5">
        <v>796</v>
      </c>
      <c r="B797" s="6">
        <v>2.9279570000000001</v>
      </c>
      <c r="C797" s="6">
        <f t="shared" si="84"/>
        <v>2.836957</v>
      </c>
      <c r="D797" s="6">
        <f t="shared" si="85"/>
        <v>2258.217772</v>
      </c>
      <c r="E797" s="6">
        <f t="shared" si="89"/>
        <v>812.3003215</v>
      </c>
      <c r="F797" s="6">
        <f t="shared" si="90"/>
        <v>1.8404999999999117E-3</v>
      </c>
      <c r="G797" s="6">
        <f t="shared" si="86"/>
        <v>-675.12244859011287</v>
      </c>
      <c r="H797" s="7">
        <f t="shared" si="87"/>
        <v>2.5346510249251241E-13</v>
      </c>
      <c r="I797" s="8" t="str">
        <f t="shared" si="88"/>
        <v/>
      </c>
    </row>
    <row r="798" spans="1:9" x14ac:dyDescent="0.2">
      <c r="A798" s="5">
        <v>797</v>
      </c>
      <c r="B798" s="6">
        <v>2.928855</v>
      </c>
      <c r="C798" s="6">
        <f t="shared" si="84"/>
        <v>2.8378549999999998</v>
      </c>
      <c r="D798" s="6">
        <f t="shared" si="85"/>
        <v>2261.7704349999999</v>
      </c>
      <c r="E798" s="6">
        <f t="shared" si="89"/>
        <v>815.13772749999998</v>
      </c>
      <c r="F798" s="6">
        <f t="shared" si="90"/>
        <v>1.0939999999999284E-3</v>
      </c>
      <c r="G798" s="6">
        <f t="shared" si="86"/>
        <v>-675.07857780759264</v>
      </c>
      <c r="H798" s="7">
        <f t="shared" si="87"/>
        <v>4.2639141397397842E-13</v>
      </c>
      <c r="I798" s="8" t="str">
        <f t="shared" si="88"/>
        <v/>
      </c>
    </row>
    <row r="799" spans="1:9" x14ac:dyDescent="0.2">
      <c r="A799" s="5">
        <v>798</v>
      </c>
      <c r="B799" s="6">
        <v>2.930145</v>
      </c>
      <c r="C799" s="6">
        <f t="shared" si="84"/>
        <v>2.8391449999999998</v>
      </c>
      <c r="D799" s="6">
        <f t="shared" si="85"/>
        <v>2265.63771</v>
      </c>
      <c r="E799" s="6">
        <f t="shared" si="89"/>
        <v>817.97622749999994</v>
      </c>
      <c r="F799" s="6">
        <f t="shared" si="90"/>
        <v>8.9849999999991326E-4</v>
      </c>
      <c r="G799" s="6">
        <f t="shared" si="86"/>
        <v>-675.01426630486321</v>
      </c>
      <c r="H799" s="7">
        <f t="shared" si="87"/>
        <v>5.1911827302685266E-13</v>
      </c>
      <c r="I799" s="8" t="str">
        <f t="shared" si="88"/>
        <v/>
      </c>
    </row>
    <row r="800" spans="1:9" x14ac:dyDescent="0.2">
      <c r="A800" s="5">
        <v>799</v>
      </c>
      <c r="B800" s="6">
        <v>2.9306519999999998</v>
      </c>
      <c r="C800" s="6">
        <f t="shared" si="84"/>
        <v>2.8396519999999996</v>
      </c>
      <c r="D800" s="6">
        <f t="shared" si="85"/>
        <v>2268.8819479999997</v>
      </c>
      <c r="E800" s="6">
        <f t="shared" si="89"/>
        <v>820.81562599999995</v>
      </c>
      <c r="F800" s="6">
        <f t="shared" si="90"/>
        <v>1.0069999999999801E-3</v>
      </c>
      <c r="G800" s="6">
        <f t="shared" si="86"/>
        <v>-674.98848338867424</v>
      </c>
      <c r="H800" s="7">
        <f t="shared" si="87"/>
        <v>4.6316777814330063E-13</v>
      </c>
      <c r="I800" s="8" t="str">
        <f t="shared" si="88"/>
        <v/>
      </c>
    </row>
    <row r="801" spans="1:9" x14ac:dyDescent="0.2">
      <c r="A801" s="5">
        <v>800</v>
      </c>
      <c r="B801" s="6">
        <v>2.932159</v>
      </c>
      <c r="C801" s="6">
        <f t="shared" si="84"/>
        <v>2.8411589999999998</v>
      </c>
      <c r="D801" s="6">
        <f t="shared" si="85"/>
        <v>2272.9271999999996</v>
      </c>
      <c r="E801" s="6">
        <f t="shared" si="89"/>
        <v>823.65603149999993</v>
      </c>
      <c r="F801" s="6">
        <f t="shared" si="90"/>
        <v>5.0750000000010509E-4</v>
      </c>
      <c r="G801" s="6">
        <f t="shared" si="86"/>
        <v>-674.91033959440028</v>
      </c>
      <c r="H801" s="7">
        <f t="shared" si="87"/>
        <v>9.1892799221497943E-13</v>
      </c>
      <c r="I801" s="8" t="str">
        <f t="shared" si="88"/>
        <v/>
      </c>
    </row>
    <row r="802" spans="1:9" x14ac:dyDescent="0.2">
      <c r="A802" s="5">
        <v>801</v>
      </c>
      <c r="B802" s="6">
        <v>2.931667</v>
      </c>
      <c r="C802" s="6">
        <f t="shared" si="84"/>
        <v>2.8406669999999998</v>
      </c>
      <c r="D802" s="6">
        <f t="shared" si="85"/>
        <v>2275.3742669999997</v>
      </c>
      <c r="E802" s="6">
        <f t="shared" si="89"/>
        <v>826.49694449999993</v>
      </c>
      <c r="F802" s="6">
        <f t="shared" si="90"/>
        <v>3.409999999999247E-4</v>
      </c>
      <c r="G802" s="6">
        <f t="shared" si="86"/>
        <v>-674.93634370241807</v>
      </c>
      <c r="H802" s="7">
        <f t="shared" si="87"/>
        <v>1.3676654680786502E-12</v>
      </c>
      <c r="I802" s="8" t="str">
        <f t="shared" si="88"/>
        <v/>
      </c>
    </row>
    <row r="803" spans="1:9" x14ac:dyDescent="0.2">
      <c r="A803" s="5">
        <v>802</v>
      </c>
      <c r="B803" s="6">
        <v>2.9328409999999998</v>
      </c>
      <c r="C803" s="6">
        <f t="shared" si="84"/>
        <v>2.8418409999999996</v>
      </c>
      <c r="D803" s="6">
        <f t="shared" si="85"/>
        <v>2279.1564819999999</v>
      </c>
      <c r="E803" s="6">
        <f t="shared" si="89"/>
        <v>829.33819849999998</v>
      </c>
      <c r="F803" s="6">
        <f t="shared" si="90"/>
        <v>1.5950000000009013E-4</v>
      </c>
      <c r="G803" s="6">
        <f t="shared" si="86"/>
        <v>-674.87311924954656</v>
      </c>
      <c r="H803" s="7">
        <f t="shared" si="87"/>
        <v>2.9237005465929025E-12</v>
      </c>
      <c r="I803" s="8" t="str">
        <f t="shared" si="88"/>
        <v/>
      </c>
    </row>
    <row r="804" spans="1:9" x14ac:dyDescent="0.2">
      <c r="A804" s="5">
        <v>803</v>
      </c>
      <c r="B804" s="6">
        <v>2.9319860000000002</v>
      </c>
      <c r="C804" s="6">
        <f t="shared" si="84"/>
        <v>2.840986</v>
      </c>
      <c r="D804" s="6">
        <f t="shared" si="85"/>
        <v>2281.3117579999998</v>
      </c>
      <c r="E804" s="6">
        <f t="shared" si="89"/>
        <v>832.17961200000002</v>
      </c>
      <c r="F804" s="6">
        <f t="shared" si="90"/>
        <v>2.1500000000118646E-5</v>
      </c>
      <c r="G804" s="6">
        <f t="shared" si="86"/>
        <v>-674.9200193153091</v>
      </c>
      <c r="H804" s="7">
        <f t="shared" si="87"/>
        <v>2.1691285796842164E-11</v>
      </c>
      <c r="I804" s="8" t="str">
        <f t="shared" si="88"/>
        <v/>
      </c>
    </row>
    <row r="805" spans="1:9" x14ac:dyDescent="0.2">
      <c r="A805" s="5">
        <v>804</v>
      </c>
      <c r="B805" s="6">
        <v>2.932884</v>
      </c>
      <c r="C805" s="6">
        <f t="shared" si="84"/>
        <v>2.8418839999999999</v>
      </c>
      <c r="D805" s="6">
        <f t="shared" si="85"/>
        <v>2284.8747359999998</v>
      </c>
      <c r="E805" s="6">
        <f t="shared" si="89"/>
        <v>835.02104700000007</v>
      </c>
      <c r="F805" s="6">
        <f t="shared" si="90"/>
        <v>8.2599999999999341E-4</v>
      </c>
      <c r="G805" s="6">
        <f t="shared" si="86"/>
        <v>-674.86986253278894</v>
      </c>
      <c r="H805" s="7">
        <f t="shared" si="87"/>
        <v>5.6456172739075196E-13</v>
      </c>
      <c r="I805" s="8" t="str">
        <f t="shared" si="88"/>
        <v/>
      </c>
    </row>
    <row r="806" spans="1:9" x14ac:dyDescent="0.2">
      <c r="A806" s="5">
        <v>805</v>
      </c>
      <c r="B806" s="6">
        <v>2.9336380000000002</v>
      </c>
      <c r="C806" s="6">
        <f t="shared" si="84"/>
        <v>2.842638</v>
      </c>
      <c r="D806" s="6">
        <f t="shared" si="85"/>
        <v>2288.32359</v>
      </c>
      <c r="E806" s="6">
        <f t="shared" si="89"/>
        <v>837.86330800000007</v>
      </c>
      <c r="F806" s="6">
        <f t="shared" si="90"/>
        <v>7.4999999999381117E-6</v>
      </c>
      <c r="G806" s="6">
        <f t="shared" si="86"/>
        <v>-674.82699470871307</v>
      </c>
      <c r="H806" s="7">
        <f t="shared" si="87"/>
        <v>6.2173115414988163E-11</v>
      </c>
      <c r="I806" s="8" t="str">
        <f t="shared" si="88"/>
        <v/>
      </c>
    </row>
    <row r="807" spans="1:9" x14ac:dyDescent="0.2">
      <c r="A807" s="5">
        <v>806</v>
      </c>
      <c r="B807" s="6">
        <v>2.9328989999999999</v>
      </c>
      <c r="C807" s="6">
        <f t="shared" si="84"/>
        <v>2.8418989999999997</v>
      </c>
      <c r="D807" s="6">
        <f t="shared" si="85"/>
        <v>2290.5705939999998</v>
      </c>
      <c r="E807" s="6">
        <f t="shared" si="89"/>
        <v>840.70557650000012</v>
      </c>
      <c r="F807" s="6">
        <f t="shared" si="90"/>
        <v>-1.0870000000000601E-3</v>
      </c>
      <c r="G807" s="6">
        <f t="shared" si="86"/>
        <v>-674.86974872461781</v>
      </c>
      <c r="H807" s="7">
        <f t="shared" si="87"/>
        <v>-4.2900451534910828E-13</v>
      </c>
      <c r="I807" s="8" t="str">
        <f t="shared" si="88"/>
        <v/>
      </c>
    </row>
    <row r="808" spans="1:9" x14ac:dyDescent="0.2">
      <c r="A808" s="5">
        <v>807</v>
      </c>
      <c r="B808" s="6">
        <v>2.9314640000000001</v>
      </c>
      <c r="C808" s="6">
        <f t="shared" si="84"/>
        <v>2.8404639999999999</v>
      </c>
      <c r="D808" s="6">
        <f t="shared" si="85"/>
        <v>2292.2544479999997</v>
      </c>
      <c r="E808" s="6">
        <f t="shared" si="89"/>
        <v>843.54675800000007</v>
      </c>
      <c r="F808" s="6">
        <f t="shared" si="90"/>
        <v>-1.2319999999998998E-3</v>
      </c>
      <c r="G808" s="6">
        <f t="shared" si="86"/>
        <v>-674.95420403966943</v>
      </c>
      <c r="H808" s="7">
        <f t="shared" si="87"/>
        <v>-3.7856028077938918E-13</v>
      </c>
      <c r="I808" s="8" t="str">
        <f t="shared" si="88"/>
        <v/>
      </c>
    </row>
    <row r="809" spans="1:9" x14ac:dyDescent="0.2">
      <c r="A809" s="5">
        <v>808</v>
      </c>
      <c r="B809" s="6">
        <v>2.9304350000000001</v>
      </c>
      <c r="C809" s="6">
        <f t="shared" si="84"/>
        <v>2.8394349999999999</v>
      </c>
      <c r="D809" s="6">
        <f t="shared" si="85"/>
        <v>2294.2634800000001</v>
      </c>
      <c r="E809" s="6">
        <f t="shared" si="89"/>
        <v>846.38670750000006</v>
      </c>
      <c r="F809" s="6">
        <f t="shared" si="90"/>
        <v>5.7249999999986478E-4</v>
      </c>
      <c r="G809" s="6">
        <f t="shared" si="86"/>
        <v>-675.01579368021874</v>
      </c>
      <c r="H809" s="7">
        <f t="shared" si="87"/>
        <v>8.147228361834425E-13</v>
      </c>
      <c r="I809" s="8" t="str">
        <f t="shared" si="88"/>
        <v/>
      </c>
    </row>
    <row r="810" spans="1:9" x14ac:dyDescent="0.2">
      <c r="A810" s="5">
        <v>809</v>
      </c>
      <c r="B810" s="6">
        <v>2.9326089999999998</v>
      </c>
      <c r="C810" s="6">
        <f t="shared" si="84"/>
        <v>2.8416089999999996</v>
      </c>
      <c r="D810" s="6">
        <f t="shared" si="85"/>
        <v>2298.8616809999999</v>
      </c>
      <c r="E810" s="6">
        <f t="shared" si="89"/>
        <v>849.22722950000002</v>
      </c>
      <c r="F810" s="6">
        <f t="shared" si="90"/>
        <v>8.0400000000002692E-4</v>
      </c>
      <c r="G810" s="6">
        <f t="shared" si="86"/>
        <v>-674.88349734926226</v>
      </c>
      <c r="H810" s="7">
        <f t="shared" si="87"/>
        <v>5.8002165216382818E-13</v>
      </c>
      <c r="I810" s="8" t="str">
        <f t="shared" si="88"/>
        <v/>
      </c>
    </row>
    <row r="811" spans="1:9" x14ac:dyDescent="0.2">
      <c r="A811" s="5">
        <v>810</v>
      </c>
      <c r="B811" s="6">
        <v>2.9320430000000002</v>
      </c>
      <c r="C811" s="6">
        <f t="shared" si="84"/>
        <v>2.841043</v>
      </c>
      <c r="D811" s="6">
        <f t="shared" si="85"/>
        <v>2301.2448300000001</v>
      </c>
      <c r="E811" s="6">
        <f t="shared" si="89"/>
        <v>852.0685555</v>
      </c>
      <c r="F811" s="6">
        <f t="shared" si="90"/>
        <v>-2.4649999999981631E-4</v>
      </c>
      <c r="G811" s="6">
        <f t="shared" si="86"/>
        <v>-674.91850664425829</v>
      </c>
      <c r="H811" s="7">
        <f t="shared" si="87"/>
        <v>-1.8919334661063661E-12</v>
      </c>
      <c r="I811" s="8" t="str">
        <f t="shared" si="88"/>
        <v/>
      </c>
    </row>
    <row r="812" spans="1:9" x14ac:dyDescent="0.2">
      <c r="A812" s="5">
        <v>811</v>
      </c>
      <c r="B812" s="6">
        <v>2.9321160000000002</v>
      </c>
      <c r="C812" s="6">
        <f t="shared" si="84"/>
        <v>2.841116</v>
      </c>
      <c r="D812" s="6">
        <f t="shared" si="85"/>
        <v>2304.1450759999998</v>
      </c>
      <c r="E812" s="6">
        <f t="shared" si="89"/>
        <v>854.90963499999998</v>
      </c>
      <c r="F812" s="6">
        <f t="shared" si="90"/>
        <v>-3.8400000000016199E-4</v>
      </c>
      <c r="G812" s="6">
        <f t="shared" si="86"/>
        <v>-674.913918311158</v>
      </c>
      <c r="H812" s="7">
        <f t="shared" si="87"/>
        <v>-1.2144750752726409E-12</v>
      </c>
      <c r="I812" s="8" t="str">
        <f t="shared" si="88"/>
        <v/>
      </c>
    </row>
    <row r="813" spans="1:9" x14ac:dyDescent="0.2">
      <c r="A813" s="5">
        <v>812</v>
      </c>
      <c r="B813" s="6">
        <v>2.9312749999999999</v>
      </c>
      <c r="C813" s="6">
        <f t="shared" si="84"/>
        <v>2.8402749999999997</v>
      </c>
      <c r="D813" s="6">
        <f t="shared" si="85"/>
        <v>2306.3032999999996</v>
      </c>
      <c r="E813" s="6">
        <f t="shared" si="89"/>
        <v>857.75033050000002</v>
      </c>
      <c r="F813" s="6">
        <f t="shared" si="90"/>
        <v>-1.0149999999997661E-4</v>
      </c>
      <c r="G813" s="6">
        <f t="shared" si="86"/>
        <v>-674.96761942262742</v>
      </c>
      <c r="H813" s="7">
        <f t="shared" si="87"/>
        <v>-4.5950299094482638E-12</v>
      </c>
      <c r="I813" s="8" t="str">
        <f t="shared" si="88"/>
        <v/>
      </c>
    </row>
    <row r="814" spans="1:9" x14ac:dyDescent="0.2">
      <c r="A814" s="5">
        <v>813</v>
      </c>
      <c r="B814" s="6">
        <v>2.9319130000000002</v>
      </c>
      <c r="C814" s="6">
        <f t="shared" si="84"/>
        <v>2.840913</v>
      </c>
      <c r="D814" s="6">
        <f t="shared" si="85"/>
        <v>2309.6622689999999</v>
      </c>
      <c r="E814" s="6">
        <f t="shared" si="89"/>
        <v>860.59092450000003</v>
      </c>
      <c r="F814" s="6">
        <f t="shared" si="90"/>
        <v>-4.129999999999967E-4</v>
      </c>
      <c r="G814" s="6">
        <f t="shared" si="86"/>
        <v>-674.92624264840924</v>
      </c>
      <c r="H814" s="7">
        <f t="shared" si="87"/>
        <v>-1.1292177842433221E-12</v>
      </c>
      <c r="I814" s="8" t="str">
        <f t="shared" si="88"/>
        <v/>
      </c>
    </row>
    <row r="815" spans="1:9" x14ac:dyDescent="0.2">
      <c r="A815" s="5">
        <v>814</v>
      </c>
      <c r="B815" s="6">
        <v>2.9304489999999999</v>
      </c>
      <c r="C815" s="6">
        <f t="shared" si="84"/>
        <v>2.8394489999999997</v>
      </c>
      <c r="D815" s="6">
        <f t="shared" si="85"/>
        <v>2311.3114859999996</v>
      </c>
      <c r="E815" s="6">
        <f t="shared" si="89"/>
        <v>863.43110550000006</v>
      </c>
      <c r="F815" s="6">
        <f t="shared" si="90"/>
        <v>-1.4710000000000001E-3</v>
      </c>
      <c r="G815" s="6">
        <f t="shared" si="86"/>
        <v>-675.02265272592558</v>
      </c>
      <c r="H815" s="7">
        <f t="shared" si="87"/>
        <v>-3.1708603891465207E-13</v>
      </c>
      <c r="I815" s="8" t="str">
        <f t="shared" si="88"/>
        <v/>
      </c>
    </row>
    <row r="816" spans="1:9" x14ac:dyDescent="0.2">
      <c r="A816" s="5">
        <v>815</v>
      </c>
      <c r="B816" s="6">
        <v>2.9289710000000002</v>
      </c>
      <c r="C816" s="6">
        <f t="shared" si="84"/>
        <v>2.837971</v>
      </c>
      <c r="D816" s="6">
        <f t="shared" si="85"/>
        <v>2312.9463650000002</v>
      </c>
      <c r="E816" s="6">
        <f t="shared" si="89"/>
        <v>866.26981550000005</v>
      </c>
      <c r="F816" s="6">
        <f t="shared" si="90"/>
        <v>-8.4749999999989001E-4</v>
      </c>
      <c r="G816" s="6">
        <f t="shared" si="86"/>
        <v>-675.12146275773489</v>
      </c>
      <c r="H816" s="7">
        <f t="shared" si="87"/>
        <v>-5.504446488940275E-13</v>
      </c>
      <c r="I816" s="8" t="str">
        <f t="shared" si="88"/>
        <v/>
      </c>
    </row>
    <row r="817" spans="1:9" x14ac:dyDescent="0.2">
      <c r="A817" s="5">
        <v>816</v>
      </c>
      <c r="B817" s="6">
        <v>2.9287540000000001</v>
      </c>
      <c r="C817" s="6">
        <f t="shared" si="84"/>
        <v>2.8377539999999999</v>
      </c>
      <c r="D817" s="6">
        <f t="shared" si="85"/>
        <v>2315.6072639999998</v>
      </c>
      <c r="E817" s="6">
        <f t="shared" si="89"/>
        <v>869.10767800000008</v>
      </c>
      <c r="F817" s="6">
        <f t="shared" si="90"/>
        <v>3.9849999999996832E-4</v>
      </c>
      <c r="G817" s="6">
        <f t="shared" si="86"/>
        <v>-675.13618704927933</v>
      </c>
      <c r="H817" s="7">
        <f t="shared" si="87"/>
        <v>1.1706700483525023E-12</v>
      </c>
      <c r="I817" s="8" t="str">
        <f t="shared" si="88"/>
        <v/>
      </c>
    </row>
    <row r="818" spans="1:9" x14ac:dyDescent="0.2">
      <c r="A818" s="5">
        <v>817</v>
      </c>
      <c r="B818" s="6">
        <v>2.9297680000000001</v>
      </c>
      <c r="C818" s="6">
        <f t="shared" si="84"/>
        <v>2.838768</v>
      </c>
      <c r="D818" s="6">
        <f t="shared" si="85"/>
        <v>2319.2734559999999</v>
      </c>
      <c r="E818" s="6">
        <f t="shared" si="89"/>
        <v>871.94593900000007</v>
      </c>
      <c r="F818" s="6">
        <f t="shared" si="90"/>
        <v>2.1699999999991171E-4</v>
      </c>
      <c r="G818" s="6">
        <f t="shared" si="86"/>
        <v>-675.06636921690131</v>
      </c>
      <c r="H818" s="7">
        <f t="shared" si="87"/>
        <v>2.1496026307822638E-12</v>
      </c>
      <c r="I818" s="8" t="str">
        <f t="shared" si="88"/>
        <v/>
      </c>
    </row>
    <row r="819" spans="1:9" x14ac:dyDescent="0.2">
      <c r="A819" s="5">
        <v>818</v>
      </c>
      <c r="B819" s="6">
        <v>2.9291879999999999</v>
      </c>
      <c r="C819" s="6">
        <f t="shared" si="84"/>
        <v>2.8381879999999997</v>
      </c>
      <c r="D819" s="6">
        <f t="shared" si="85"/>
        <v>2321.6377839999996</v>
      </c>
      <c r="E819" s="6">
        <f t="shared" si="89"/>
        <v>874.78441700000008</v>
      </c>
      <c r="F819" s="6">
        <f t="shared" si="90"/>
        <v>-8.6249999999998828E-4</v>
      </c>
      <c r="G819" s="6">
        <f t="shared" si="86"/>
        <v>-675.10688446619054</v>
      </c>
      <c r="H819" s="7">
        <f t="shared" si="87"/>
        <v>-5.4086001912034012E-13</v>
      </c>
      <c r="I819" s="8" t="str">
        <f t="shared" si="88"/>
        <v/>
      </c>
    </row>
    <row r="820" spans="1:9" x14ac:dyDescent="0.2">
      <c r="A820" s="5">
        <v>819</v>
      </c>
      <c r="B820" s="6">
        <v>2.9280430000000002</v>
      </c>
      <c r="C820" s="6">
        <f t="shared" si="84"/>
        <v>2.837043</v>
      </c>
      <c r="D820" s="6">
        <f t="shared" si="85"/>
        <v>2323.5382169999998</v>
      </c>
      <c r="E820" s="6">
        <f t="shared" si="89"/>
        <v>877.62203250000005</v>
      </c>
      <c r="F820" s="6">
        <f t="shared" si="90"/>
        <v>-1.0215000000000085E-3</v>
      </c>
      <c r="G820" s="6">
        <f t="shared" si="86"/>
        <v>-675.18801215659755</v>
      </c>
      <c r="H820" s="7">
        <f t="shared" si="87"/>
        <v>-4.5672816923472043E-13</v>
      </c>
      <c r="I820" s="8" t="str">
        <f t="shared" si="88"/>
        <v/>
      </c>
    </row>
    <row r="821" spans="1:9" x14ac:dyDescent="0.2">
      <c r="A821" s="5">
        <v>820</v>
      </c>
      <c r="B821" s="6">
        <v>2.9271449999999999</v>
      </c>
      <c r="C821" s="6">
        <f t="shared" si="84"/>
        <v>2.8361449999999997</v>
      </c>
      <c r="D821" s="6">
        <f t="shared" si="85"/>
        <v>2325.6388999999999</v>
      </c>
      <c r="E821" s="6">
        <f t="shared" si="89"/>
        <v>880.45862650000004</v>
      </c>
      <c r="F821" s="6">
        <f t="shared" si="90"/>
        <v>-1.9550000000001511E-4</v>
      </c>
      <c r="G821" s="6">
        <f t="shared" si="86"/>
        <v>-675.25253693911782</v>
      </c>
      <c r="H821" s="7">
        <f t="shared" si="87"/>
        <v>-2.3866619479296669E-12</v>
      </c>
      <c r="I821" s="8" t="str">
        <f t="shared" si="88"/>
        <v/>
      </c>
    </row>
    <row r="822" spans="1:9" x14ac:dyDescent="0.2">
      <c r="A822" s="5">
        <v>821</v>
      </c>
      <c r="B822" s="6">
        <v>2.9276520000000001</v>
      </c>
      <c r="C822" s="6">
        <f t="shared" si="84"/>
        <v>2.836652</v>
      </c>
      <c r="D822" s="6">
        <f t="shared" si="85"/>
        <v>2328.8912919999998</v>
      </c>
      <c r="E822" s="6">
        <f t="shared" si="89"/>
        <v>883.29502500000001</v>
      </c>
      <c r="F822" s="6">
        <f t="shared" si="90"/>
        <v>-2.8999999999990145E-4</v>
      </c>
      <c r="G822" s="6">
        <f t="shared" si="86"/>
        <v>-675.2156000229287</v>
      </c>
      <c r="H822" s="7">
        <f t="shared" si="87"/>
        <v>-1.6088513372389923E-12</v>
      </c>
      <c r="I822" s="8" t="str">
        <f t="shared" si="88"/>
        <v/>
      </c>
    </row>
    <row r="823" spans="1:9" x14ac:dyDescent="0.2">
      <c r="A823" s="5">
        <v>822</v>
      </c>
      <c r="B823" s="6">
        <v>2.9265650000000001</v>
      </c>
      <c r="C823" s="6">
        <f t="shared" si="84"/>
        <v>2.8355649999999999</v>
      </c>
      <c r="D823" s="6">
        <f t="shared" si="85"/>
        <v>2330.8344299999999</v>
      </c>
      <c r="E823" s="6">
        <f t="shared" si="89"/>
        <v>886.13113350000003</v>
      </c>
      <c r="F823" s="6">
        <f t="shared" si="90"/>
        <v>6.304999999999783E-4</v>
      </c>
      <c r="G823" s="6">
        <f t="shared" si="86"/>
        <v>-675.29587918840696</v>
      </c>
      <c r="H823" s="7">
        <f t="shared" si="87"/>
        <v>7.4008304497912037E-13</v>
      </c>
      <c r="I823" s="8" t="str">
        <f t="shared" si="88"/>
        <v/>
      </c>
    </row>
    <row r="824" spans="1:9" x14ac:dyDescent="0.2">
      <c r="A824" s="5">
        <v>823</v>
      </c>
      <c r="B824" s="6">
        <v>2.9289130000000001</v>
      </c>
      <c r="C824" s="6">
        <f t="shared" si="84"/>
        <v>2.8379129999999999</v>
      </c>
      <c r="D824" s="6">
        <f t="shared" si="85"/>
        <v>2335.6023989999999</v>
      </c>
      <c r="E824" s="6">
        <f t="shared" si="89"/>
        <v>888.9678725</v>
      </c>
      <c r="F824" s="6">
        <f t="shared" si="90"/>
        <v>-3.6000000000147026E-5</v>
      </c>
      <c r="G824" s="6">
        <f t="shared" si="86"/>
        <v>-675.12012228266371</v>
      </c>
      <c r="H824" s="7">
        <f t="shared" si="87"/>
        <v>-1.2958358713375762E-11</v>
      </c>
      <c r="I824" s="8" t="str">
        <f t="shared" si="88"/>
        <v/>
      </c>
    </row>
    <row r="825" spans="1:9" x14ac:dyDescent="0.2">
      <c r="A825" s="5">
        <v>824</v>
      </c>
      <c r="B825" s="6">
        <v>2.9264929999999998</v>
      </c>
      <c r="C825" s="6">
        <f t="shared" si="84"/>
        <v>2.8354929999999996</v>
      </c>
      <c r="D825" s="6">
        <f t="shared" si="85"/>
        <v>2336.4462319999998</v>
      </c>
      <c r="E825" s="6">
        <f t="shared" si="89"/>
        <v>891.80457550000006</v>
      </c>
      <c r="F825" s="6">
        <f t="shared" si="90"/>
        <v>-1.6665000000000152E-3</v>
      </c>
      <c r="G825" s="6">
        <f t="shared" si="86"/>
        <v>-675.3036886676291</v>
      </c>
      <c r="H825" s="7">
        <f t="shared" si="87"/>
        <v>-2.800046541418748E-13</v>
      </c>
      <c r="I825" s="8" t="str">
        <f t="shared" si="88"/>
        <v/>
      </c>
    </row>
    <row r="826" spans="1:9" x14ac:dyDescent="0.2">
      <c r="A826" s="5">
        <v>825</v>
      </c>
      <c r="B826" s="6">
        <v>2.9255800000000001</v>
      </c>
      <c r="C826" s="6">
        <f t="shared" si="84"/>
        <v>2.8345799999999999</v>
      </c>
      <c r="D826" s="6">
        <f t="shared" si="85"/>
        <v>2338.5284999999999</v>
      </c>
      <c r="E826" s="6">
        <f t="shared" si="89"/>
        <v>894.63961200000006</v>
      </c>
      <c r="F826" s="6">
        <f t="shared" si="90"/>
        <v>-9.3499999999990813E-4</v>
      </c>
      <c r="G826" s="6">
        <f t="shared" si="86"/>
        <v>-675.37385625832053</v>
      </c>
      <c r="H826" s="7">
        <f t="shared" si="87"/>
        <v>-4.9911897454083329E-13</v>
      </c>
      <c r="I826" s="8" t="str">
        <f t="shared" si="88"/>
        <v/>
      </c>
    </row>
    <row r="827" spans="1:9" x14ac:dyDescent="0.2">
      <c r="A827" s="5">
        <v>826</v>
      </c>
      <c r="B827" s="6">
        <v>2.924623</v>
      </c>
      <c r="C827" s="6">
        <f t="shared" si="84"/>
        <v>2.8336229999999998</v>
      </c>
      <c r="D827" s="6">
        <f t="shared" si="85"/>
        <v>2340.5725979999997</v>
      </c>
      <c r="E827" s="6">
        <f t="shared" si="89"/>
        <v>897.47371350000003</v>
      </c>
      <c r="F827" s="6">
        <f t="shared" si="90"/>
        <v>8.699999999994823E-5</v>
      </c>
      <c r="G827" s="6">
        <f t="shared" si="86"/>
        <v>-675.44836241964765</v>
      </c>
      <c r="H827" s="7">
        <f t="shared" si="87"/>
        <v>5.3646864847223778E-12</v>
      </c>
      <c r="I827" s="8" t="str">
        <f t="shared" si="88"/>
        <v/>
      </c>
    </row>
    <row r="828" spans="1:9" x14ac:dyDescent="0.2">
      <c r="A828" s="5">
        <v>827</v>
      </c>
      <c r="B828" s="6">
        <v>2.925754</v>
      </c>
      <c r="C828" s="6">
        <f t="shared" si="84"/>
        <v>2.8347539999999998</v>
      </c>
      <c r="D828" s="6">
        <f t="shared" si="85"/>
        <v>2344.3415579999996</v>
      </c>
      <c r="E828" s="6">
        <f t="shared" si="89"/>
        <v>900.30790200000001</v>
      </c>
      <c r="F828" s="6">
        <f t="shared" si="90"/>
        <v>9.4199999999999839E-4</v>
      </c>
      <c r="G828" s="6">
        <f t="shared" si="86"/>
        <v>-675.35917868353374</v>
      </c>
      <c r="H828" s="7">
        <f t="shared" si="87"/>
        <v>4.9539925599322248E-13</v>
      </c>
      <c r="I828" s="8" t="str">
        <f t="shared" si="88"/>
        <v/>
      </c>
    </row>
    <row r="829" spans="1:9" x14ac:dyDescent="0.2">
      <c r="A829" s="5">
        <v>828</v>
      </c>
      <c r="B829" s="6">
        <v>2.926507</v>
      </c>
      <c r="C829" s="6">
        <f t="shared" si="84"/>
        <v>2.8355069999999998</v>
      </c>
      <c r="D829" s="6">
        <f t="shared" si="85"/>
        <v>2347.7997959999998</v>
      </c>
      <c r="E829" s="6">
        <f t="shared" si="89"/>
        <v>903.1430325</v>
      </c>
      <c r="F829" s="6">
        <f t="shared" si="90"/>
        <v>2.895000000000536E-4</v>
      </c>
      <c r="G829" s="6">
        <f t="shared" si="86"/>
        <v>-675.29904871333588</v>
      </c>
      <c r="H829" s="7">
        <f t="shared" si="87"/>
        <v>1.6118291881439348E-12</v>
      </c>
      <c r="I829" s="8" t="str">
        <f t="shared" si="88"/>
        <v/>
      </c>
    </row>
    <row r="830" spans="1:9" x14ac:dyDescent="0.2">
      <c r="A830" s="5">
        <v>829</v>
      </c>
      <c r="B830" s="6">
        <v>2.9263330000000001</v>
      </c>
      <c r="C830" s="6">
        <f t="shared" si="84"/>
        <v>2.8353329999999999</v>
      </c>
      <c r="D830" s="6">
        <f t="shared" si="85"/>
        <v>2350.4910569999997</v>
      </c>
      <c r="E830" s="6">
        <f t="shared" si="89"/>
        <v>905.9784525</v>
      </c>
      <c r="F830" s="6">
        <f t="shared" si="90"/>
        <v>-2.1499999999896602E-5</v>
      </c>
      <c r="G830" s="6">
        <f t="shared" si="86"/>
        <v>-675.31311728812261</v>
      </c>
      <c r="H830" s="7">
        <f t="shared" si="87"/>
        <v>-2.170391959104254E-11</v>
      </c>
      <c r="I830" s="8" t="str">
        <f t="shared" si="88"/>
        <v/>
      </c>
    </row>
    <row r="831" spans="1:9" x14ac:dyDescent="0.2">
      <c r="A831" s="5">
        <v>830</v>
      </c>
      <c r="B831" s="6">
        <v>2.9264640000000002</v>
      </c>
      <c r="C831" s="6">
        <f t="shared" si="84"/>
        <v>2.835464</v>
      </c>
      <c r="D831" s="6">
        <f t="shared" si="85"/>
        <v>2353.4351200000001</v>
      </c>
      <c r="E831" s="6">
        <f t="shared" si="89"/>
        <v>908.813851</v>
      </c>
      <c r="F831" s="6">
        <f t="shared" si="90"/>
        <v>1.507499999999995E-3</v>
      </c>
      <c r="G831" s="6">
        <f t="shared" si="86"/>
        <v>-675.3023944300935</v>
      </c>
      <c r="H831" s="7">
        <f t="shared" si="87"/>
        <v>3.0953689009810709E-13</v>
      </c>
      <c r="I831" s="8" t="str">
        <f t="shared" si="88"/>
        <v/>
      </c>
    </row>
    <row r="832" spans="1:9" x14ac:dyDescent="0.2">
      <c r="A832" s="5">
        <v>831</v>
      </c>
      <c r="B832" s="6">
        <v>2.9293480000000001</v>
      </c>
      <c r="C832" s="6">
        <f t="shared" si="84"/>
        <v>2.8383479999999999</v>
      </c>
      <c r="D832" s="6">
        <f t="shared" si="85"/>
        <v>2358.6671879999999</v>
      </c>
      <c r="E832" s="6">
        <f t="shared" si="89"/>
        <v>911.650757</v>
      </c>
      <c r="F832" s="6">
        <f t="shared" si="90"/>
        <v>1.3764999999998917E-3</v>
      </c>
      <c r="G832" s="6">
        <f t="shared" si="86"/>
        <v>-675.06344384569684</v>
      </c>
      <c r="H832" s="7">
        <f t="shared" si="87"/>
        <v>3.3887522664643741E-13</v>
      </c>
      <c r="I832" s="8" t="str">
        <f t="shared" si="88"/>
        <v/>
      </c>
    </row>
    <row r="833" spans="1:9" x14ac:dyDescent="0.2">
      <c r="A833" s="5">
        <v>832</v>
      </c>
      <c r="B833" s="6">
        <v>2.929217</v>
      </c>
      <c r="C833" s="6">
        <f t="shared" si="84"/>
        <v>2.8382169999999998</v>
      </c>
      <c r="D833" s="6">
        <f t="shared" si="85"/>
        <v>2361.3965439999997</v>
      </c>
      <c r="E833" s="6">
        <f t="shared" si="89"/>
        <v>914.48903949999999</v>
      </c>
      <c r="F833" s="6">
        <f t="shared" si="90"/>
        <v>-5.0750000000010509E-4</v>
      </c>
      <c r="G833" s="6">
        <f t="shared" si="86"/>
        <v>-675.07442870372597</v>
      </c>
      <c r="H833" s="7">
        <f t="shared" si="87"/>
        <v>-9.1915140867036761E-13</v>
      </c>
      <c r="I833" s="8" t="str">
        <f t="shared" si="88"/>
        <v/>
      </c>
    </row>
    <row r="834" spans="1:9" x14ac:dyDescent="0.2">
      <c r="A834" s="5">
        <v>833</v>
      </c>
      <c r="B834" s="6">
        <v>2.9283329999999999</v>
      </c>
      <c r="C834" s="6">
        <f t="shared" ref="C834:C897" si="91">B834-$B$2</f>
        <v>2.8373329999999997</v>
      </c>
      <c r="D834" s="6">
        <f t="shared" ref="D834:D897" si="92">A834*C834</f>
        <v>2363.4983889999999</v>
      </c>
      <c r="E834" s="6">
        <f t="shared" si="89"/>
        <v>917.32681449999995</v>
      </c>
      <c r="F834" s="6">
        <f t="shared" si="90"/>
        <v>-1.2999999999996348E-4</v>
      </c>
      <c r="G834" s="6">
        <f t="shared" ref="G834:G897" si="93">(A834-$L$5)*C834-E834</f>
        <v>-675.14943953195291</v>
      </c>
      <c r="H834" s="7">
        <f t="shared" ref="H834:H897" si="94">IF(ABS(F834)&lt;0.000000001,"",-(G834)/(2*$L$4*F834)*0.000000000001)</f>
        <v>-3.5886243968838634E-12</v>
      </c>
      <c r="I834" s="8" t="str">
        <f t="shared" ref="I834:I897" si="95">IF(AND(B834&gt;=0.5,B834&lt;=2.5,ISNUMBER(H834),H834&gt;0),H834,"")</f>
        <v/>
      </c>
    </row>
    <row r="835" spans="1:9" x14ac:dyDescent="0.2">
      <c r="A835" s="5">
        <v>834</v>
      </c>
      <c r="B835" s="6">
        <v>2.928957</v>
      </c>
      <c r="C835" s="6">
        <f t="shared" si="91"/>
        <v>2.8379569999999998</v>
      </c>
      <c r="D835" s="6">
        <f t="shared" si="92"/>
        <v>2366.8561379999996</v>
      </c>
      <c r="E835" s="6">
        <f t="shared" ref="E835:E898" si="96">E834+(C834+C835)/2*(A835-A834)</f>
        <v>920.16445949999991</v>
      </c>
      <c r="F835" s="6">
        <f t="shared" ref="F835:F898" si="97">(B836-B834)/(A836-A834)</f>
        <v>-2.6049999999999685E-4</v>
      </c>
      <c r="G835" s="6">
        <f t="shared" si="93"/>
        <v>-675.09586671202794</v>
      </c>
      <c r="H835" s="7">
        <f t="shared" si="94"/>
        <v>-1.7907261164640546E-12</v>
      </c>
      <c r="I835" s="8" t="str">
        <f t="shared" si="95"/>
        <v/>
      </c>
    </row>
    <row r="836" spans="1:9" x14ac:dyDescent="0.2">
      <c r="A836" s="5">
        <v>835</v>
      </c>
      <c r="B836" s="6">
        <v>2.9278119999999999</v>
      </c>
      <c r="C836" s="6">
        <f t="shared" si="91"/>
        <v>2.8368119999999997</v>
      </c>
      <c r="D836" s="6">
        <f t="shared" si="92"/>
        <v>2368.7380199999998</v>
      </c>
      <c r="E836" s="6">
        <f t="shared" si="96"/>
        <v>923.00184399999989</v>
      </c>
      <c r="F836" s="6">
        <f t="shared" si="97"/>
        <v>-3.2650000000011836E-4</v>
      </c>
      <c r="G836" s="6">
        <f t="shared" si="93"/>
        <v>-675.19531440243509</v>
      </c>
      <c r="H836" s="7">
        <f t="shared" si="94"/>
        <v>-1.4289521306226022E-12</v>
      </c>
      <c r="I836" s="8" t="str">
        <f t="shared" si="95"/>
        <v/>
      </c>
    </row>
    <row r="837" spans="1:9" x14ac:dyDescent="0.2">
      <c r="A837" s="5">
        <v>836</v>
      </c>
      <c r="B837" s="6">
        <v>2.9283039999999998</v>
      </c>
      <c r="C837" s="6">
        <f t="shared" si="91"/>
        <v>2.8373039999999996</v>
      </c>
      <c r="D837" s="6">
        <f t="shared" si="92"/>
        <v>2371.9861439999995</v>
      </c>
      <c r="E837" s="6">
        <f t="shared" si="96"/>
        <v>925.83890199999985</v>
      </c>
      <c r="F837" s="6">
        <f t="shared" si="97"/>
        <v>1.2024999999999952E-3</v>
      </c>
      <c r="G837" s="6">
        <f t="shared" si="93"/>
        <v>-675.15209029441735</v>
      </c>
      <c r="H837" s="7">
        <f t="shared" si="94"/>
        <v>3.8796091745845726E-13</v>
      </c>
      <c r="I837" s="8" t="str">
        <f t="shared" si="95"/>
        <v/>
      </c>
    </row>
    <row r="838" spans="1:9" x14ac:dyDescent="0.2">
      <c r="A838" s="5">
        <v>837</v>
      </c>
      <c r="B838" s="6">
        <v>2.9302169999999998</v>
      </c>
      <c r="C838" s="6">
        <f t="shared" si="91"/>
        <v>2.8392169999999997</v>
      </c>
      <c r="D838" s="6">
        <f t="shared" si="92"/>
        <v>2376.4246289999996</v>
      </c>
      <c r="E838" s="6">
        <f t="shared" si="96"/>
        <v>928.67716249999989</v>
      </c>
      <c r="F838" s="6">
        <f t="shared" si="97"/>
        <v>7.4650000000020533E-4</v>
      </c>
      <c r="G838" s="6">
        <f t="shared" si="93"/>
        <v>-674.98211282564102</v>
      </c>
      <c r="H838" s="7">
        <f t="shared" si="94"/>
        <v>6.2478975297792438E-13</v>
      </c>
      <c r="I838" s="8" t="str">
        <f t="shared" si="95"/>
        <v/>
      </c>
    </row>
    <row r="839" spans="1:9" x14ac:dyDescent="0.2">
      <c r="A839" s="5">
        <v>838</v>
      </c>
      <c r="B839" s="6">
        <v>2.9297970000000002</v>
      </c>
      <c r="C839" s="6">
        <f t="shared" si="91"/>
        <v>2.838797</v>
      </c>
      <c r="D839" s="6">
        <f t="shared" si="92"/>
        <v>2378.9118859999999</v>
      </c>
      <c r="E839" s="6">
        <f t="shared" si="96"/>
        <v>931.51616949999993</v>
      </c>
      <c r="F839" s="6">
        <f t="shared" si="97"/>
        <v>-1.1589999999999101E-3</v>
      </c>
      <c r="G839" s="6">
        <f t="shared" si="93"/>
        <v>-675.01985145443678</v>
      </c>
      <c r="H839" s="7">
        <f t="shared" si="94"/>
        <v>-4.0244316444720675E-13</v>
      </c>
      <c r="I839" s="8" t="str">
        <f t="shared" si="95"/>
        <v/>
      </c>
    </row>
    <row r="840" spans="1:9" x14ac:dyDescent="0.2">
      <c r="A840" s="5">
        <v>839</v>
      </c>
      <c r="B840" s="6">
        <v>2.927899</v>
      </c>
      <c r="C840" s="6">
        <f t="shared" si="91"/>
        <v>2.8368989999999998</v>
      </c>
      <c r="D840" s="6">
        <f t="shared" si="92"/>
        <v>2380.158261</v>
      </c>
      <c r="E840" s="6">
        <f t="shared" si="96"/>
        <v>934.35401749999994</v>
      </c>
      <c r="F840" s="6">
        <f t="shared" si="97"/>
        <v>7.75499999999818E-4</v>
      </c>
      <c r="G840" s="6">
        <f t="shared" si="93"/>
        <v>-675.19229211504171</v>
      </c>
      <c r="H840" s="7">
        <f t="shared" si="94"/>
        <v>6.0161287205636706E-13</v>
      </c>
      <c r="I840" s="8" t="str">
        <f t="shared" si="95"/>
        <v/>
      </c>
    </row>
    <row r="841" spans="1:9" x14ac:dyDescent="0.2">
      <c r="A841" s="5">
        <v>840</v>
      </c>
      <c r="B841" s="6">
        <v>2.9313479999999998</v>
      </c>
      <c r="C841" s="6">
        <f t="shared" si="91"/>
        <v>2.8403479999999997</v>
      </c>
      <c r="D841" s="6">
        <f t="shared" si="92"/>
        <v>2385.8923199999999</v>
      </c>
      <c r="E841" s="6">
        <f t="shared" si="96"/>
        <v>937.19264099999998</v>
      </c>
      <c r="F841" s="6">
        <f t="shared" si="97"/>
        <v>2.0290000000000585E-3</v>
      </c>
      <c r="G841" s="6">
        <f t="shared" si="93"/>
        <v>-674.87548808952715</v>
      </c>
      <c r="H841" s="7">
        <f t="shared" si="94"/>
        <v>2.2983335338854836E-13</v>
      </c>
      <c r="I841" s="8" t="str">
        <f t="shared" si="95"/>
        <v/>
      </c>
    </row>
    <row r="842" spans="1:9" x14ac:dyDescent="0.2">
      <c r="A842" s="5">
        <v>841</v>
      </c>
      <c r="B842" s="6">
        <v>2.9319570000000001</v>
      </c>
      <c r="C842" s="6">
        <f t="shared" si="91"/>
        <v>2.840957</v>
      </c>
      <c r="D842" s="6">
        <f t="shared" si="92"/>
        <v>2389.2448370000002</v>
      </c>
      <c r="E842" s="6">
        <f t="shared" si="96"/>
        <v>940.03329350000001</v>
      </c>
      <c r="F842" s="6">
        <f t="shared" si="97"/>
        <v>2.0300000000017526E-4</v>
      </c>
      <c r="G842" s="6">
        <f t="shared" si="93"/>
        <v>-674.8189400777735</v>
      </c>
      <c r="H842" s="7">
        <f t="shared" si="94"/>
        <v>2.2970088667132007E-12</v>
      </c>
      <c r="I842" s="8" t="str">
        <f t="shared" si="95"/>
        <v/>
      </c>
    </row>
    <row r="843" spans="1:9" x14ac:dyDescent="0.2">
      <c r="A843" s="5">
        <v>842</v>
      </c>
      <c r="B843" s="6">
        <v>2.9317540000000002</v>
      </c>
      <c r="C843" s="6">
        <f t="shared" si="91"/>
        <v>2.840754</v>
      </c>
      <c r="D843" s="6">
        <f t="shared" si="92"/>
        <v>2391.9148679999998</v>
      </c>
      <c r="E843" s="6">
        <f t="shared" si="96"/>
        <v>942.87414899999999</v>
      </c>
      <c r="F843" s="6">
        <f t="shared" si="97"/>
        <v>-3.5550000000017512E-4</v>
      </c>
      <c r="G843" s="6">
        <f t="shared" si="93"/>
        <v>-674.8379924150247</v>
      </c>
      <c r="H843" s="7">
        <f t="shared" si="94"/>
        <v>-1.3116904779406068E-12</v>
      </c>
      <c r="I843" s="8" t="str">
        <f t="shared" si="95"/>
        <v/>
      </c>
    </row>
    <row r="844" spans="1:9" x14ac:dyDescent="0.2">
      <c r="A844" s="5">
        <v>843</v>
      </c>
      <c r="B844" s="6">
        <v>2.9312459999999998</v>
      </c>
      <c r="C844" s="6">
        <f t="shared" si="91"/>
        <v>2.8402459999999996</v>
      </c>
      <c r="D844" s="6">
        <f t="shared" si="92"/>
        <v>2394.3273779999995</v>
      </c>
      <c r="E844" s="6">
        <f t="shared" si="96"/>
        <v>945.71464900000001</v>
      </c>
      <c r="F844" s="6">
        <f t="shared" si="97"/>
        <v>1.5199999999992997E-4</v>
      </c>
      <c r="G844" s="6">
        <f t="shared" si="93"/>
        <v>-674.88617818509192</v>
      </c>
      <c r="H844" s="7">
        <f t="shared" si="94"/>
        <v>3.068021452429932E-12</v>
      </c>
      <c r="I844" s="8" t="str">
        <f t="shared" si="95"/>
        <v/>
      </c>
    </row>
    <row r="845" spans="1:9" x14ac:dyDescent="0.2">
      <c r="A845" s="5">
        <v>844</v>
      </c>
      <c r="B845" s="6">
        <v>2.9320580000000001</v>
      </c>
      <c r="C845" s="6">
        <f t="shared" si="91"/>
        <v>2.8410579999999999</v>
      </c>
      <c r="D845" s="6">
        <f t="shared" si="92"/>
        <v>2397.8529519999997</v>
      </c>
      <c r="E845" s="6">
        <f t="shared" si="96"/>
        <v>948.55530099999999</v>
      </c>
      <c r="F845" s="6">
        <f t="shared" si="97"/>
        <v>-1.7349999999982657E-4</v>
      </c>
      <c r="G845" s="6">
        <f t="shared" si="93"/>
        <v>-674.80834483608692</v>
      </c>
      <c r="H845" s="7">
        <f t="shared" si="94"/>
        <v>-2.6875243731580707E-12</v>
      </c>
      <c r="I845" s="8" t="str">
        <f t="shared" si="95"/>
        <v/>
      </c>
    </row>
    <row r="846" spans="1:9" x14ac:dyDescent="0.2">
      <c r="A846" s="5">
        <v>845</v>
      </c>
      <c r="B846" s="6">
        <v>2.9308990000000001</v>
      </c>
      <c r="C846" s="6">
        <f t="shared" si="91"/>
        <v>2.839899</v>
      </c>
      <c r="D846" s="6">
        <f t="shared" si="92"/>
        <v>2399.7146549999998</v>
      </c>
      <c r="E846" s="6">
        <f t="shared" si="96"/>
        <v>951.3957795</v>
      </c>
      <c r="F846" s="6">
        <f t="shared" si="97"/>
        <v>-1.079500000000122E-3</v>
      </c>
      <c r="G846" s="6">
        <f t="shared" si="93"/>
        <v>-674.92059848078725</v>
      </c>
      <c r="H846" s="7">
        <f t="shared" si="94"/>
        <v>-4.320176422713199E-13</v>
      </c>
      <c r="I846" s="8" t="str">
        <f t="shared" si="95"/>
        <v/>
      </c>
    </row>
    <row r="847" spans="1:9" x14ac:dyDescent="0.2">
      <c r="A847" s="5">
        <v>846</v>
      </c>
      <c r="B847" s="6">
        <v>2.9298989999999998</v>
      </c>
      <c r="C847" s="6">
        <f t="shared" si="91"/>
        <v>2.8388989999999996</v>
      </c>
      <c r="D847" s="6">
        <f t="shared" si="92"/>
        <v>2401.7085539999998</v>
      </c>
      <c r="E847" s="6">
        <f t="shared" si="96"/>
        <v>954.23517849999996</v>
      </c>
      <c r="F847" s="6">
        <f t="shared" si="97"/>
        <v>-1.1525000000001118E-3</v>
      </c>
      <c r="G847" s="6">
        <f t="shared" si="93"/>
        <v>-675.01845235887208</v>
      </c>
      <c r="H847" s="7">
        <f t="shared" si="94"/>
        <v>-4.0471207013786607E-13</v>
      </c>
      <c r="I847" s="8" t="str">
        <f t="shared" si="95"/>
        <v/>
      </c>
    </row>
    <row r="848" spans="1:9" x14ac:dyDescent="0.2">
      <c r="A848" s="5">
        <v>847</v>
      </c>
      <c r="B848" s="6">
        <v>2.9285939999999999</v>
      </c>
      <c r="C848" s="6">
        <f t="shared" si="91"/>
        <v>2.8375939999999997</v>
      </c>
      <c r="D848" s="6">
        <f t="shared" si="92"/>
        <v>2403.4421179999999</v>
      </c>
      <c r="E848" s="6">
        <f t="shared" si="96"/>
        <v>957.07342499999993</v>
      </c>
      <c r="F848" s="6">
        <f t="shared" si="97"/>
        <v>7.3150000000010706E-4</v>
      </c>
      <c r="G848" s="6">
        <f t="shared" si="93"/>
        <v>-675.14745666977274</v>
      </c>
      <c r="H848" s="7">
        <f t="shared" si="94"/>
        <v>6.3775776002428238E-13</v>
      </c>
      <c r="I848" s="8" t="str">
        <f t="shared" si="95"/>
        <v/>
      </c>
    </row>
    <row r="849" spans="1:9" x14ac:dyDescent="0.2">
      <c r="A849" s="5">
        <v>848</v>
      </c>
      <c r="B849" s="6">
        <v>2.931362</v>
      </c>
      <c r="C849" s="6">
        <f t="shared" si="91"/>
        <v>2.8403619999999998</v>
      </c>
      <c r="D849" s="6">
        <f t="shared" si="92"/>
        <v>2408.626976</v>
      </c>
      <c r="E849" s="6">
        <f t="shared" si="96"/>
        <v>959.91240299999993</v>
      </c>
      <c r="F849" s="6">
        <f t="shared" si="97"/>
        <v>5.1449999999997331E-4</v>
      </c>
      <c r="G849" s="6">
        <f t="shared" si="93"/>
        <v>-674.87106113523396</v>
      </c>
      <c r="H849" s="7">
        <f t="shared" si="94"/>
        <v>9.0637281836050942E-13</v>
      </c>
      <c r="I849" s="8" t="str">
        <f t="shared" si="95"/>
        <v/>
      </c>
    </row>
    <row r="850" spans="1:9" x14ac:dyDescent="0.2">
      <c r="A850" s="5">
        <v>849</v>
      </c>
      <c r="B850" s="6">
        <v>2.9296229999999999</v>
      </c>
      <c r="C850" s="6">
        <f t="shared" si="91"/>
        <v>2.8386229999999997</v>
      </c>
      <c r="D850" s="6">
        <f t="shared" si="92"/>
        <v>2409.9909269999998</v>
      </c>
      <c r="E850" s="6">
        <f t="shared" si="96"/>
        <v>962.75189549999993</v>
      </c>
      <c r="F850" s="6">
        <f t="shared" si="97"/>
        <v>-1.3909999999999201E-3</v>
      </c>
      <c r="G850" s="6">
        <f t="shared" si="93"/>
        <v>-675.04644602922349</v>
      </c>
      <c r="H850" s="7">
        <f t="shared" si="94"/>
        <v>-3.3533429487142841E-13</v>
      </c>
      <c r="I850" s="8" t="str">
        <f t="shared" si="95"/>
        <v/>
      </c>
    </row>
    <row r="851" spans="1:9" x14ac:dyDescent="0.2">
      <c r="A851" s="5">
        <v>850</v>
      </c>
      <c r="B851" s="6">
        <v>2.9285800000000002</v>
      </c>
      <c r="C851" s="6">
        <f t="shared" si="91"/>
        <v>2.83758</v>
      </c>
      <c r="D851" s="6">
        <f t="shared" si="92"/>
        <v>2411.9430000000002</v>
      </c>
      <c r="E851" s="6">
        <f t="shared" si="96"/>
        <v>965.58999699999993</v>
      </c>
      <c r="F851" s="6">
        <f t="shared" si="97"/>
        <v>-2.3200000000000998E-4</v>
      </c>
      <c r="G851" s="6">
        <f t="shared" si="93"/>
        <v>-675.15267962406597</v>
      </c>
      <c r="H851" s="7">
        <f t="shared" si="94"/>
        <v>-2.0108767692429762E-12</v>
      </c>
      <c r="I851" s="8" t="str">
        <f t="shared" si="95"/>
        <v/>
      </c>
    </row>
    <row r="852" spans="1:9" x14ac:dyDescent="0.2">
      <c r="A852" s="5">
        <v>851</v>
      </c>
      <c r="B852" s="6">
        <v>2.9291589999999998</v>
      </c>
      <c r="C852" s="6">
        <f t="shared" si="91"/>
        <v>2.8381589999999997</v>
      </c>
      <c r="D852" s="6">
        <f t="shared" si="92"/>
        <v>2415.2733089999997</v>
      </c>
      <c r="E852" s="6">
        <f t="shared" si="96"/>
        <v>968.42786649999994</v>
      </c>
      <c r="F852" s="6">
        <f t="shared" si="97"/>
        <v>-9.5650000000002677E-4</v>
      </c>
      <c r="G852" s="6">
        <f t="shared" si="93"/>
        <v>-675.09312722865479</v>
      </c>
      <c r="H852" s="7">
        <f t="shared" si="94"/>
        <v>-4.8769708351764715E-13</v>
      </c>
      <c r="I852" s="8" t="str">
        <f t="shared" si="95"/>
        <v/>
      </c>
    </row>
    <row r="853" spans="1:9" x14ac:dyDescent="0.2">
      <c r="A853" s="5">
        <v>852</v>
      </c>
      <c r="B853" s="6">
        <v>2.9266670000000001</v>
      </c>
      <c r="C853" s="6">
        <f t="shared" si="91"/>
        <v>2.8356669999999999</v>
      </c>
      <c r="D853" s="6">
        <f t="shared" si="92"/>
        <v>2415.988284</v>
      </c>
      <c r="E853" s="6">
        <f t="shared" si="96"/>
        <v>971.26477949999992</v>
      </c>
      <c r="F853" s="6">
        <f t="shared" si="97"/>
        <v>-1.0289999999999466E-3</v>
      </c>
      <c r="G853" s="6">
        <f t="shared" si="93"/>
        <v>-675.35193109284216</v>
      </c>
      <c r="H853" s="7">
        <f t="shared" si="94"/>
        <v>-4.5350932083245169E-13</v>
      </c>
      <c r="I853" s="8" t="str">
        <f t="shared" si="95"/>
        <v/>
      </c>
    </row>
    <row r="854" spans="1:9" x14ac:dyDescent="0.2">
      <c r="A854" s="5">
        <v>853</v>
      </c>
      <c r="B854" s="6">
        <v>2.927101</v>
      </c>
      <c r="C854" s="6">
        <f t="shared" si="91"/>
        <v>2.8361009999999998</v>
      </c>
      <c r="D854" s="6">
        <f t="shared" si="92"/>
        <v>2419.1941529999999</v>
      </c>
      <c r="E854" s="6">
        <f t="shared" si="96"/>
        <v>974.10066349999988</v>
      </c>
      <c r="F854" s="6">
        <f t="shared" si="97"/>
        <v>1.6649999999995835E-4</v>
      </c>
      <c r="G854" s="6">
        <f t="shared" si="93"/>
        <v>-675.30642450975336</v>
      </c>
      <c r="H854" s="7">
        <f t="shared" si="94"/>
        <v>2.8025804598542251E-12</v>
      </c>
      <c r="I854" s="8" t="str">
        <f t="shared" si="95"/>
        <v/>
      </c>
    </row>
    <row r="855" spans="1:9" x14ac:dyDescent="0.2">
      <c r="A855" s="5">
        <v>854</v>
      </c>
      <c r="B855" s="6">
        <v>2.927</v>
      </c>
      <c r="C855" s="6">
        <f t="shared" si="91"/>
        <v>2.8359999999999999</v>
      </c>
      <c r="D855" s="6">
        <f t="shared" si="92"/>
        <v>2421.944</v>
      </c>
      <c r="E855" s="6">
        <f t="shared" si="96"/>
        <v>976.93671399999994</v>
      </c>
      <c r="F855" s="6">
        <f t="shared" si="97"/>
        <v>-3.2600000000004847E-4</v>
      </c>
      <c r="G855" s="6">
        <f t="shared" si="93"/>
        <v>-675.31711575144004</v>
      </c>
      <c r="H855" s="7">
        <f t="shared" si="94"/>
        <v>-1.4314019450958815E-12</v>
      </c>
      <c r="I855" s="8" t="str">
        <f t="shared" si="95"/>
        <v/>
      </c>
    </row>
    <row r="856" spans="1:9" x14ac:dyDescent="0.2">
      <c r="A856" s="5">
        <v>855</v>
      </c>
      <c r="B856" s="6">
        <v>2.9264489999999999</v>
      </c>
      <c r="C856" s="6">
        <f t="shared" si="91"/>
        <v>2.8354489999999997</v>
      </c>
      <c r="D856" s="6">
        <f t="shared" si="92"/>
        <v>2424.3088949999997</v>
      </c>
      <c r="E856" s="6">
        <f t="shared" si="96"/>
        <v>979.77243849999991</v>
      </c>
      <c r="F856" s="6">
        <f t="shared" si="97"/>
        <v>-2.9000000000056758E-5</v>
      </c>
      <c r="G856" s="6">
        <f t="shared" si="93"/>
        <v>-675.37599223826464</v>
      </c>
      <c r="H856" s="7">
        <f t="shared" si="94"/>
        <v>-1.6092335073600931E-11</v>
      </c>
      <c r="I856" s="8" t="str">
        <f t="shared" si="95"/>
        <v/>
      </c>
    </row>
    <row r="857" spans="1:9" x14ac:dyDescent="0.2">
      <c r="A857" s="5">
        <v>856</v>
      </c>
      <c r="B857" s="6">
        <v>2.9269419999999999</v>
      </c>
      <c r="C857" s="6">
        <f t="shared" si="91"/>
        <v>2.8359419999999997</v>
      </c>
      <c r="D857" s="6">
        <f t="shared" si="92"/>
        <v>2427.5663519999998</v>
      </c>
      <c r="E857" s="6">
        <f t="shared" si="96"/>
        <v>982.60813399999995</v>
      </c>
      <c r="F857" s="6">
        <f t="shared" si="97"/>
        <v>9.4500000000108386E-5</v>
      </c>
      <c r="G857" s="6">
        <f t="shared" si="93"/>
        <v>-675.32282027636893</v>
      </c>
      <c r="H857" s="7">
        <f t="shared" si="94"/>
        <v>4.9379997446307141E-12</v>
      </c>
      <c r="I857" s="8" t="str">
        <f t="shared" si="95"/>
        <v/>
      </c>
    </row>
    <row r="858" spans="1:9" x14ac:dyDescent="0.2">
      <c r="A858" s="5">
        <v>857</v>
      </c>
      <c r="B858" s="6">
        <v>2.9266380000000001</v>
      </c>
      <c r="C858" s="6">
        <f t="shared" si="91"/>
        <v>2.8356379999999999</v>
      </c>
      <c r="D858" s="6">
        <f t="shared" si="92"/>
        <v>2430.1417659999997</v>
      </c>
      <c r="E858" s="6">
        <f t="shared" si="96"/>
        <v>985.44392399999992</v>
      </c>
      <c r="F858" s="6">
        <f t="shared" si="97"/>
        <v>3.1150000000002009E-4</v>
      </c>
      <c r="G858" s="6">
        <f t="shared" si="93"/>
        <v>-675.35591185530666</v>
      </c>
      <c r="H858" s="7">
        <f t="shared" si="94"/>
        <v>1.4981182722362485E-12</v>
      </c>
      <c r="I858" s="8" t="str">
        <f t="shared" si="95"/>
        <v/>
      </c>
    </row>
    <row r="859" spans="1:9" x14ac:dyDescent="0.2">
      <c r="A859" s="5">
        <v>858</v>
      </c>
      <c r="B859" s="6">
        <v>2.927565</v>
      </c>
      <c r="C859" s="6">
        <f t="shared" si="91"/>
        <v>2.8365649999999998</v>
      </c>
      <c r="D859" s="6">
        <f t="shared" si="92"/>
        <v>2433.77277</v>
      </c>
      <c r="E859" s="6">
        <f t="shared" si="96"/>
        <v>988.28002549999997</v>
      </c>
      <c r="F859" s="6">
        <f t="shared" si="97"/>
        <v>1.1665000000000703E-3</v>
      </c>
      <c r="G859" s="6">
        <f t="shared" si="93"/>
        <v>-675.25407731032215</v>
      </c>
      <c r="H859" s="7">
        <f t="shared" si="94"/>
        <v>3.9999440651571492E-13</v>
      </c>
      <c r="I859" s="8" t="str">
        <f t="shared" si="95"/>
        <v/>
      </c>
    </row>
    <row r="860" spans="1:9" x14ac:dyDescent="0.2">
      <c r="A860" s="5">
        <v>859</v>
      </c>
      <c r="B860" s="6">
        <v>2.9289710000000002</v>
      </c>
      <c r="C860" s="6">
        <f t="shared" si="91"/>
        <v>2.837971</v>
      </c>
      <c r="D860" s="6">
        <f t="shared" si="92"/>
        <v>2437.8170890000001</v>
      </c>
      <c r="E860" s="6">
        <f t="shared" si="96"/>
        <v>991.11729349999996</v>
      </c>
      <c r="F860" s="6">
        <f t="shared" si="97"/>
        <v>9.9300000000002164E-4</v>
      </c>
      <c r="G860" s="6">
        <f t="shared" si="93"/>
        <v>-675.0982167577348</v>
      </c>
      <c r="H860" s="7">
        <f t="shared" si="94"/>
        <v>4.6977419657177361E-13</v>
      </c>
      <c r="I860" s="8" t="str">
        <f t="shared" si="95"/>
        <v/>
      </c>
    </row>
    <row r="861" spans="1:9" x14ac:dyDescent="0.2">
      <c r="A861" s="5">
        <v>860</v>
      </c>
      <c r="B861" s="6">
        <v>2.929551</v>
      </c>
      <c r="C861" s="6">
        <f t="shared" si="91"/>
        <v>2.8385509999999998</v>
      </c>
      <c r="D861" s="6">
        <f t="shared" si="92"/>
        <v>2441.1538599999999</v>
      </c>
      <c r="E861" s="6">
        <f t="shared" si="96"/>
        <v>993.95555449999995</v>
      </c>
      <c r="F861" s="6">
        <f t="shared" si="97"/>
        <v>1.8099999999998673E-4</v>
      </c>
      <c r="G861" s="6">
        <f t="shared" si="93"/>
        <v>-675.03334150844557</v>
      </c>
      <c r="H861" s="7">
        <f t="shared" si="94"/>
        <v>2.577021818121238E-12</v>
      </c>
      <c r="I861" s="8" t="str">
        <f t="shared" si="95"/>
        <v/>
      </c>
    </row>
    <row r="862" spans="1:9" x14ac:dyDescent="0.2">
      <c r="A862" s="5">
        <v>861</v>
      </c>
      <c r="B862" s="6">
        <v>2.9293330000000002</v>
      </c>
      <c r="C862" s="6">
        <f t="shared" si="91"/>
        <v>2.838333</v>
      </c>
      <c r="D862" s="6">
        <f t="shared" si="92"/>
        <v>2443.804713</v>
      </c>
      <c r="E862" s="6">
        <f t="shared" si="96"/>
        <v>996.79399649999993</v>
      </c>
      <c r="F862" s="6">
        <f t="shared" si="97"/>
        <v>-4.7100000000011022E-4</v>
      </c>
      <c r="G862" s="6">
        <f t="shared" si="93"/>
        <v>-675.05794365386805</v>
      </c>
      <c r="H862" s="7">
        <f t="shared" si="94"/>
        <v>-9.9035657941377988E-13</v>
      </c>
      <c r="I862" s="8" t="str">
        <f t="shared" si="95"/>
        <v/>
      </c>
    </row>
    <row r="863" spans="1:9" x14ac:dyDescent="0.2">
      <c r="A863" s="5">
        <v>862</v>
      </c>
      <c r="B863" s="6">
        <v>2.9286089999999998</v>
      </c>
      <c r="C863" s="6">
        <f t="shared" si="91"/>
        <v>2.8376089999999996</v>
      </c>
      <c r="D863" s="6">
        <f t="shared" si="92"/>
        <v>2446.0189579999997</v>
      </c>
      <c r="E863" s="6">
        <f t="shared" si="96"/>
        <v>999.63196749999997</v>
      </c>
      <c r="F863" s="6">
        <f t="shared" si="97"/>
        <v>-8.2599999999999341E-4</v>
      </c>
      <c r="G863" s="6">
        <f t="shared" si="93"/>
        <v>-675.14037386160157</v>
      </c>
      <c r="H863" s="7">
        <f t="shared" si="94"/>
        <v>-5.6478802337987794E-13</v>
      </c>
      <c r="I863" s="8" t="str">
        <f t="shared" si="95"/>
        <v/>
      </c>
    </row>
    <row r="864" spans="1:9" x14ac:dyDescent="0.2">
      <c r="A864" s="5">
        <v>863</v>
      </c>
      <c r="B864" s="6">
        <v>2.9276810000000002</v>
      </c>
      <c r="C864" s="6">
        <f t="shared" si="91"/>
        <v>2.836681</v>
      </c>
      <c r="D864" s="6">
        <f t="shared" si="92"/>
        <v>2448.055703</v>
      </c>
      <c r="E864" s="6">
        <f t="shared" si="96"/>
        <v>1002.4691124999999</v>
      </c>
      <c r="F864" s="6">
        <f t="shared" si="97"/>
        <v>-2.7549999999987307E-4</v>
      </c>
      <c r="G864" s="6">
        <f t="shared" si="93"/>
        <v>-675.24695826046423</v>
      </c>
      <c r="H864" s="7">
        <f t="shared" si="94"/>
        <v>-1.6936063739097798E-12</v>
      </c>
      <c r="I864" s="8" t="str">
        <f t="shared" si="95"/>
        <v/>
      </c>
    </row>
    <row r="865" spans="1:9" x14ac:dyDescent="0.2">
      <c r="A865" s="5">
        <v>864</v>
      </c>
      <c r="B865" s="6">
        <v>2.928058</v>
      </c>
      <c r="C865" s="6">
        <f t="shared" si="91"/>
        <v>2.8370579999999999</v>
      </c>
      <c r="D865" s="6">
        <f t="shared" si="92"/>
        <v>2451.218112</v>
      </c>
      <c r="E865" s="6">
        <f t="shared" si="96"/>
        <v>1005.305982</v>
      </c>
      <c r="F865" s="6">
        <f t="shared" si="97"/>
        <v>-5.0000000000016698E-4</v>
      </c>
      <c r="G865" s="6">
        <f t="shared" si="93"/>
        <v>-675.20328134842623</v>
      </c>
      <c r="H865" s="7">
        <f t="shared" si="94"/>
        <v>-9.3311675144859147E-13</v>
      </c>
      <c r="I865" s="8" t="str">
        <f t="shared" si="95"/>
        <v/>
      </c>
    </row>
    <row r="866" spans="1:9" x14ac:dyDescent="0.2">
      <c r="A866" s="5">
        <v>865</v>
      </c>
      <c r="B866" s="6">
        <v>2.9266809999999999</v>
      </c>
      <c r="C866" s="6">
        <f t="shared" si="91"/>
        <v>2.8356809999999997</v>
      </c>
      <c r="D866" s="6">
        <f t="shared" si="92"/>
        <v>2452.8640649999998</v>
      </c>
      <c r="E866" s="6">
        <f t="shared" si="96"/>
        <v>1008.1423515</v>
      </c>
      <c r="F866" s="6">
        <f t="shared" si="97"/>
        <v>-1.0144999999999182E-3</v>
      </c>
      <c r="G866" s="6">
        <f t="shared" si="93"/>
        <v>-675.36418913854914</v>
      </c>
      <c r="H866" s="7">
        <f t="shared" si="94"/>
        <v>-4.5999956758742533E-13</v>
      </c>
      <c r="I866" s="8" t="str">
        <f t="shared" si="95"/>
        <v/>
      </c>
    </row>
    <row r="867" spans="1:9" x14ac:dyDescent="0.2">
      <c r="A867" s="5">
        <v>866</v>
      </c>
      <c r="B867" s="6">
        <v>2.9260290000000002</v>
      </c>
      <c r="C867" s="6">
        <f t="shared" si="91"/>
        <v>2.835029</v>
      </c>
      <c r="D867" s="6">
        <f t="shared" si="92"/>
        <v>2455.1351140000002</v>
      </c>
      <c r="E867" s="6">
        <f t="shared" si="96"/>
        <v>1010.9777065000001</v>
      </c>
      <c r="F867" s="6">
        <f t="shared" si="97"/>
        <v>-1.4199999999999768E-3</v>
      </c>
      <c r="G867" s="6">
        <f t="shared" si="93"/>
        <v>-675.44102986706048</v>
      </c>
      <c r="H867" s="7">
        <f t="shared" si="94"/>
        <v>-3.2867792778433314E-13</v>
      </c>
      <c r="I867" s="8" t="str">
        <f t="shared" si="95"/>
        <v/>
      </c>
    </row>
    <row r="868" spans="1:9" x14ac:dyDescent="0.2">
      <c r="A868" s="5">
        <v>867</v>
      </c>
      <c r="B868" s="6">
        <v>2.9238409999999999</v>
      </c>
      <c r="C868" s="6">
        <f t="shared" si="91"/>
        <v>2.8328409999999997</v>
      </c>
      <c r="D868" s="6">
        <f t="shared" si="92"/>
        <v>2456.0731469999996</v>
      </c>
      <c r="E868" s="6">
        <f t="shared" si="96"/>
        <v>1013.8116415000001</v>
      </c>
      <c r="F868" s="6">
        <f t="shared" si="97"/>
        <v>-8.5500000000005016E-4</v>
      </c>
      <c r="G868" s="6">
        <f t="shared" si="93"/>
        <v>-675.70108215231005</v>
      </c>
      <c r="H868" s="7">
        <f t="shared" si="94"/>
        <v>-5.4608462087893093E-13</v>
      </c>
      <c r="I868" s="8" t="str">
        <f t="shared" si="95"/>
        <v/>
      </c>
    </row>
    <row r="869" spans="1:9" x14ac:dyDescent="0.2">
      <c r="A869" s="5">
        <v>868</v>
      </c>
      <c r="B869" s="6">
        <v>2.9243190000000001</v>
      </c>
      <c r="C869" s="6">
        <f t="shared" si="91"/>
        <v>2.8333189999999999</v>
      </c>
      <c r="D869" s="6">
        <f t="shared" si="92"/>
        <v>2459.3208919999997</v>
      </c>
      <c r="E869" s="6">
        <f t="shared" si="96"/>
        <v>1016.6447215000001</v>
      </c>
      <c r="F869" s="6">
        <f t="shared" si="97"/>
        <v>1.0650000000000936E-3</v>
      </c>
      <c r="G869" s="6">
        <f t="shared" si="93"/>
        <v>-675.64379199858547</v>
      </c>
      <c r="H869" s="7">
        <f t="shared" si="94"/>
        <v>4.3836879244785852E-13</v>
      </c>
      <c r="I869" s="8" t="str">
        <f t="shared" si="95"/>
        <v/>
      </c>
    </row>
    <row r="870" spans="1:9" x14ac:dyDescent="0.2">
      <c r="A870" s="5">
        <v>869</v>
      </c>
      <c r="B870" s="6">
        <v>2.9259710000000001</v>
      </c>
      <c r="C870" s="6">
        <f t="shared" si="91"/>
        <v>2.8349709999999999</v>
      </c>
      <c r="D870" s="6">
        <f t="shared" si="92"/>
        <v>2463.5897989999999</v>
      </c>
      <c r="E870" s="6">
        <f t="shared" si="96"/>
        <v>1019.4788665000001</v>
      </c>
      <c r="F870" s="6">
        <f t="shared" si="97"/>
        <v>1.3619999999998633E-3</v>
      </c>
      <c r="G870" s="6">
        <f t="shared" si="93"/>
        <v>-675.44414139198943</v>
      </c>
      <c r="H870" s="7">
        <f t="shared" si="94"/>
        <v>3.4267607010634201E-13</v>
      </c>
      <c r="I870" s="8" t="str">
        <f t="shared" si="95"/>
        <v/>
      </c>
    </row>
    <row r="871" spans="1:9" x14ac:dyDescent="0.2">
      <c r="A871" s="5">
        <v>870</v>
      </c>
      <c r="B871" s="6">
        <v>2.9270429999999998</v>
      </c>
      <c r="C871" s="6">
        <f t="shared" si="91"/>
        <v>2.8360429999999996</v>
      </c>
      <c r="D871" s="6">
        <f t="shared" si="92"/>
        <v>2467.3574099999996</v>
      </c>
      <c r="E871" s="6">
        <f t="shared" si="96"/>
        <v>1022.3143735000001</v>
      </c>
      <c r="F871" s="6">
        <f t="shared" si="97"/>
        <v>1.3050000000003337E-4</v>
      </c>
      <c r="G871" s="6">
        <f t="shared" si="93"/>
        <v>-675.3135140346825</v>
      </c>
      <c r="H871" s="7">
        <f t="shared" si="94"/>
        <v>3.5757436425498613E-12</v>
      </c>
      <c r="I871" s="8" t="str">
        <f t="shared" si="95"/>
        <v/>
      </c>
    </row>
    <row r="872" spans="1:9" x14ac:dyDescent="0.2">
      <c r="A872" s="5">
        <v>871</v>
      </c>
      <c r="B872" s="6">
        <v>2.9262320000000002</v>
      </c>
      <c r="C872" s="6">
        <f t="shared" si="91"/>
        <v>2.835232</v>
      </c>
      <c r="D872" s="6">
        <f t="shared" si="92"/>
        <v>2469.4870719999999</v>
      </c>
      <c r="E872" s="6">
        <f t="shared" si="96"/>
        <v>1025.1500110000002</v>
      </c>
      <c r="F872" s="6">
        <f t="shared" si="97"/>
        <v>-1.5900000000002024E-4</v>
      </c>
      <c r="G872" s="6">
        <f t="shared" si="93"/>
        <v>-675.4131485298094</v>
      </c>
      <c r="H872" s="7">
        <f t="shared" si="94"/>
        <v>-2.935241457499902E-12</v>
      </c>
      <c r="I872" s="8" t="str">
        <f t="shared" si="95"/>
        <v/>
      </c>
    </row>
    <row r="873" spans="1:9" x14ac:dyDescent="0.2">
      <c r="A873" s="5">
        <v>872</v>
      </c>
      <c r="B873" s="6">
        <v>2.9267249999999998</v>
      </c>
      <c r="C873" s="6">
        <f t="shared" si="91"/>
        <v>2.8357249999999996</v>
      </c>
      <c r="D873" s="6">
        <f t="shared" si="92"/>
        <v>2472.7521999999994</v>
      </c>
      <c r="E873" s="6">
        <f t="shared" si="96"/>
        <v>1027.9854895000001</v>
      </c>
      <c r="F873" s="6">
        <f t="shared" si="97"/>
        <v>3.5499999999988319E-4</v>
      </c>
      <c r="G873" s="6">
        <f t="shared" si="93"/>
        <v>-675.35208856791348</v>
      </c>
      <c r="H873" s="7">
        <f t="shared" si="94"/>
        <v>1.3145385914094157E-12</v>
      </c>
      <c r="I873" s="8" t="str">
        <f t="shared" si="95"/>
        <v/>
      </c>
    </row>
    <row r="874" spans="1:9" x14ac:dyDescent="0.2">
      <c r="A874" s="5">
        <v>873</v>
      </c>
      <c r="B874" s="6">
        <v>2.9269419999999999</v>
      </c>
      <c r="C874" s="6">
        <f t="shared" si="91"/>
        <v>2.8359419999999997</v>
      </c>
      <c r="D874" s="6">
        <f t="shared" si="92"/>
        <v>2475.7773659999998</v>
      </c>
      <c r="E874" s="6">
        <f t="shared" si="96"/>
        <v>1030.8213230000001</v>
      </c>
      <c r="F874" s="6">
        <f t="shared" si="97"/>
        <v>2.5350000000012862E-4</v>
      </c>
      <c r="G874" s="6">
        <f t="shared" si="93"/>
        <v>-675.32499527636901</v>
      </c>
      <c r="H874" s="7">
        <f t="shared" si="94"/>
        <v>1.8407987328207375E-12</v>
      </c>
      <c r="I874" s="8" t="str">
        <f t="shared" si="95"/>
        <v/>
      </c>
    </row>
    <row r="875" spans="1:9" x14ac:dyDescent="0.2">
      <c r="A875" s="5">
        <v>874</v>
      </c>
      <c r="B875" s="6">
        <v>2.9272320000000001</v>
      </c>
      <c r="C875" s="6">
        <f t="shared" si="91"/>
        <v>2.8362319999999999</v>
      </c>
      <c r="D875" s="6">
        <f t="shared" si="92"/>
        <v>2478.8667679999999</v>
      </c>
      <c r="E875" s="6">
        <f t="shared" si="96"/>
        <v>1033.65741</v>
      </c>
      <c r="F875" s="6">
        <f t="shared" si="97"/>
        <v>4.2049999999993481E-4</v>
      </c>
      <c r="G875" s="6">
        <f t="shared" si="93"/>
        <v>-675.28849765172436</v>
      </c>
      <c r="H875" s="7">
        <f t="shared" si="94"/>
        <v>1.1096724358979136E-12</v>
      </c>
      <c r="I875" s="8" t="str">
        <f t="shared" si="95"/>
        <v/>
      </c>
    </row>
    <row r="876" spans="1:9" x14ac:dyDescent="0.2">
      <c r="A876" s="5">
        <v>875</v>
      </c>
      <c r="B876" s="6">
        <v>2.9277829999999998</v>
      </c>
      <c r="C876" s="6">
        <f t="shared" si="91"/>
        <v>2.8367829999999996</v>
      </c>
      <c r="D876" s="6">
        <f t="shared" si="92"/>
        <v>2482.1851249999995</v>
      </c>
      <c r="E876" s="6">
        <f t="shared" si="96"/>
        <v>1036.4939175</v>
      </c>
      <c r="F876" s="6">
        <f t="shared" si="97"/>
        <v>7.8249999999990827E-4</v>
      </c>
      <c r="G876" s="6">
        <f t="shared" si="93"/>
        <v>-675.21860116489961</v>
      </c>
      <c r="H876" s="7">
        <f t="shared" si="94"/>
        <v>5.9625426397033186E-13</v>
      </c>
      <c r="I876" s="8" t="str">
        <f t="shared" si="95"/>
        <v/>
      </c>
    </row>
    <row r="877" spans="1:9" x14ac:dyDescent="0.2">
      <c r="A877" s="5">
        <v>876</v>
      </c>
      <c r="B877" s="6">
        <v>2.9287969999999999</v>
      </c>
      <c r="C877" s="6">
        <f t="shared" si="91"/>
        <v>2.8377969999999997</v>
      </c>
      <c r="D877" s="6">
        <f t="shared" si="92"/>
        <v>2485.9101719999999</v>
      </c>
      <c r="E877" s="6">
        <f t="shared" si="96"/>
        <v>1039.3312074999999</v>
      </c>
      <c r="F877" s="6">
        <f t="shared" si="97"/>
        <v>6.8800000000002193E-4</v>
      </c>
      <c r="G877" s="6">
        <f t="shared" si="93"/>
        <v>-675.08895733252143</v>
      </c>
      <c r="H877" s="7">
        <f t="shared" si="94"/>
        <v>6.7802235324156423E-13</v>
      </c>
      <c r="I877" s="8" t="str">
        <f t="shared" si="95"/>
        <v/>
      </c>
    </row>
    <row r="878" spans="1:9" x14ac:dyDescent="0.2">
      <c r="A878" s="5">
        <v>877</v>
      </c>
      <c r="B878" s="6">
        <v>2.9291589999999998</v>
      </c>
      <c r="C878" s="6">
        <f t="shared" si="91"/>
        <v>2.8381589999999997</v>
      </c>
      <c r="D878" s="6">
        <f t="shared" si="92"/>
        <v>2489.0654429999995</v>
      </c>
      <c r="E878" s="6">
        <f t="shared" si="96"/>
        <v>1042.1691854999999</v>
      </c>
      <c r="F878" s="6">
        <f t="shared" si="97"/>
        <v>-5.9399999999998343E-4</v>
      </c>
      <c r="G878" s="6">
        <f t="shared" si="93"/>
        <v>-675.04231222865485</v>
      </c>
      <c r="H878" s="7">
        <f t="shared" si="94"/>
        <v>-7.85264558507353E-13</v>
      </c>
      <c r="I878" s="8" t="str">
        <f t="shared" si="95"/>
        <v/>
      </c>
    </row>
    <row r="879" spans="1:9" x14ac:dyDescent="0.2">
      <c r="A879" s="5">
        <v>878</v>
      </c>
      <c r="B879" s="6">
        <v>2.9276089999999999</v>
      </c>
      <c r="C879" s="6">
        <f t="shared" si="91"/>
        <v>2.8366089999999997</v>
      </c>
      <c r="D879" s="6">
        <f t="shared" si="92"/>
        <v>2490.5427019999997</v>
      </c>
      <c r="E879" s="6">
        <f t="shared" si="96"/>
        <v>1045.0065694999998</v>
      </c>
      <c r="F879" s="6">
        <f t="shared" si="97"/>
        <v>-3.4749999999994508E-4</v>
      </c>
      <c r="G879" s="6">
        <f t="shared" si="93"/>
        <v>-675.2435857396863</v>
      </c>
      <c r="H879" s="7">
        <f t="shared" si="94"/>
        <v>-1.342694174490841E-12</v>
      </c>
      <c r="I879" s="8" t="str">
        <f t="shared" si="95"/>
        <v/>
      </c>
    </row>
    <row r="880" spans="1:9" x14ac:dyDescent="0.2">
      <c r="A880" s="5">
        <v>879</v>
      </c>
      <c r="B880" s="6">
        <v>2.928464</v>
      </c>
      <c r="C880" s="6">
        <f t="shared" si="91"/>
        <v>2.8374639999999998</v>
      </c>
      <c r="D880" s="6">
        <f t="shared" si="92"/>
        <v>2494.1308559999998</v>
      </c>
      <c r="E880" s="6">
        <f t="shared" si="96"/>
        <v>1047.8436059999999</v>
      </c>
      <c r="F880" s="6">
        <f t="shared" si="97"/>
        <v>1.0149999999997661E-4</v>
      </c>
      <c r="G880" s="6">
        <f t="shared" si="93"/>
        <v>-675.13170567392376</v>
      </c>
      <c r="H880" s="7">
        <f t="shared" si="94"/>
        <v>4.5961469722683752E-12</v>
      </c>
      <c r="I880" s="8" t="str">
        <f t="shared" si="95"/>
        <v/>
      </c>
    </row>
    <row r="881" spans="1:9" x14ac:dyDescent="0.2">
      <c r="A881" s="5">
        <v>880</v>
      </c>
      <c r="B881" s="6">
        <v>2.9278119999999999</v>
      </c>
      <c r="C881" s="6">
        <f t="shared" si="91"/>
        <v>2.8368119999999997</v>
      </c>
      <c r="D881" s="6">
        <f t="shared" si="92"/>
        <v>2496.3945599999997</v>
      </c>
      <c r="E881" s="6">
        <f t="shared" si="96"/>
        <v>1050.680744</v>
      </c>
      <c r="F881" s="6">
        <f t="shared" si="97"/>
        <v>-3.1899999999995821E-4</v>
      </c>
      <c r="G881" s="6">
        <f t="shared" si="93"/>
        <v>-675.21767440243525</v>
      </c>
      <c r="H881" s="7">
        <f t="shared" si="94"/>
        <v>-1.4625966180992541E-12</v>
      </c>
      <c r="I881" s="8" t="str">
        <f t="shared" si="95"/>
        <v/>
      </c>
    </row>
    <row r="882" spans="1:9" x14ac:dyDescent="0.2">
      <c r="A882" s="5">
        <v>881</v>
      </c>
      <c r="B882" s="6">
        <v>2.927826</v>
      </c>
      <c r="C882" s="6">
        <f t="shared" si="91"/>
        <v>2.8368259999999998</v>
      </c>
      <c r="D882" s="6">
        <f t="shared" si="92"/>
        <v>2499.2437059999997</v>
      </c>
      <c r="E882" s="6">
        <f t="shared" si="96"/>
        <v>1053.5175630000001</v>
      </c>
      <c r="F882" s="6">
        <f t="shared" si="97"/>
        <v>-5.5099999999996818E-4</v>
      </c>
      <c r="G882" s="6">
        <f t="shared" si="93"/>
        <v>-675.21581444814205</v>
      </c>
      <c r="H882" s="7">
        <f t="shared" si="94"/>
        <v>-8.467641306075253E-13</v>
      </c>
      <c r="I882" s="8" t="str">
        <f t="shared" si="95"/>
        <v/>
      </c>
    </row>
    <row r="883" spans="1:9" x14ac:dyDescent="0.2">
      <c r="A883" s="5">
        <v>882</v>
      </c>
      <c r="B883" s="6">
        <v>2.9267099999999999</v>
      </c>
      <c r="C883" s="6">
        <f t="shared" si="91"/>
        <v>2.8357099999999997</v>
      </c>
      <c r="D883" s="6">
        <f t="shared" si="92"/>
        <v>2501.0962199999999</v>
      </c>
      <c r="E883" s="6">
        <f t="shared" si="96"/>
        <v>1056.3538310000001</v>
      </c>
      <c r="F883" s="6">
        <f t="shared" si="97"/>
        <v>-1.1520000000000419E-3</v>
      </c>
      <c r="G883" s="6">
        <f t="shared" si="93"/>
        <v>-675.36519537608478</v>
      </c>
      <c r="H883" s="7">
        <f t="shared" si="94"/>
        <v>-4.0509570886888634E-13</v>
      </c>
      <c r="I883" s="8" t="str">
        <f t="shared" si="95"/>
        <v/>
      </c>
    </row>
    <row r="884" spans="1:9" x14ac:dyDescent="0.2">
      <c r="A884" s="5">
        <v>883</v>
      </c>
      <c r="B884" s="6">
        <v>2.925522</v>
      </c>
      <c r="C884" s="6">
        <f t="shared" si="91"/>
        <v>2.8345219999999998</v>
      </c>
      <c r="D884" s="6">
        <f t="shared" si="92"/>
        <v>2502.8829259999998</v>
      </c>
      <c r="E884" s="6">
        <f t="shared" si="96"/>
        <v>1059.1889470000001</v>
      </c>
      <c r="F884" s="6">
        <f t="shared" si="97"/>
        <v>7.2500000000141895E-5</v>
      </c>
      <c r="G884" s="6">
        <f t="shared" si="93"/>
        <v>-675.52540178324944</v>
      </c>
      <c r="H884" s="7">
        <f t="shared" si="94"/>
        <v>6.4383580353207847E-12</v>
      </c>
      <c r="I884" s="8" t="str">
        <f t="shared" si="95"/>
        <v/>
      </c>
    </row>
    <row r="885" spans="1:9" x14ac:dyDescent="0.2">
      <c r="A885" s="5">
        <v>884</v>
      </c>
      <c r="B885" s="6">
        <v>2.9268550000000002</v>
      </c>
      <c r="C885" s="6">
        <f t="shared" si="91"/>
        <v>2.835855</v>
      </c>
      <c r="D885" s="6">
        <f t="shared" si="92"/>
        <v>2506.8958200000002</v>
      </c>
      <c r="E885" s="6">
        <f t="shared" si="96"/>
        <v>1062.0241355000001</v>
      </c>
      <c r="F885" s="6">
        <f t="shared" si="97"/>
        <v>4.0550000000005859E-4</v>
      </c>
      <c r="G885" s="6">
        <f t="shared" si="93"/>
        <v>-675.3443085637623</v>
      </c>
      <c r="H885" s="7">
        <f t="shared" si="94"/>
        <v>1.1508158422909168E-12</v>
      </c>
      <c r="I885" s="8" t="str">
        <f t="shared" si="95"/>
        <v/>
      </c>
    </row>
    <row r="886" spans="1:9" x14ac:dyDescent="0.2">
      <c r="A886" s="5">
        <v>885</v>
      </c>
      <c r="B886" s="6">
        <v>2.9263330000000001</v>
      </c>
      <c r="C886" s="6">
        <f t="shared" si="91"/>
        <v>2.8353329999999999</v>
      </c>
      <c r="D886" s="6">
        <f t="shared" si="92"/>
        <v>2509.2697049999997</v>
      </c>
      <c r="E886" s="6">
        <f t="shared" si="96"/>
        <v>1064.8597295</v>
      </c>
      <c r="F886" s="6">
        <f t="shared" si="97"/>
        <v>-1.4060000000000183E-3</v>
      </c>
      <c r="G886" s="6">
        <f t="shared" si="93"/>
        <v>-675.41574628812259</v>
      </c>
      <c r="H886" s="7">
        <f t="shared" si="94"/>
        <v>-3.3193825516802832E-13</v>
      </c>
      <c r="I886" s="8" t="str">
        <f t="shared" si="95"/>
        <v/>
      </c>
    </row>
    <row r="887" spans="1:9" x14ac:dyDescent="0.2">
      <c r="A887" s="5">
        <v>886</v>
      </c>
      <c r="B887" s="6">
        <v>2.9240430000000002</v>
      </c>
      <c r="C887" s="6">
        <f t="shared" si="91"/>
        <v>2.833043</v>
      </c>
      <c r="D887" s="6">
        <f t="shared" si="92"/>
        <v>2510.076098</v>
      </c>
      <c r="E887" s="6">
        <f t="shared" si="96"/>
        <v>1067.6939175</v>
      </c>
      <c r="F887" s="6">
        <f t="shared" si="97"/>
        <v>-3.9849999999996832E-4</v>
      </c>
      <c r="G887" s="6">
        <f t="shared" si="93"/>
        <v>-675.73143166893692</v>
      </c>
      <c r="H887" s="7">
        <f t="shared" si="94"/>
        <v>-1.171702188328174E-12</v>
      </c>
      <c r="I887" s="8" t="str">
        <f t="shared" si="95"/>
        <v/>
      </c>
    </row>
    <row r="888" spans="1:9" x14ac:dyDescent="0.2">
      <c r="A888" s="5">
        <v>887</v>
      </c>
      <c r="B888" s="6">
        <v>2.9255360000000001</v>
      </c>
      <c r="C888" s="6">
        <f t="shared" si="91"/>
        <v>2.8345359999999999</v>
      </c>
      <c r="D888" s="6">
        <f t="shared" si="92"/>
        <v>2514.233432</v>
      </c>
      <c r="E888" s="6">
        <f t="shared" si="96"/>
        <v>1070.527707</v>
      </c>
      <c r="F888" s="6">
        <f t="shared" si="97"/>
        <v>1.1669999999999181E-3</v>
      </c>
      <c r="G888" s="6">
        <f t="shared" si="93"/>
        <v>-675.52412282895614</v>
      </c>
      <c r="H888" s="7">
        <f t="shared" si="94"/>
        <v>3.9998292529367557E-13</v>
      </c>
      <c r="I888" s="8" t="str">
        <f t="shared" si="95"/>
        <v/>
      </c>
    </row>
    <row r="889" spans="1:9" x14ac:dyDescent="0.2">
      <c r="A889" s="5">
        <v>888</v>
      </c>
      <c r="B889" s="6">
        <v>2.926377</v>
      </c>
      <c r="C889" s="6">
        <f t="shared" si="91"/>
        <v>2.8353769999999998</v>
      </c>
      <c r="D889" s="6">
        <f t="shared" si="92"/>
        <v>2517.8147759999997</v>
      </c>
      <c r="E889" s="6">
        <f t="shared" si="96"/>
        <v>1073.3626635000001</v>
      </c>
      <c r="F889" s="6">
        <f t="shared" si="97"/>
        <v>1.1959999999999749E-3</v>
      </c>
      <c r="G889" s="6">
        <f t="shared" si="93"/>
        <v>-675.40650571748688</v>
      </c>
      <c r="H889" s="7">
        <f t="shared" si="94"/>
        <v>3.9021638932191343E-13</v>
      </c>
      <c r="I889" s="8" t="str">
        <f t="shared" si="95"/>
        <v/>
      </c>
    </row>
    <row r="890" spans="1:9" x14ac:dyDescent="0.2">
      <c r="A890" s="5">
        <v>889</v>
      </c>
      <c r="B890" s="6">
        <v>2.9279280000000001</v>
      </c>
      <c r="C890" s="6">
        <f t="shared" si="91"/>
        <v>2.8369279999999999</v>
      </c>
      <c r="D890" s="6">
        <f t="shared" si="92"/>
        <v>2522.028992</v>
      </c>
      <c r="E890" s="6">
        <f t="shared" si="96"/>
        <v>1076.1988160000001</v>
      </c>
      <c r="F890" s="6">
        <f t="shared" si="97"/>
        <v>-1.8849999999992484E-4</v>
      </c>
      <c r="G890" s="6">
        <f t="shared" si="93"/>
        <v>-675.18804135257733</v>
      </c>
      <c r="H890" s="7">
        <f t="shared" si="94"/>
        <v>-2.4750548808889775E-12</v>
      </c>
      <c r="I890" s="8" t="str">
        <f t="shared" si="95"/>
        <v/>
      </c>
    </row>
    <row r="891" spans="1:9" x14ac:dyDescent="0.2">
      <c r="A891" s="5">
        <v>890</v>
      </c>
      <c r="B891" s="6">
        <v>2.9260000000000002</v>
      </c>
      <c r="C891" s="6">
        <f t="shared" si="91"/>
        <v>2.835</v>
      </c>
      <c r="D891" s="6">
        <f t="shared" si="92"/>
        <v>2523.15</v>
      </c>
      <c r="E891" s="6">
        <f t="shared" si="96"/>
        <v>1079.0347800000002</v>
      </c>
      <c r="F891" s="6">
        <f t="shared" si="97"/>
        <v>-4.3499999999996319E-4</v>
      </c>
      <c r="G891" s="6">
        <f t="shared" si="93"/>
        <v>-675.46153562952509</v>
      </c>
      <c r="H891" s="7">
        <f t="shared" si="94"/>
        <v>-1.0729582223454602E-12</v>
      </c>
      <c r="I891" s="8" t="str">
        <f t="shared" si="95"/>
        <v/>
      </c>
    </row>
    <row r="892" spans="1:9" x14ac:dyDescent="0.2">
      <c r="A892" s="5">
        <v>891</v>
      </c>
      <c r="B892" s="6">
        <v>2.9270580000000002</v>
      </c>
      <c r="C892" s="6">
        <f t="shared" si="91"/>
        <v>2.836058</v>
      </c>
      <c r="D892" s="6">
        <f t="shared" si="92"/>
        <v>2526.927678</v>
      </c>
      <c r="E892" s="6">
        <f t="shared" si="96"/>
        <v>1081.8703090000001</v>
      </c>
      <c r="F892" s="6">
        <f t="shared" si="97"/>
        <v>6.8849999999986977E-4</v>
      </c>
      <c r="G892" s="6">
        <f t="shared" si="93"/>
        <v>-675.31039622651122</v>
      </c>
      <c r="H892" s="7">
        <f t="shared" si="94"/>
        <v>6.7775220185949835E-13</v>
      </c>
      <c r="I892" s="8" t="str">
        <f t="shared" si="95"/>
        <v/>
      </c>
    </row>
    <row r="893" spans="1:9" x14ac:dyDescent="0.2">
      <c r="A893" s="5">
        <v>892</v>
      </c>
      <c r="B893" s="6">
        <v>2.9273769999999999</v>
      </c>
      <c r="C893" s="6">
        <f t="shared" si="91"/>
        <v>2.8363769999999997</v>
      </c>
      <c r="D893" s="6">
        <f t="shared" si="92"/>
        <v>2530.0482839999995</v>
      </c>
      <c r="E893" s="6">
        <f t="shared" si="96"/>
        <v>1084.7065265000001</v>
      </c>
      <c r="F893" s="6">
        <f t="shared" si="97"/>
        <v>4.7799999999997844E-4</v>
      </c>
      <c r="G893" s="6">
        <f t="shared" si="93"/>
        <v>-675.2645068394022</v>
      </c>
      <c r="H893" s="7">
        <f t="shared" si="94"/>
        <v>9.7615205417506935E-13</v>
      </c>
      <c r="I893" s="8" t="str">
        <f t="shared" si="95"/>
        <v/>
      </c>
    </row>
    <row r="894" spans="1:9" x14ac:dyDescent="0.2">
      <c r="A894" s="5">
        <v>893</v>
      </c>
      <c r="B894" s="6">
        <v>2.9280140000000001</v>
      </c>
      <c r="C894" s="6">
        <f t="shared" si="91"/>
        <v>2.8370139999999999</v>
      </c>
      <c r="D894" s="6">
        <f t="shared" si="92"/>
        <v>2533.4535019999998</v>
      </c>
      <c r="E894" s="6">
        <f t="shared" si="96"/>
        <v>1087.543222</v>
      </c>
      <c r="F894" s="6">
        <f t="shared" si="97"/>
        <v>7.4649999999998329E-4</v>
      </c>
      <c r="G894" s="6">
        <f t="shared" si="93"/>
        <v>-675.17223491906202</v>
      </c>
      <c r="H894" s="7">
        <f t="shared" si="94"/>
        <v>6.2496573739832986E-13</v>
      </c>
      <c r="I894" s="8" t="str">
        <f t="shared" si="95"/>
        <v/>
      </c>
    </row>
    <row r="895" spans="1:9" x14ac:dyDescent="0.2">
      <c r="A895" s="5">
        <v>894</v>
      </c>
      <c r="B895" s="6">
        <v>2.9288699999999999</v>
      </c>
      <c r="C895" s="6">
        <f t="shared" si="91"/>
        <v>2.8378699999999997</v>
      </c>
      <c r="D895" s="6">
        <f t="shared" si="92"/>
        <v>2537.0557799999997</v>
      </c>
      <c r="E895" s="6">
        <f t="shared" si="96"/>
        <v>1090.380664</v>
      </c>
      <c r="F895" s="6">
        <f t="shared" si="97"/>
        <v>6.5500000000051628E-5</v>
      </c>
      <c r="G895" s="6">
        <f t="shared" si="93"/>
        <v>-675.04738399942153</v>
      </c>
      <c r="H895" s="7">
        <f t="shared" si="94"/>
        <v>7.1213840044781341E-12</v>
      </c>
      <c r="I895" s="8" t="str">
        <f t="shared" si="95"/>
        <v/>
      </c>
    </row>
    <row r="896" spans="1:9" x14ac:dyDescent="0.2">
      <c r="A896" s="5">
        <v>895</v>
      </c>
      <c r="B896" s="6">
        <v>2.9281450000000002</v>
      </c>
      <c r="C896" s="6">
        <f t="shared" si="91"/>
        <v>2.837145</v>
      </c>
      <c r="D896" s="6">
        <f t="shared" si="92"/>
        <v>2539.2447750000001</v>
      </c>
      <c r="E896" s="6">
        <f t="shared" si="96"/>
        <v>1093.2181714999999</v>
      </c>
      <c r="F896" s="6">
        <f t="shared" si="97"/>
        <v>-1.5944999999999432E-3</v>
      </c>
      <c r="G896" s="6">
        <f t="shared" si="93"/>
        <v>-675.15385306103281</v>
      </c>
      <c r="H896" s="7">
        <f t="shared" si="94"/>
        <v>-2.925833937265767E-13</v>
      </c>
      <c r="I896" s="8" t="str">
        <f t="shared" si="95"/>
        <v/>
      </c>
    </row>
    <row r="897" spans="1:9" x14ac:dyDescent="0.2">
      <c r="A897" s="5">
        <v>896</v>
      </c>
      <c r="B897" s="6">
        <v>2.925681</v>
      </c>
      <c r="C897" s="6">
        <f t="shared" si="91"/>
        <v>2.8346809999999998</v>
      </c>
      <c r="D897" s="6">
        <f t="shared" si="92"/>
        <v>2539.8741759999998</v>
      </c>
      <c r="E897" s="6">
        <f t="shared" si="96"/>
        <v>1096.0540844999998</v>
      </c>
      <c r="F897" s="6">
        <f t="shared" si="97"/>
        <v>-1.6885000000002037E-3</v>
      </c>
      <c r="G897" s="6">
        <f t="shared" si="93"/>
        <v>-675.5181650166337</v>
      </c>
      <c r="H897" s="7">
        <f t="shared" si="94"/>
        <v>-2.7644415577843688E-13</v>
      </c>
      <c r="I897" s="8" t="str">
        <f t="shared" si="95"/>
        <v/>
      </c>
    </row>
    <row r="898" spans="1:9" x14ac:dyDescent="0.2">
      <c r="A898" s="5">
        <v>897</v>
      </c>
      <c r="B898" s="6">
        <v>2.9247679999999998</v>
      </c>
      <c r="C898" s="6">
        <f t="shared" ref="C898:C961" si="98">B898-$B$2</f>
        <v>2.8337679999999996</v>
      </c>
      <c r="D898" s="6">
        <f t="shared" ref="D898:D961" si="99">A898*C898</f>
        <v>2541.8898959999997</v>
      </c>
      <c r="E898" s="6">
        <f t="shared" si="96"/>
        <v>1098.8883089999997</v>
      </c>
      <c r="F898" s="6">
        <f t="shared" si="97"/>
        <v>-4.8549999999991655E-4</v>
      </c>
      <c r="G898" s="6">
        <f t="shared" ref="G898:G961" si="100">(A898-$L$5)*C898-E898</f>
        <v>-675.65406860732514</v>
      </c>
      <c r="H898" s="7">
        <f t="shared" ref="H898:H961" si="101">IF(ABS(F898)&lt;0.000000001,"",-(G898)/(2*$L$4*F898)*0.000000000001)</f>
        <v>-9.6162691037238751E-13</v>
      </c>
      <c r="I898" s="8" t="str">
        <f t="shared" ref="I898:I961" si="102">IF(AND(B898&gt;=0.5,B898&lt;=2.5,ISNUMBER(H898),H898&gt;0),H898,"")</f>
        <v/>
      </c>
    </row>
    <row r="899" spans="1:9" x14ac:dyDescent="0.2">
      <c r="A899" s="5">
        <v>898</v>
      </c>
      <c r="B899" s="6">
        <v>2.9247100000000001</v>
      </c>
      <c r="C899" s="6">
        <f t="shared" si="98"/>
        <v>2.83371</v>
      </c>
      <c r="D899" s="6">
        <f t="shared" si="99"/>
        <v>2544.6715800000002</v>
      </c>
      <c r="E899" s="6">
        <f t="shared" ref="E899:E962" si="103">E898+(C898+C899)/2*(A899-A898)</f>
        <v>1101.7220479999996</v>
      </c>
      <c r="F899" s="6">
        <f t="shared" ref="F899:F962" si="104">(B900-B898)/(A900-A898)</f>
        <v>5.7250000000008683E-4</v>
      </c>
      <c r="G899" s="6">
        <f t="shared" si="100"/>
        <v>-675.66276013225388</v>
      </c>
      <c r="H899" s="7">
        <f t="shared" si="101"/>
        <v>8.1550370434599373E-13</v>
      </c>
      <c r="I899" s="8" t="str">
        <f t="shared" si="102"/>
        <v/>
      </c>
    </row>
    <row r="900" spans="1:9" x14ac:dyDescent="0.2">
      <c r="A900" s="5">
        <v>899</v>
      </c>
      <c r="B900" s="6">
        <v>2.925913</v>
      </c>
      <c r="C900" s="6">
        <f t="shared" si="98"/>
        <v>2.8349129999999998</v>
      </c>
      <c r="D900" s="6">
        <f t="shared" si="99"/>
        <v>2548.5867869999997</v>
      </c>
      <c r="E900" s="6">
        <f t="shared" si="103"/>
        <v>1104.5563594999996</v>
      </c>
      <c r="F900" s="6">
        <f t="shared" si="104"/>
        <v>1.0944999999999983E-3</v>
      </c>
      <c r="G900" s="6">
        <f t="shared" si="100"/>
        <v>-675.48128291691796</v>
      </c>
      <c r="H900" s="7">
        <f t="shared" si="101"/>
        <v>4.2645086513331964E-13</v>
      </c>
      <c r="I900" s="8" t="str">
        <f t="shared" si="102"/>
        <v/>
      </c>
    </row>
    <row r="901" spans="1:9" x14ac:dyDescent="0.2">
      <c r="A901" s="5">
        <v>900</v>
      </c>
      <c r="B901" s="6">
        <v>2.9268990000000001</v>
      </c>
      <c r="C901" s="6">
        <f t="shared" si="98"/>
        <v>2.8358989999999999</v>
      </c>
      <c r="D901" s="6">
        <f t="shared" si="99"/>
        <v>2552.3090999999999</v>
      </c>
      <c r="E901" s="6">
        <f t="shared" si="103"/>
        <v>1107.3917654999996</v>
      </c>
      <c r="F901" s="6">
        <f t="shared" si="104"/>
        <v>1.0939999999999284E-3</v>
      </c>
      <c r="G901" s="6">
        <f t="shared" si="100"/>
        <v>-675.33155499312613</v>
      </c>
      <c r="H901" s="7">
        <f t="shared" si="101"/>
        <v>4.2655119878035326E-13</v>
      </c>
      <c r="I901" s="8" t="str">
        <f t="shared" si="102"/>
        <v/>
      </c>
    </row>
    <row r="902" spans="1:9" x14ac:dyDescent="0.2">
      <c r="A902" s="5">
        <v>901</v>
      </c>
      <c r="B902" s="6">
        <v>2.9281009999999998</v>
      </c>
      <c r="C902" s="6">
        <f t="shared" si="98"/>
        <v>2.8371009999999997</v>
      </c>
      <c r="D902" s="6">
        <f t="shared" si="99"/>
        <v>2556.2280009999995</v>
      </c>
      <c r="E902" s="6">
        <f t="shared" si="103"/>
        <v>1110.2282654999995</v>
      </c>
      <c r="F902" s="6">
        <f t="shared" si="104"/>
        <v>3.4749999999994508E-4</v>
      </c>
      <c r="G902" s="6">
        <f t="shared" si="100"/>
        <v>-675.14782463166807</v>
      </c>
      <c r="H902" s="7">
        <f t="shared" si="101"/>
        <v>1.3425037574552792E-12</v>
      </c>
      <c r="I902" s="8" t="str">
        <f t="shared" si="102"/>
        <v/>
      </c>
    </row>
    <row r="903" spans="1:9" x14ac:dyDescent="0.2">
      <c r="A903" s="5">
        <v>902</v>
      </c>
      <c r="B903" s="6">
        <v>2.927594</v>
      </c>
      <c r="C903" s="6">
        <f t="shared" si="98"/>
        <v>2.8365939999999998</v>
      </c>
      <c r="D903" s="6">
        <f t="shared" si="99"/>
        <v>2558.6077879999998</v>
      </c>
      <c r="E903" s="6">
        <f t="shared" si="103"/>
        <v>1113.0651129999994</v>
      </c>
      <c r="F903" s="6">
        <f t="shared" si="104"/>
        <v>-8.9099999999997515E-4</v>
      </c>
      <c r="G903" s="6">
        <f t="shared" si="100"/>
        <v>-675.22582854785708</v>
      </c>
      <c r="H903" s="7">
        <f t="shared" si="101"/>
        <v>-5.2365202648985089E-13</v>
      </c>
      <c r="I903" s="8" t="str">
        <f t="shared" si="102"/>
        <v/>
      </c>
    </row>
    <row r="904" spans="1:9" x14ac:dyDescent="0.2">
      <c r="A904" s="5">
        <v>903</v>
      </c>
      <c r="B904" s="6">
        <v>2.9263189999999999</v>
      </c>
      <c r="C904" s="6">
        <f t="shared" si="98"/>
        <v>2.8353189999999997</v>
      </c>
      <c r="D904" s="6">
        <f t="shared" si="99"/>
        <v>2560.2930569999999</v>
      </c>
      <c r="E904" s="6">
        <f t="shared" si="103"/>
        <v>1115.9010694999995</v>
      </c>
      <c r="F904" s="6">
        <f t="shared" si="104"/>
        <v>-6.4500000000000668E-4</v>
      </c>
      <c r="G904" s="6">
        <f t="shared" si="100"/>
        <v>-675.42326724241525</v>
      </c>
      <c r="H904" s="7">
        <f t="shared" si="101"/>
        <v>-7.2358199018088739E-13</v>
      </c>
      <c r="I904" s="8" t="str">
        <f t="shared" si="102"/>
        <v/>
      </c>
    </row>
    <row r="905" spans="1:9" x14ac:dyDescent="0.2">
      <c r="A905" s="5">
        <v>904</v>
      </c>
      <c r="B905" s="6">
        <v>2.926304</v>
      </c>
      <c r="C905" s="6">
        <f t="shared" si="98"/>
        <v>2.8353039999999998</v>
      </c>
      <c r="D905" s="6">
        <f t="shared" si="99"/>
        <v>2563.1148159999998</v>
      </c>
      <c r="E905" s="6">
        <f t="shared" si="103"/>
        <v>1118.7363809999995</v>
      </c>
      <c r="F905" s="6">
        <f t="shared" si="104"/>
        <v>-1.8849999999992484E-4</v>
      </c>
      <c r="G905" s="6">
        <f t="shared" si="100"/>
        <v>-675.42560505058657</v>
      </c>
      <c r="H905" s="7">
        <f t="shared" si="101"/>
        <v>-2.475925724497377E-12</v>
      </c>
      <c r="I905" s="8" t="str">
        <f t="shared" si="102"/>
        <v/>
      </c>
    </row>
    <row r="906" spans="1:9" x14ac:dyDescent="0.2">
      <c r="A906" s="5">
        <v>905</v>
      </c>
      <c r="B906" s="6">
        <v>2.925942</v>
      </c>
      <c r="C906" s="6">
        <f t="shared" si="98"/>
        <v>2.8349419999999999</v>
      </c>
      <c r="D906" s="6">
        <f t="shared" si="99"/>
        <v>2565.6225099999997</v>
      </c>
      <c r="E906" s="6">
        <f t="shared" si="103"/>
        <v>1121.5715039999995</v>
      </c>
      <c r="F906" s="6">
        <f t="shared" si="104"/>
        <v>-1.0650000000000936E-3</v>
      </c>
      <c r="G906" s="6">
        <f t="shared" si="100"/>
        <v>-675.48238615445325</v>
      </c>
      <c r="H906" s="7">
        <f t="shared" si="101"/>
        <v>-4.3826406968443764E-13</v>
      </c>
      <c r="I906" s="8" t="str">
        <f t="shared" si="102"/>
        <v/>
      </c>
    </row>
    <row r="907" spans="1:9" x14ac:dyDescent="0.2">
      <c r="A907" s="5">
        <v>906</v>
      </c>
      <c r="B907" s="6">
        <v>2.9241739999999998</v>
      </c>
      <c r="C907" s="6">
        <f t="shared" si="98"/>
        <v>2.8331739999999996</v>
      </c>
      <c r="D907" s="6">
        <f t="shared" si="99"/>
        <v>2566.8556439999998</v>
      </c>
      <c r="E907" s="6">
        <f t="shared" si="103"/>
        <v>1124.4055619999995</v>
      </c>
      <c r="F907" s="6">
        <f t="shared" si="104"/>
        <v>-1.3045000000000417E-3</v>
      </c>
      <c r="G907" s="6">
        <f t="shared" si="100"/>
        <v>-675.76147181090732</v>
      </c>
      <c r="H907" s="7">
        <f t="shared" si="101"/>
        <v>-3.5794870024631202E-13</v>
      </c>
      <c r="I907" s="8" t="str">
        <f t="shared" si="102"/>
        <v/>
      </c>
    </row>
    <row r="908" spans="1:9" x14ac:dyDescent="0.2">
      <c r="A908" s="5">
        <v>907</v>
      </c>
      <c r="B908" s="6">
        <v>2.923333</v>
      </c>
      <c r="C908" s="6">
        <f t="shared" si="98"/>
        <v>2.8323329999999998</v>
      </c>
      <c r="D908" s="6">
        <f t="shared" si="99"/>
        <v>2568.926031</v>
      </c>
      <c r="E908" s="6">
        <f t="shared" si="103"/>
        <v>1127.2383154999995</v>
      </c>
      <c r="F908" s="6">
        <f t="shared" si="104"/>
        <v>-5.7999999999891472E-5</v>
      </c>
      <c r="G908" s="6">
        <f t="shared" si="100"/>
        <v>-675.89506792237671</v>
      </c>
      <c r="H908" s="7">
        <f t="shared" si="101"/>
        <v>-8.0523516031390141E-12</v>
      </c>
      <c r="I908" s="8" t="str">
        <f t="shared" si="102"/>
        <v/>
      </c>
    </row>
    <row r="909" spans="1:9" x14ac:dyDescent="0.2">
      <c r="A909" s="5">
        <v>908</v>
      </c>
      <c r="B909" s="6">
        <v>2.924058</v>
      </c>
      <c r="C909" s="6">
        <f t="shared" si="98"/>
        <v>2.8330579999999999</v>
      </c>
      <c r="D909" s="6">
        <f t="shared" si="99"/>
        <v>2572.4166639999999</v>
      </c>
      <c r="E909" s="6">
        <f t="shared" si="103"/>
        <v>1130.0710109999995</v>
      </c>
      <c r="F909" s="6">
        <f t="shared" si="104"/>
        <v>-2.2450000000007186E-4</v>
      </c>
      <c r="G909" s="6">
        <f t="shared" si="100"/>
        <v>-675.77917386076513</v>
      </c>
      <c r="H909" s="7">
        <f t="shared" si="101"/>
        <v>-2.0799835697180663E-12</v>
      </c>
      <c r="I909" s="8" t="str">
        <f t="shared" si="102"/>
        <v/>
      </c>
    </row>
    <row r="910" spans="1:9" x14ac:dyDescent="0.2">
      <c r="A910" s="5">
        <v>909</v>
      </c>
      <c r="B910" s="6">
        <v>2.9228839999999998</v>
      </c>
      <c r="C910" s="6">
        <f t="shared" si="98"/>
        <v>2.8318839999999996</v>
      </c>
      <c r="D910" s="6">
        <f t="shared" si="99"/>
        <v>2574.1825559999997</v>
      </c>
      <c r="E910" s="6">
        <f t="shared" si="103"/>
        <v>1132.9034819999995</v>
      </c>
      <c r="F910" s="6">
        <f t="shared" si="104"/>
        <v>-6.6650000000012533E-4</v>
      </c>
      <c r="G910" s="6">
        <f t="shared" si="100"/>
        <v>-675.96801631363667</v>
      </c>
      <c r="H910" s="7">
        <f t="shared" si="101"/>
        <v>-7.008054006800929E-13</v>
      </c>
      <c r="I910" s="8" t="str">
        <f t="shared" si="102"/>
        <v/>
      </c>
    </row>
    <row r="911" spans="1:9" x14ac:dyDescent="0.2">
      <c r="A911" s="5">
        <v>910</v>
      </c>
      <c r="B911" s="6">
        <v>2.9227249999999998</v>
      </c>
      <c r="C911" s="6">
        <f t="shared" si="98"/>
        <v>2.8317249999999996</v>
      </c>
      <c r="D911" s="6">
        <f t="shared" si="99"/>
        <v>2576.8697499999998</v>
      </c>
      <c r="E911" s="6">
        <f t="shared" si="103"/>
        <v>1135.7352864999996</v>
      </c>
      <c r="F911" s="6">
        <f t="shared" si="104"/>
        <v>-6.0850000000001181E-4</v>
      </c>
      <c r="G911" s="6">
        <f t="shared" si="100"/>
        <v>-675.9937510802522</v>
      </c>
      <c r="H911" s="7">
        <f t="shared" si="101"/>
        <v>-7.6763283813771349E-13</v>
      </c>
      <c r="I911" s="8" t="str">
        <f t="shared" si="102"/>
        <v/>
      </c>
    </row>
    <row r="912" spans="1:9" x14ac:dyDescent="0.2">
      <c r="A912" s="5">
        <v>911</v>
      </c>
      <c r="B912" s="6">
        <v>2.9216669999999998</v>
      </c>
      <c r="C912" s="6">
        <f t="shared" si="98"/>
        <v>2.8306669999999996</v>
      </c>
      <c r="D912" s="6">
        <f t="shared" si="99"/>
        <v>2578.7376369999997</v>
      </c>
      <c r="E912" s="6">
        <f t="shared" si="103"/>
        <v>1138.5664824999997</v>
      </c>
      <c r="F912" s="6">
        <f t="shared" si="104"/>
        <v>-1.8849999999992484E-4</v>
      </c>
      <c r="G912" s="6">
        <f t="shared" si="100"/>
        <v>-676.16605048326619</v>
      </c>
      <c r="H912" s="7">
        <f t="shared" si="101"/>
        <v>-2.4786399951448759E-12</v>
      </c>
      <c r="I912" s="8" t="str">
        <f t="shared" si="102"/>
        <v/>
      </c>
    </row>
    <row r="913" spans="1:9" x14ac:dyDescent="0.2">
      <c r="A913" s="5">
        <v>912</v>
      </c>
      <c r="B913" s="6">
        <v>2.9223479999999999</v>
      </c>
      <c r="C913" s="6">
        <f t="shared" si="98"/>
        <v>2.8313479999999998</v>
      </c>
      <c r="D913" s="6">
        <f t="shared" si="99"/>
        <v>2582.1893759999998</v>
      </c>
      <c r="E913" s="6">
        <f t="shared" si="103"/>
        <v>1141.3974899999996</v>
      </c>
      <c r="F913" s="6">
        <f t="shared" si="104"/>
        <v>3.6000000000147026E-5</v>
      </c>
      <c r="G913" s="6">
        <f t="shared" si="100"/>
        <v>-676.05446599229026</v>
      </c>
      <c r="H913" s="7">
        <f t="shared" si="101"/>
        <v>1.2976292649206308E-11</v>
      </c>
      <c r="I913" s="8" t="str">
        <f t="shared" si="102"/>
        <v/>
      </c>
    </row>
    <row r="914" spans="1:9" x14ac:dyDescent="0.2">
      <c r="A914" s="5">
        <v>913</v>
      </c>
      <c r="B914" s="6">
        <v>2.9217390000000001</v>
      </c>
      <c r="C914" s="6">
        <f t="shared" si="98"/>
        <v>2.8307389999999999</v>
      </c>
      <c r="D914" s="6">
        <f t="shared" si="99"/>
        <v>2584.4647070000001</v>
      </c>
      <c r="E914" s="6">
        <f t="shared" si="103"/>
        <v>1144.2285334999997</v>
      </c>
      <c r="F914" s="6">
        <f t="shared" si="104"/>
        <v>-2.4650000000003836E-4</v>
      </c>
      <c r="G914" s="6">
        <f t="shared" si="100"/>
        <v>-676.15486200404393</v>
      </c>
      <c r="H914" s="7">
        <f t="shared" si="101"/>
        <v>-1.8953992209449112E-12</v>
      </c>
      <c r="I914" s="8" t="str">
        <f t="shared" si="102"/>
        <v/>
      </c>
    </row>
    <row r="915" spans="1:9" x14ac:dyDescent="0.2">
      <c r="A915" s="5">
        <v>914</v>
      </c>
      <c r="B915" s="6">
        <v>2.9218549999999999</v>
      </c>
      <c r="C915" s="6">
        <f t="shared" si="98"/>
        <v>2.8308549999999997</v>
      </c>
      <c r="D915" s="6">
        <f t="shared" si="99"/>
        <v>2587.4014699999998</v>
      </c>
      <c r="E915" s="6">
        <f t="shared" si="103"/>
        <v>1147.0593304999998</v>
      </c>
      <c r="F915" s="6">
        <f t="shared" si="104"/>
        <v>7.6799999999987989E-4</v>
      </c>
      <c r="G915" s="6">
        <f t="shared" si="100"/>
        <v>-676.13562295418626</v>
      </c>
      <c r="H915" s="7">
        <f t="shared" si="101"/>
        <v>6.0833673695531676E-13</v>
      </c>
      <c r="I915" s="8" t="str">
        <f t="shared" si="102"/>
        <v/>
      </c>
    </row>
    <row r="916" spans="1:9" x14ac:dyDescent="0.2">
      <c r="A916" s="5">
        <v>915</v>
      </c>
      <c r="B916" s="6">
        <v>2.9232749999999998</v>
      </c>
      <c r="C916" s="6">
        <f t="shared" si="98"/>
        <v>2.8322749999999997</v>
      </c>
      <c r="D916" s="6">
        <f t="shared" si="99"/>
        <v>2591.5316249999996</v>
      </c>
      <c r="E916" s="6">
        <f t="shared" si="103"/>
        <v>1149.8908954999997</v>
      </c>
      <c r="F916" s="6">
        <f t="shared" si="104"/>
        <v>1.15949999999998E-3</v>
      </c>
      <c r="G916" s="6">
        <f t="shared" si="100"/>
        <v>-675.89869044730574</v>
      </c>
      <c r="H916" s="7">
        <f t="shared" si="101"/>
        <v>4.0279335584982796E-13</v>
      </c>
      <c r="I916" s="8" t="str">
        <f t="shared" si="102"/>
        <v/>
      </c>
    </row>
    <row r="917" spans="1:9" x14ac:dyDescent="0.2">
      <c r="A917" s="5">
        <v>916</v>
      </c>
      <c r="B917" s="6">
        <v>2.9241739999999998</v>
      </c>
      <c r="C917" s="6">
        <f t="shared" si="98"/>
        <v>2.8331739999999996</v>
      </c>
      <c r="D917" s="6">
        <f t="shared" si="99"/>
        <v>2595.1873839999998</v>
      </c>
      <c r="E917" s="6">
        <f t="shared" si="103"/>
        <v>1152.7236199999998</v>
      </c>
      <c r="F917" s="6">
        <f t="shared" si="104"/>
        <v>2.1999999999966491E-5</v>
      </c>
      <c r="G917" s="6">
        <f t="shared" si="100"/>
        <v>-675.74778981090753</v>
      </c>
      <c r="H917" s="7">
        <f t="shared" si="101"/>
        <v>2.1224301152442863E-11</v>
      </c>
      <c r="I917" s="8" t="str">
        <f t="shared" si="102"/>
        <v/>
      </c>
    </row>
    <row r="918" spans="1:9" x14ac:dyDescent="0.2">
      <c r="A918" s="5">
        <v>917</v>
      </c>
      <c r="B918" s="6">
        <v>2.9233189999999998</v>
      </c>
      <c r="C918" s="6">
        <f t="shared" si="98"/>
        <v>2.8323189999999996</v>
      </c>
      <c r="D918" s="6">
        <f t="shared" si="99"/>
        <v>2597.2365229999996</v>
      </c>
      <c r="E918" s="6">
        <f t="shared" si="103"/>
        <v>1155.5563664999997</v>
      </c>
      <c r="F918" s="6">
        <f t="shared" si="104"/>
        <v>5.9399999999998343E-4</v>
      </c>
      <c r="G918" s="6">
        <f t="shared" si="100"/>
        <v>-675.89215987667012</v>
      </c>
      <c r="H918" s="7">
        <f t="shared" si="101"/>
        <v>7.8625317096323585E-13</v>
      </c>
      <c r="I918" s="8" t="str">
        <f t="shared" si="102"/>
        <v/>
      </c>
    </row>
    <row r="919" spans="1:9" x14ac:dyDescent="0.2">
      <c r="A919" s="5">
        <v>918</v>
      </c>
      <c r="B919" s="6">
        <v>2.9253619999999998</v>
      </c>
      <c r="C919" s="6">
        <f t="shared" si="98"/>
        <v>2.8343619999999996</v>
      </c>
      <c r="D919" s="6">
        <f t="shared" si="99"/>
        <v>2601.9443159999996</v>
      </c>
      <c r="E919" s="6">
        <f t="shared" si="103"/>
        <v>1158.3897069999998</v>
      </c>
      <c r="F919" s="6">
        <f t="shared" si="104"/>
        <v>5.6500000000014872E-4</v>
      </c>
      <c r="G919" s="6">
        <f t="shared" si="100"/>
        <v>-675.54514840374281</v>
      </c>
      <c r="H919" s="7">
        <f t="shared" si="101"/>
        <v>8.2618513675913087E-13</v>
      </c>
      <c r="I919" s="8" t="str">
        <f t="shared" si="102"/>
        <v/>
      </c>
    </row>
    <row r="920" spans="1:9" x14ac:dyDescent="0.2">
      <c r="A920" s="5">
        <v>919</v>
      </c>
      <c r="B920" s="6">
        <v>2.9244490000000001</v>
      </c>
      <c r="C920" s="6">
        <f t="shared" si="98"/>
        <v>2.8334489999999999</v>
      </c>
      <c r="D920" s="6">
        <f t="shared" si="99"/>
        <v>2603.9396309999997</v>
      </c>
      <c r="E920" s="6">
        <f t="shared" si="103"/>
        <v>1161.2236124999997</v>
      </c>
      <c r="F920" s="6">
        <f t="shared" si="104"/>
        <v>-9.9999999999988987E-4</v>
      </c>
      <c r="G920" s="6">
        <f t="shared" si="100"/>
        <v>-675.70113799443413</v>
      </c>
      <c r="H920" s="7">
        <f t="shared" si="101"/>
        <v>-4.6690238943788589E-13</v>
      </c>
      <c r="I920" s="8" t="str">
        <f t="shared" si="102"/>
        <v/>
      </c>
    </row>
    <row r="921" spans="1:9" x14ac:dyDescent="0.2">
      <c r="A921" s="5">
        <v>920</v>
      </c>
      <c r="B921" s="6">
        <v>2.923362</v>
      </c>
      <c r="C921" s="6">
        <f t="shared" si="98"/>
        <v>2.8323619999999998</v>
      </c>
      <c r="D921" s="6">
        <f t="shared" si="99"/>
        <v>2605.77304</v>
      </c>
      <c r="E921" s="6">
        <f t="shared" si="103"/>
        <v>1164.0565179999996</v>
      </c>
      <c r="F921" s="6">
        <f t="shared" si="104"/>
        <v>7.2499999999986464E-4</v>
      </c>
      <c r="G921" s="6">
        <f t="shared" si="100"/>
        <v>-675.88794315991231</v>
      </c>
      <c r="H921" s="7">
        <f t="shared" si="101"/>
        <v>6.4418133771757935E-13</v>
      </c>
      <c r="I921" s="8" t="str">
        <f t="shared" si="102"/>
        <v/>
      </c>
    </row>
    <row r="922" spans="1:9" x14ac:dyDescent="0.2">
      <c r="A922" s="5">
        <v>921</v>
      </c>
      <c r="B922" s="6">
        <v>2.9258989999999998</v>
      </c>
      <c r="C922" s="6">
        <f t="shared" si="98"/>
        <v>2.8348989999999996</v>
      </c>
      <c r="D922" s="6">
        <f t="shared" si="99"/>
        <v>2610.9419789999997</v>
      </c>
      <c r="E922" s="6">
        <f t="shared" si="103"/>
        <v>1166.8901484999997</v>
      </c>
      <c r="F922" s="6">
        <f t="shared" si="104"/>
        <v>1.7395000000000049E-3</v>
      </c>
      <c r="G922" s="6">
        <f t="shared" si="100"/>
        <v>-675.44941287121117</v>
      </c>
      <c r="H922" s="7">
        <f t="shared" si="101"/>
        <v>2.6831184249586964E-13</v>
      </c>
      <c r="I922" s="8" t="str">
        <f t="shared" si="102"/>
        <v/>
      </c>
    </row>
    <row r="923" spans="1:9" x14ac:dyDescent="0.2">
      <c r="A923" s="5">
        <v>922</v>
      </c>
      <c r="B923" s="6">
        <v>2.926841</v>
      </c>
      <c r="C923" s="6">
        <f t="shared" si="98"/>
        <v>2.8358409999999998</v>
      </c>
      <c r="D923" s="6">
        <f t="shared" si="99"/>
        <v>2614.6454019999996</v>
      </c>
      <c r="E923" s="6">
        <f t="shared" si="103"/>
        <v>1169.7255184999997</v>
      </c>
      <c r="F923" s="6">
        <f t="shared" si="104"/>
        <v>-2.0299999999995322E-4</v>
      </c>
      <c r="G923" s="6">
        <f t="shared" si="100"/>
        <v>-675.28564251805528</v>
      </c>
      <c r="H923" s="7">
        <f t="shared" si="101"/>
        <v>-2.2985974700873401E-12</v>
      </c>
      <c r="I923" s="8" t="str">
        <f t="shared" si="102"/>
        <v/>
      </c>
    </row>
    <row r="924" spans="1:9" x14ac:dyDescent="0.2">
      <c r="A924" s="5">
        <v>923</v>
      </c>
      <c r="B924" s="6">
        <v>2.9254929999999999</v>
      </c>
      <c r="C924" s="6">
        <f t="shared" si="98"/>
        <v>2.8344929999999997</v>
      </c>
      <c r="D924" s="6">
        <f t="shared" si="99"/>
        <v>2616.2370389999996</v>
      </c>
      <c r="E924" s="6">
        <f t="shared" si="103"/>
        <v>1172.5606854999996</v>
      </c>
      <c r="F924" s="6">
        <f t="shared" si="104"/>
        <v>-1.2609999999999566E-3</v>
      </c>
      <c r="G924" s="6">
        <f t="shared" si="100"/>
        <v>-675.52134554571353</v>
      </c>
      <c r="H924" s="7">
        <f t="shared" si="101"/>
        <v>-3.7016507116903407E-13</v>
      </c>
      <c r="I924" s="8" t="str">
        <f t="shared" si="102"/>
        <v/>
      </c>
    </row>
    <row r="925" spans="1:9" x14ac:dyDescent="0.2">
      <c r="A925" s="5">
        <v>924</v>
      </c>
      <c r="B925" s="6">
        <v>2.9243190000000001</v>
      </c>
      <c r="C925" s="6">
        <f t="shared" si="98"/>
        <v>2.8333189999999999</v>
      </c>
      <c r="D925" s="6">
        <f t="shared" si="99"/>
        <v>2617.9867559999998</v>
      </c>
      <c r="E925" s="6">
        <f t="shared" si="103"/>
        <v>1175.3945914999997</v>
      </c>
      <c r="F925" s="6">
        <f t="shared" si="104"/>
        <v>-1.3840000000000519E-3</v>
      </c>
      <c r="G925" s="6">
        <f t="shared" si="100"/>
        <v>-675.72779799858517</v>
      </c>
      <c r="H925" s="7">
        <f t="shared" si="101"/>
        <v>-3.3737052833863753E-13</v>
      </c>
      <c r="I925" s="8" t="str">
        <f t="shared" si="102"/>
        <v/>
      </c>
    </row>
    <row r="926" spans="1:9" x14ac:dyDescent="0.2">
      <c r="A926" s="5">
        <v>925</v>
      </c>
      <c r="B926" s="6">
        <v>2.9227249999999998</v>
      </c>
      <c r="C926" s="6">
        <f t="shared" si="98"/>
        <v>2.8317249999999996</v>
      </c>
      <c r="D926" s="6">
        <f t="shared" si="99"/>
        <v>2619.3456249999995</v>
      </c>
      <c r="E926" s="6">
        <f t="shared" si="103"/>
        <v>1178.2271134999996</v>
      </c>
      <c r="F926" s="6">
        <f t="shared" si="104"/>
        <v>-3.6950000000013361E-4</v>
      </c>
      <c r="G926" s="6">
        <f t="shared" si="100"/>
        <v>-676.00970308025239</v>
      </c>
      <c r="H926" s="7">
        <f t="shared" si="101"/>
        <v>-1.2641829625740039E-12</v>
      </c>
      <c r="I926" s="8" t="str">
        <f t="shared" si="102"/>
        <v/>
      </c>
    </row>
    <row r="927" spans="1:9" x14ac:dyDescent="0.2">
      <c r="A927" s="5">
        <v>926</v>
      </c>
      <c r="B927" s="6">
        <v>2.9235799999999998</v>
      </c>
      <c r="C927" s="6">
        <f t="shared" si="98"/>
        <v>2.8325799999999997</v>
      </c>
      <c r="D927" s="6">
        <f t="shared" si="99"/>
        <v>2622.9690799999998</v>
      </c>
      <c r="E927" s="6">
        <f t="shared" si="103"/>
        <v>1181.0592659999995</v>
      </c>
      <c r="F927" s="6">
        <f t="shared" si="104"/>
        <v>7.2500000000141895E-5</v>
      </c>
      <c r="G927" s="6">
        <f t="shared" si="100"/>
        <v>-675.85763801448968</v>
      </c>
      <c r="H927" s="7">
        <f t="shared" si="101"/>
        <v>6.441524542166247E-12</v>
      </c>
      <c r="I927" s="8" t="str">
        <f t="shared" si="102"/>
        <v/>
      </c>
    </row>
    <row r="928" spans="1:9" x14ac:dyDescent="0.2">
      <c r="A928" s="5">
        <v>927</v>
      </c>
      <c r="B928" s="6">
        <v>2.9228700000000001</v>
      </c>
      <c r="C928" s="6">
        <f t="shared" si="98"/>
        <v>2.8318699999999999</v>
      </c>
      <c r="D928" s="6">
        <f t="shared" si="99"/>
        <v>2625.1434899999999</v>
      </c>
      <c r="E928" s="6">
        <f t="shared" si="103"/>
        <v>1183.8914909999996</v>
      </c>
      <c r="F928" s="6">
        <f t="shared" si="104"/>
        <v>1.3050000000003337E-4</v>
      </c>
      <c r="G928" s="6">
        <f t="shared" si="100"/>
        <v>-675.98462426793003</v>
      </c>
      <c r="H928" s="7">
        <f t="shared" si="101"/>
        <v>3.5792971300784138E-12</v>
      </c>
      <c r="I928" s="8" t="str">
        <f t="shared" si="102"/>
        <v/>
      </c>
    </row>
    <row r="929" spans="1:9" x14ac:dyDescent="0.2">
      <c r="A929" s="5">
        <v>928</v>
      </c>
      <c r="B929" s="6">
        <v>2.9238409999999999</v>
      </c>
      <c r="C929" s="6">
        <f t="shared" si="98"/>
        <v>2.8328409999999997</v>
      </c>
      <c r="D929" s="6">
        <f t="shared" si="99"/>
        <v>2628.8764479999995</v>
      </c>
      <c r="E929" s="6">
        <f t="shared" si="103"/>
        <v>1186.7238464999996</v>
      </c>
      <c r="F929" s="6">
        <f t="shared" si="104"/>
        <v>9.9999999999988987E-4</v>
      </c>
      <c r="G929" s="6">
        <f t="shared" si="100"/>
        <v>-675.80998615230965</v>
      </c>
      <c r="H929" s="7">
        <f t="shared" si="101"/>
        <v>4.6697760237174131E-13</v>
      </c>
      <c r="I929" s="8" t="str">
        <f t="shared" si="102"/>
        <v/>
      </c>
    </row>
    <row r="930" spans="1:9" x14ac:dyDescent="0.2">
      <c r="A930" s="5">
        <v>929</v>
      </c>
      <c r="B930" s="6">
        <v>2.9248699999999999</v>
      </c>
      <c r="C930" s="6">
        <f t="shared" si="98"/>
        <v>2.8338699999999997</v>
      </c>
      <c r="D930" s="6">
        <f t="shared" si="99"/>
        <v>2632.6652299999996</v>
      </c>
      <c r="E930" s="6">
        <f t="shared" si="103"/>
        <v>1189.5572019999995</v>
      </c>
      <c r="F930" s="6">
        <f t="shared" si="104"/>
        <v>1.2894999999999435E-3</v>
      </c>
      <c r="G930" s="6">
        <f t="shared" si="100"/>
        <v>-675.62388751176024</v>
      </c>
      <c r="H930" s="7">
        <f t="shared" si="101"/>
        <v>3.6203878260232049E-13</v>
      </c>
      <c r="I930" s="8" t="str">
        <f t="shared" si="102"/>
        <v/>
      </c>
    </row>
    <row r="931" spans="1:9" x14ac:dyDescent="0.2">
      <c r="A931" s="5">
        <v>930</v>
      </c>
      <c r="B931" s="6">
        <v>2.9264199999999998</v>
      </c>
      <c r="C931" s="6">
        <f t="shared" si="98"/>
        <v>2.8354199999999996</v>
      </c>
      <c r="D931" s="6">
        <f t="shared" si="99"/>
        <v>2636.9405999999994</v>
      </c>
      <c r="E931" s="6">
        <f t="shared" si="103"/>
        <v>1192.3918469999994</v>
      </c>
      <c r="F931" s="6">
        <f t="shared" si="104"/>
        <v>5.795000000001771E-4</v>
      </c>
      <c r="G931" s="6">
        <f t="shared" si="100"/>
        <v>-675.34201400072868</v>
      </c>
      <c r="H931" s="7">
        <f t="shared" si="101"/>
        <v>8.0527047201024204E-13</v>
      </c>
      <c r="I931" s="8" t="str">
        <f t="shared" si="102"/>
        <v/>
      </c>
    </row>
    <row r="932" spans="1:9" x14ac:dyDescent="0.2">
      <c r="A932" s="5">
        <v>931</v>
      </c>
      <c r="B932" s="6">
        <v>2.9260290000000002</v>
      </c>
      <c r="C932" s="6">
        <f t="shared" si="98"/>
        <v>2.835029</v>
      </c>
      <c r="D932" s="6">
        <f t="shared" si="99"/>
        <v>2639.4119989999999</v>
      </c>
      <c r="E932" s="6">
        <f t="shared" si="103"/>
        <v>1195.2270714999995</v>
      </c>
      <c r="F932" s="6">
        <f t="shared" si="104"/>
        <v>-8.7649999999994677E-4</v>
      </c>
      <c r="G932" s="6">
        <f t="shared" si="100"/>
        <v>-675.41350986705993</v>
      </c>
      <c r="H932" s="7">
        <f t="shared" si="101"/>
        <v>-5.3246279683150843E-13</v>
      </c>
      <c r="I932" s="8" t="str">
        <f t="shared" si="102"/>
        <v/>
      </c>
    </row>
    <row r="933" spans="1:9" x14ac:dyDescent="0.2">
      <c r="A933" s="5">
        <v>932</v>
      </c>
      <c r="B933" s="6">
        <v>2.9246669999999999</v>
      </c>
      <c r="C933" s="6">
        <f t="shared" si="98"/>
        <v>2.8336669999999997</v>
      </c>
      <c r="D933" s="6">
        <f t="shared" si="99"/>
        <v>2640.9776439999996</v>
      </c>
      <c r="E933" s="6">
        <f t="shared" si="103"/>
        <v>1198.0614194999996</v>
      </c>
      <c r="F933" s="6">
        <f t="shared" si="104"/>
        <v>-1.543500000000142E-3</v>
      </c>
      <c r="G933" s="6">
        <f t="shared" si="100"/>
        <v>-675.66391884901157</v>
      </c>
      <c r="H933" s="7">
        <f t="shared" si="101"/>
        <v>-3.0247921697390266E-13</v>
      </c>
      <c r="I933" s="8" t="str">
        <f t="shared" si="102"/>
        <v/>
      </c>
    </row>
    <row r="934" spans="1:9" x14ac:dyDescent="0.2">
      <c r="A934" s="5">
        <v>933</v>
      </c>
      <c r="B934" s="6">
        <v>2.9229419999999999</v>
      </c>
      <c r="C934" s="6">
        <f t="shared" si="98"/>
        <v>2.8319419999999997</v>
      </c>
      <c r="D934" s="6">
        <f t="shared" si="99"/>
        <v>2642.2018859999998</v>
      </c>
      <c r="E934" s="6">
        <f t="shared" si="103"/>
        <v>1200.8942239999997</v>
      </c>
      <c r="F934" s="6">
        <f t="shared" si="104"/>
        <v>-1.3549999999999951E-3</v>
      </c>
      <c r="G934" s="6">
        <f t="shared" si="100"/>
        <v>-675.98279178870791</v>
      </c>
      <c r="H934" s="7">
        <f t="shared" si="101"/>
        <v>-3.4472104003797653E-13</v>
      </c>
      <c r="I934" s="8" t="str">
        <f t="shared" si="102"/>
        <v/>
      </c>
    </row>
    <row r="935" spans="1:9" x14ac:dyDescent="0.2">
      <c r="A935" s="5">
        <v>934</v>
      </c>
      <c r="B935" s="6">
        <v>2.9219569999999999</v>
      </c>
      <c r="C935" s="6">
        <f t="shared" si="98"/>
        <v>2.8309569999999997</v>
      </c>
      <c r="D935" s="6">
        <f t="shared" si="99"/>
        <v>2644.1138379999998</v>
      </c>
      <c r="E935" s="6">
        <f t="shared" si="103"/>
        <v>1203.7256734999996</v>
      </c>
      <c r="F935" s="6">
        <f t="shared" si="104"/>
        <v>-1.5199999999992997E-4</v>
      </c>
      <c r="G935" s="6">
        <f t="shared" si="100"/>
        <v>-676.16585785862151</v>
      </c>
      <c r="H935" s="7">
        <f t="shared" si="101"/>
        <v>-3.0738388551528407E-12</v>
      </c>
      <c r="I935" s="8" t="str">
        <f t="shared" si="102"/>
        <v/>
      </c>
    </row>
    <row r="936" spans="1:9" x14ac:dyDescent="0.2">
      <c r="A936" s="5">
        <v>935</v>
      </c>
      <c r="B936" s="6">
        <v>2.9226380000000001</v>
      </c>
      <c r="C936" s="6">
        <f t="shared" si="98"/>
        <v>2.8316379999999999</v>
      </c>
      <c r="D936" s="6">
        <f t="shared" si="99"/>
        <v>2647.5815299999999</v>
      </c>
      <c r="E936" s="6">
        <f t="shared" si="103"/>
        <v>1206.5569709999995</v>
      </c>
      <c r="F936" s="6">
        <f t="shared" si="104"/>
        <v>8.6200000000014043E-4</v>
      </c>
      <c r="G936" s="6">
        <f t="shared" si="100"/>
        <v>-676.03861036764556</v>
      </c>
      <c r="H936" s="7">
        <f t="shared" si="101"/>
        <v>5.4192062564171872E-13</v>
      </c>
      <c r="I936" s="8" t="str">
        <f t="shared" si="102"/>
        <v/>
      </c>
    </row>
    <row r="937" spans="1:9" x14ac:dyDescent="0.2">
      <c r="A937" s="5">
        <v>936</v>
      </c>
      <c r="B937" s="6">
        <v>2.9236810000000002</v>
      </c>
      <c r="C937" s="6">
        <f t="shared" si="98"/>
        <v>2.832681</v>
      </c>
      <c r="D937" s="6">
        <f t="shared" si="99"/>
        <v>2651.389416</v>
      </c>
      <c r="E937" s="6">
        <f t="shared" si="103"/>
        <v>1209.3891304999995</v>
      </c>
      <c r="F937" s="6">
        <f t="shared" si="104"/>
        <v>6.0149999999992154E-4</v>
      </c>
      <c r="G937" s="6">
        <f t="shared" si="100"/>
        <v>-675.84267877280308</v>
      </c>
      <c r="H937" s="7">
        <f t="shared" si="101"/>
        <v>7.7639267270014943E-13</v>
      </c>
      <c r="I937" s="8" t="str">
        <f t="shared" si="102"/>
        <v/>
      </c>
    </row>
    <row r="938" spans="1:9" x14ac:dyDescent="0.2">
      <c r="A938" s="5">
        <v>937</v>
      </c>
      <c r="B938" s="6">
        <v>2.9238409999999999</v>
      </c>
      <c r="C938" s="6">
        <f t="shared" si="98"/>
        <v>2.8328409999999997</v>
      </c>
      <c r="D938" s="6">
        <f t="shared" si="99"/>
        <v>2654.3720169999997</v>
      </c>
      <c r="E938" s="6">
        <f t="shared" si="103"/>
        <v>1212.2218914999994</v>
      </c>
      <c r="F938" s="6">
        <f t="shared" si="104"/>
        <v>-1.4855000000000285E-3</v>
      </c>
      <c r="G938" s="6">
        <f t="shared" si="100"/>
        <v>-675.81246215230942</v>
      </c>
      <c r="H938" s="7">
        <f t="shared" si="101"/>
        <v>-3.1435833945585678E-13</v>
      </c>
      <c r="I938" s="8" t="str">
        <f t="shared" si="102"/>
        <v/>
      </c>
    </row>
    <row r="939" spans="1:9" x14ac:dyDescent="0.2">
      <c r="A939" s="5">
        <v>938</v>
      </c>
      <c r="B939" s="6">
        <v>2.9207100000000001</v>
      </c>
      <c r="C939" s="6">
        <f t="shared" si="98"/>
        <v>2.8297099999999999</v>
      </c>
      <c r="D939" s="6">
        <f t="shared" si="99"/>
        <v>2654.2679800000001</v>
      </c>
      <c r="E939" s="6">
        <f t="shared" si="103"/>
        <v>1215.0531669999993</v>
      </c>
      <c r="F939" s="6">
        <f t="shared" si="104"/>
        <v>-1.4060000000000183E-3</v>
      </c>
      <c r="G939" s="6">
        <f t="shared" si="100"/>
        <v>-676.40689464459297</v>
      </c>
      <c r="H939" s="7">
        <f t="shared" si="101"/>
        <v>-3.3242536263904528E-13</v>
      </c>
      <c r="I939" s="8" t="str">
        <f t="shared" si="102"/>
        <v/>
      </c>
    </row>
    <row r="940" spans="1:9" x14ac:dyDescent="0.2">
      <c r="A940" s="5">
        <v>939</v>
      </c>
      <c r="B940" s="6">
        <v>2.9210289999999999</v>
      </c>
      <c r="C940" s="6">
        <f t="shared" si="98"/>
        <v>2.8300289999999997</v>
      </c>
      <c r="D940" s="6">
        <f t="shared" si="99"/>
        <v>2657.3972309999999</v>
      </c>
      <c r="E940" s="6">
        <f t="shared" si="103"/>
        <v>1217.8830364999994</v>
      </c>
      <c r="F940" s="6">
        <f t="shared" si="104"/>
        <v>8.479999999999599E-4</v>
      </c>
      <c r="G940" s="6">
        <f t="shared" si="100"/>
        <v>-676.34601225748395</v>
      </c>
      <c r="H940" s="7">
        <f t="shared" si="101"/>
        <v>5.5111791365623076E-13</v>
      </c>
      <c r="I940" s="8" t="str">
        <f t="shared" si="102"/>
        <v/>
      </c>
    </row>
    <row r="941" spans="1:9" x14ac:dyDescent="0.2">
      <c r="A941" s="5">
        <v>940</v>
      </c>
      <c r="B941" s="6">
        <v>2.9224060000000001</v>
      </c>
      <c r="C941" s="6">
        <f t="shared" si="98"/>
        <v>2.8314059999999999</v>
      </c>
      <c r="D941" s="6">
        <f t="shared" si="99"/>
        <v>2661.5216399999999</v>
      </c>
      <c r="E941" s="6">
        <f t="shared" si="103"/>
        <v>1220.7137539999994</v>
      </c>
      <c r="F941" s="6">
        <f t="shared" si="104"/>
        <v>5.5050000000012034E-4</v>
      </c>
      <c r="G941" s="6">
        <f t="shared" si="100"/>
        <v>-676.0818294673611</v>
      </c>
      <c r="H941" s="7">
        <f t="shared" si="101"/>
        <v>8.4862024204742421E-13</v>
      </c>
      <c r="I941" s="8" t="str">
        <f t="shared" si="102"/>
        <v/>
      </c>
    </row>
    <row r="942" spans="1:9" x14ac:dyDescent="0.2">
      <c r="A942" s="5">
        <v>941</v>
      </c>
      <c r="B942" s="6">
        <v>2.9221300000000001</v>
      </c>
      <c r="C942" s="6">
        <f t="shared" si="98"/>
        <v>2.8311299999999999</v>
      </c>
      <c r="D942" s="6">
        <f t="shared" si="99"/>
        <v>2664.0933300000002</v>
      </c>
      <c r="E942" s="6">
        <f t="shared" si="103"/>
        <v>1223.5450219999993</v>
      </c>
      <c r="F942" s="6">
        <f t="shared" si="104"/>
        <v>-1.0149999999997661E-4</v>
      </c>
      <c r="G942" s="6">
        <f t="shared" si="100"/>
        <v>-676.13505713771247</v>
      </c>
      <c r="H942" s="7">
        <f t="shared" si="101"/>
        <v>-4.6029775665859831E-12</v>
      </c>
      <c r="I942" s="8" t="str">
        <f t="shared" si="102"/>
        <v/>
      </c>
    </row>
    <row r="943" spans="1:9" x14ac:dyDescent="0.2">
      <c r="A943" s="5">
        <v>942</v>
      </c>
      <c r="B943" s="6">
        <v>2.9222030000000001</v>
      </c>
      <c r="C943" s="6">
        <f t="shared" si="98"/>
        <v>2.8312029999999999</v>
      </c>
      <c r="D943" s="6">
        <f t="shared" si="99"/>
        <v>2666.993226</v>
      </c>
      <c r="E943" s="6">
        <f t="shared" si="103"/>
        <v>1226.3761884999994</v>
      </c>
      <c r="F943" s="6">
        <f t="shared" si="104"/>
        <v>-2.1700000000013375E-4</v>
      </c>
      <c r="G943" s="6">
        <f t="shared" si="100"/>
        <v>-676.12090580461233</v>
      </c>
      <c r="H943" s="7">
        <f t="shared" si="101"/>
        <v>-2.1529605741269194E-12</v>
      </c>
      <c r="I943" s="8" t="str">
        <f t="shared" si="102"/>
        <v/>
      </c>
    </row>
    <row r="944" spans="1:9" x14ac:dyDescent="0.2">
      <c r="A944" s="5">
        <v>943</v>
      </c>
      <c r="B944" s="6">
        <v>2.9216959999999998</v>
      </c>
      <c r="C944" s="6">
        <f t="shared" si="98"/>
        <v>2.8306959999999997</v>
      </c>
      <c r="D944" s="6">
        <f t="shared" si="99"/>
        <v>2669.3463279999996</v>
      </c>
      <c r="E944" s="6">
        <f t="shared" si="103"/>
        <v>1229.2071379999995</v>
      </c>
      <c r="F944" s="6">
        <f t="shared" si="104"/>
        <v>-4.9999999999994493E-4</v>
      </c>
      <c r="G944" s="6">
        <f t="shared" si="100"/>
        <v>-676.21969672080149</v>
      </c>
      <c r="H944" s="7">
        <f t="shared" si="101"/>
        <v>-9.3452141614272525E-13</v>
      </c>
      <c r="I944" s="8" t="str">
        <f t="shared" si="102"/>
        <v/>
      </c>
    </row>
    <row r="945" spans="1:9" x14ac:dyDescent="0.2">
      <c r="A945" s="5">
        <v>944</v>
      </c>
      <c r="B945" s="6">
        <v>2.9212030000000002</v>
      </c>
      <c r="C945" s="6">
        <f t="shared" si="98"/>
        <v>2.830203</v>
      </c>
      <c r="D945" s="6">
        <f t="shared" si="99"/>
        <v>2671.711632</v>
      </c>
      <c r="E945" s="6">
        <f t="shared" si="103"/>
        <v>1232.0375874999995</v>
      </c>
      <c r="F945" s="6">
        <f t="shared" si="104"/>
        <v>-6.4500000000000668E-4</v>
      </c>
      <c r="G945" s="6">
        <f t="shared" si="100"/>
        <v>-676.31625268269727</v>
      </c>
      <c r="H945" s="7">
        <f t="shared" si="101"/>
        <v>-7.2453864686332575E-13</v>
      </c>
      <c r="I945" s="8" t="str">
        <f t="shared" si="102"/>
        <v/>
      </c>
    </row>
    <row r="946" spans="1:9" x14ac:dyDescent="0.2">
      <c r="A946" s="5">
        <v>945</v>
      </c>
      <c r="B946" s="6">
        <v>2.9204059999999998</v>
      </c>
      <c r="C946" s="6">
        <f t="shared" si="98"/>
        <v>2.8294059999999996</v>
      </c>
      <c r="D946" s="6">
        <f t="shared" si="99"/>
        <v>2673.7886699999995</v>
      </c>
      <c r="E946" s="6">
        <f t="shared" si="103"/>
        <v>1234.8673919999994</v>
      </c>
      <c r="F946" s="6">
        <f t="shared" si="104"/>
        <v>-2.3200000000000998E-4</v>
      </c>
      <c r="G946" s="6">
        <f t="shared" si="100"/>
        <v>-676.47314522353088</v>
      </c>
      <c r="H946" s="7">
        <f t="shared" si="101"/>
        <v>-2.014809647951281E-12</v>
      </c>
      <c r="I946" s="8" t="str">
        <f t="shared" si="102"/>
        <v/>
      </c>
    </row>
    <row r="947" spans="1:9" x14ac:dyDescent="0.2">
      <c r="A947" s="5">
        <v>946</v>
      </c>
      <c r="B947" s="6">
        <v>2.9207390000000002</v>
      </c>
      <c r="C947" s="6">
        <f t="shared" si="98"/>
        <v>2.829739</v>
      </c>
      <c r="D947" s="6">
        <f t="shared" si="99"/>
        <v>2676.933094</v>
      </c>
      <c r="E947" s="6">
        <f t="shared" si="103"/>
        <v>1237.6969644999995</v>
      </c>
      <c r="F947" s="6">
        <f t="shared" si="104"/>
        <v>9.7800000000014542E-4</v>
      </c>
      <c r="G947" s="6">
        <f t="shared" si="100"/>
        <v>-676.40725988212853</v>
      </c>
      <c r="H947" s="7">
        <f t="shared" si="101"/>
        <v>4.7790420475024049E-13</v>
      </c>
      <c r="I947" s="8" t="str">
        <f t="shared" si="102"/>
        <v/>
      </c>
    </row>
    <row r="948" spans="1:9" x14ac:dyDescent="0.2">
      <c r="A948" s="5">
        <v>947</v>
      </c>
      <c r="B948" s="6">
        <v>2.9223620000000001</v>
      </c>
      <c r="C948" s="6">
        <f t="shared" si="98"/>
        <v>2.8313619999999999</v>
      </c>
      <c r="D948" s="6">
        <f t="shared" si="99"/>
        <v>2681.299814</v>
      </c>
      <c r="E948" s="6">
        <f t="shared" si="103"/>
        <v>1240.5275149999995</v>
      </c>
      <c r="F948" s="6">
        <f t="shared" si="104"/>
        <v>-1.1600000000000499E-4</v>
      </c>
      <c r="G948" s="6">
        <f t="shared" si="100"/>
        <v>-676.08452003799698</v>
      </c>
      <c r="H948" s="7">
        <f t="shared" si="101"/>
        <v>-4.0273043310624076E-12</v>
      </c>
      <c r="I948" s="8" t="str">
        <f t="shared" si="102"/>
        <v/>
      </c>
    </row>
    <row r="949" spans="1:9" x14ac:dyDescent="0.2">
      <c r="A949" s="5">
        <v>948</v>
      </c>
      <c r="B949" s="6">
        <v>2.9205070000000002</v>
      </c>
      <c r="C949" s="6">
        <f t="shared" si="98"/>
        <v>2.829507</v>
      </c>
      <c r="D949" s="6">
        <f t="shared" si="99"/>
        <v>2682.3726360000001</v>
      </c>
      <c r="E949" s="6">
        <f t="shared" si="103"/>
        <v>1243.3579494999994</v>
      </c>
      <c r="F949" s="6">
        <f t="shared" si="104"/>
        <v>-1.5580000000001704E-3</v>
      </c>
      <c r="G949" s="6">
        <f t="shared" si="100"/>
        <v>-676.45524898184419</v>
      </c>
      <c r="H949" s="7">
        <f t="shared" si="101"/>
        <v>-3.0001506560309738E-13</v>
      </c>
      <c r="I949" s="8" t="str">
        <f t="shared" si="102"/>
        <v/>
      </c>
    </row>
    <row r="950" spans="1:9" x14ac:dyDescent="0.2">
      <c r="A950" s="5">
        <v>949</v>
      </c>
      <c r="B950" s="6">
        <v>2.9192459999999998</v>
      </c>
      <c r="C950" s="6">
        <f t="shared" si="98"/>
        <v>2.8282459999999996</v>
      </c>
      <c r="D950" s="6">
        <f t="shared" si="99"/>
        <v>2684.0054539999996</v>
      </c>
      <c r="E950" s="6">
        <f t="shared" si="103"/>
        <v>1246.1868259999994</v>
      </c>
      <c r="F950" s="6">
        <f t="shared" si="104"/>
        <v>-1.7825000000000202E-3</v>
      </c>
      <c r="G950" s="6">
        <f t="shared" si="100"/>
        <v>-676.70852572210924</v>
      </c>
      <c r="H950" s="7">
        <f t="shared" si="101"/>
        <v>-2.6232734012735977E-13</v>
      </c>
      <c r="I950" s="8" t="str">
        <f t="shared" si="102"/>
        <v/>
      </c>
    </row>
    <row r="951" spans="1:9" x14ac:dyDescent="0.2">
      <c r="A951" s="5">
        <v>950</v>
      </c>
      <c r="B951" s="6">
        <v>2.9169420000000001</v>
      </c>
      <c r="C951" s="6">
        <f t="shared" si="98"/>
        <v>2.825942</v>
      </c>
      <c r="D951" s="6">
        <f t="shared" si="99"/>
        <v>2684.6448999999998</v>
      </c>
      <c r="E951" s="6">
        <f t="shared" si="103"/>
        <v>1249.0139199999994</v>
      </c>
      <c r="F951" s="6">
        <f t="shared" si="104"/>
        <v>-8.9849999999991326E-4</v>
      </c>
      <c r="G951" s="6">
        <f t="shared" si="100"/>
        <v>-677.17359705721663</v>
      </c>
      <c r="H951" s="7">
        <f t="shared" si="101"/>
        <v>-5.2077890170836445E-13</v>
      </c>
      <c r="I951" s="8" t="str">
        <f t="shared" si="102"/>
        <v/>
      </c>
    </row>
    <row r="952" spans="1:9" x14ac:dyDescent="0.2">
      <c r="A952" s="5">
        <v>951</v>
      </c>
      <c r="B952" s="6">
        <v>2.917449</v>
      </c>
      <c r="C952" s="6">
        <f t="shared" si="98"/>
        <v>2.8264489999999998</v>
      </c>
      <c r="D952" s="6">
        <f t="shared" si="99"/>
        <v>2687.9529989999996</v>
      </c>
      <c r="E952" s="6">
        <f t="shared" si="103"/>
        <v>1251.8401154999995</v>
      </c>
      <c r="F952" s="6">
        <f t="shared" si="104"/>
        <v>1.3044999999998197E-3</v>
      </c>
      <c r="G952" s="6">
        <f t="shared" si="100"/>
        <v>-677.0707501410277</v>
      </c>
      <c r="H952" s="7">
        <f t="shared" si="101"/>
        <v>3.58642220809585E-13</v>
      </c>
      <c r="I952" s="8" t="str">
        <f t="shared" si="102"/>
        <v/>
      </c>
    </row>
    <row r="953" spans="1:9" x14ac:dyDescent="0.2">
      <c r="A953" s="5">
        <v>952</v>
      </c>
      <c r="B953" s="6">
        <v>2.9195509999999998</v>
      </c>
      <c r="C953" s="6">
        <f t="shared" si="98"/>
        <v>2.8285509999999996</v>
      </c>
      <c r="D953" s="6">
        <f t="shared" si="99"/>
        <v>2692.7805519999997</v>
      </c>
      <c r="E953" s="6">
        <f t="shared" si="103"/>
        <v>1254.6676154999996</v>
      </c>
      <c r="F953" s="6">
        <f t="shared" si="104"/>
        <v>8.7700000000001666E-4</v>
      </c>
      <c r="G953" s="6">
        <f t="shared" si="100"/>
        <v>-676.64224928929355</v>
      </c>
      <c r="H953" s="7">
        <f t="shared" si="101"/>
        <v>5.331273517195479E-13</v>
      </c>
      <c r="I953" s="8" t="str">
        <f t="shared" si="102"/>
        <v/>
      </c>
    </row>
    <row r="954" spans="1:9" x14ac:dyDescent="0.2">
      <c r="A954" s="5">
        <v>953</v>
      </c>
      <c r="B954" s="6">
        <v>2.919203</v>
      </c>
      <c r="C954" s="6">
        <f t="shared" si="98"/>
        <v>2.8282029999999998</v>
      </c>
      <c r="D954" s="6">
        <f t="shared" si="99"/>
        <v>2695.2774589999999</v>
      </c>
      <c r="E954" s="6">
        <f t="shared" si="103"/>
        <v>1257.4959924999996</v>
      </c>
      <c r="F954" s="6">
        <f t="shared" si="104"/>
        <v>8.9100000000019719E-4</v>
      </c>
      <c r="G954" s="6">
        <f t="shared" si="100"/>
        <v>-676.71353843886698</v>
      </c>
      <c r="H954" s="7">
        <f t="shared" si="101"/>
        <v>5.2480577722957512E-13</v>
      </c>
      <c r="I954" s="8" t="str">
        <f t="shared" si="102"/>
        <v/>
      </c>
    </row>
    <row r="955" spans="1:9" x14ac:dyDescent="0.2">
      <c r="A955" s="5">
        <v>954</v>
      </c>
      <c r="B955" s="6">
        <v>2.9213330000000002</v>
      </c>
      <c r="C955" s="6">
        <f t="shared" si="98"/>
        <v>2.830333</v>
      </c>
      <c r="D955" s="6">
        <f t="shared" si="99"/>
        <v>2700.137682</v>
      </c>
      <c r="E955" s="6">
        <f t="shared" si="103"/>
        <v>1260.3252604999996</v>
      </c>
      <c r="F955" s="6">
        <f t="shared" si="104"/>
        <v>1.5940000000000953E-3</v>
      </c>
      <c r="G955" s="6">
        <f t="shared" si="100"/>
        <v>-676.27506967854629</v>
      </c>
      <c r="H955" s="7">
        <f t="shared" si="101"/>
        <v>2.931612109181308E-13</v>
      </c>
      <c r="I955" s="8" t="str">
        <f t="shared" si="102"/>
        <v/>
      </c>
    </row>
    <row r="956" spans="1:9" x14ac:dyDescent="0.2">
      <c r="A956" s="5">
        <v>955</v>
      </c>
      <c r="B956" s="6">
        <v>2.9223910000000002</v>
      </c>
      <c r="C956" s="6">
        <f t="shared" si="98"/>
        <v>2.831391</v>
      </c>
      <c r="D956" s="6">
        <f t="shared" si="99"/>
        <v>2703.9784049999998</v>
      </c>
      <c r="E956" s="6">
        <f t="shared" si="103"/>
        <v>1263.1561224999996</v>
      </c>
      <c r="F956" s="6">
        <f t="shared" si="104"/>
        <v>2.3949999999994809E-4</v>
      </c>
      <c r="G956" s="6">
        <f t="shared" si="100"/>
        <v>-676.0562182755325</v>
      </c>
      <c r="H956" s="7">
        <f t="shared" si="101"/>
        <v>1.9505125101576295E-12</v>
      </c>
      <c r="I956" s="8" t="str">
        <f t="shared" si="102"/>
        <v/>
      </c>
    </row>
    <row r="957" spans="1:9" x14ac:dyDescent="0.2">
      <c r="A957" s="5">
        <v>956</v>
      </c>
      <c r="B957" s="6">
        <v>2.9218120000000001</v>
      </c>
      <c r="C957" s="6">
        <f t="shared" si="98"/>
        <v>2.8308119999999999</v>
      </c>
      <c r="D957" s="6">
        <f t="shared" si="99"/>
        <v>2706.2562720000001</v>
      </c>
      <c r="E957" s="6">
        <f t="shared" si="103"/>
        <v>1265.9872239999995</v>
      </c>
      <c r="F957" s="6">
        <f t="shared" si="104"/>
        <v>-7.1700000000007869E-4</v>
      </c>
      <c r="G957" s="6">
        <f t="shared" si="100"/>
        <v>-676.17656567094366</v>
      </c>
      <c r="H957" s="7">
        <f t="shared" si="101"/>
        <v>-6.5164700832470746E-13</v>
      </c>
      <c r="I957" s="8" t="str">
        <f t="shared" si="102"/>
        <v/>
      </c>
    </row>
    <row r="958" spans="1:9" x14ac:dyDescent="0.2">
      <c r="A958" s="5">
        <v>957</v>
      </c>
      <c r="B958" s="6">
        <v>2.920957</v>
      </c>
      <c r="C958" s="6">
        <f t="shared" si="98"/>
        <v>2.8299569999999998</v>
      </c>
      <c r="D958" s="6">
        <f t="shared" si="99"/>
        <v>2708.268849</v>
      </c>
      <c r="E958" s="6">
        <f t="shared" si="103"/>
        <v>1268.8176084999996</v>
      </c>
      <c r="F958" s="6">
        <f t="shared" si="104"/>
        <v>-1.2974999999999515E-3</v>
      </c>
      <c r="G958" s="6">
        <f t="shared" si="100"/>
        <v>-676.35513573670619</v>
      </c>
      <c r="H958" s="7">
        <f t="shared" si="101"/>
        <v>-3.6019598844608659E-13</v>
      </c>
      <c r="I958" s="8" t="str">
        <f t="shared" si="102"/>
        <v/>
      </c>
    </row>
    <row r="959" spans="1:9" x14ac:dyDescent="0.2">
      <c r="A959" s="5">
        <v>958</v>
      </c>
      <c r="B959" s="6">
        <v>2.9192170000000002</v>
      </c>
      <c r="C959" s="6">
        <f t="shared" si="98"/>
        <v>2.828217</v>
      </c>
      <c r="D959" s="6">
        <f t="shared" si="99"/>
        <v>2709.4318859999998</v>
      </c>
      <c r="E959" s="6">
        <f t="shared" si="103"/>
        <v>1271.6466954999996</v>
      </c>
      <c r="F959" s="6">
        <f t="shared" si="104"/>
        <v>-7.1749999999992653E-4</v>
      </c>
      <c r="G959" s="6">
        <f t="shared" si="100"/>
        <v>-676.72028148457377</v>
      </c>
      <c r="H959" s="7">
        <f t="shared" si="101"/>
        <v>-6.5171652527590764E-13</v>
      </c>
      <c r="I959" s="8" t="str">
        <f t="shared" si="102"/>
        <v/>
      </c>
    </row>
    <row r="960" spans="1:9" x14ac:dyDescent="0.2">
      <c r="A960" s="5">
        <v>959</v>
      </c>
      <c r="B960" s="6">
        <v>2.9195220000000002</v>
      </c>
      <c r="C960" s="6">
        <f t="shared" si="98"/>
        <v>2.828522</v>
      </c>
      <c r="D960" s="6">
        <f t="shared" si="99"/>
        <v>2712.5525979999998</v>
      </c>
      <c r="E960" s="6">
        <f t="shared" si="103"/>
        <v>1274.4750649999996</v>
      </c>
      <c r="F960" s="6">
        <f t="shared" si="104"/>
        <v>4.3499999999863093E-5</v>
      </c>
      <c r="G960" s="6">
        <f t="shared" si="100"/>
        <v>-676.655971051758</v>
      </c>
      <c r="H960" s="7">
        <f t="shared" si="101"/>
        <v>1.0748555610419926E-11</v>
      </c>
      <c r="I960" s="8" t="str">
        <f t="shared" si="102"/>
        <v/>
      </c>
    </row>
    <row r="961" spans="1:9" x14ac:dyDescent="0.2">
      <c r="A961" s="5">
        <v>960</v>
      </c>
      <c r="B961" s="6">
        <v>2.9193039999999999</v>
      </c>
      <c r="C961" s="6">
        <f t="shared" si="98"/>
        <v>2.8283039999999997</v>
      </c>
      <c r="D961" s="6">
        <f t="shared" si="99"/>
        <v>2715.1718399999995</v>
      </c>
      <c r="E961" s="6">
        <f t="shared" si="103"/>
        <v>1277.3034779999996</v>
      </c>
      <c r="F961" s="6">
        <f t="shared" si="104"/>
        <v>-1.6305000000000902E-3</v>
      </c>
      <c r="G961" s="6">
        <f t="shared" si="100"/>
        <v>-676.70215519718045</v>
      </c>
      <c r="H961" s="7">
        <f t="shared" si="101"/>
        <v>-2.8677956566156535E-13</v>
      </c>
      <c r="I961" s="8" t="str">
        <f t="shared" si="102"/>
        <v/>
      </c>
    </row>
    <row r="962" spans="1:9" x14ac:dyDescent="0.2">
      <c r="A962" s="5">
        <v>961</v>
      </c>
      <c r="B962" s="6">
        <v>2.916261</v>
      </c>
      <c r="C962" s="6">
        <f t="shared" ref="C962:C1025" si="105">B962-$B$2</f>
        <v>2.8252609999999998</v>
      </c>
      <c r="D962" s="6">
        <f t="shared" ref="D962:D1025" si="106">A962*C962</f>
        <v>2715.0758209999999</v>
      </c>
      <c r="E962" s="6">
        <f t="shared" si="103"/>
        <v>1280.1302604999996</v>
      </c>
      <c r="F962" s="6">
        <f t="shared" si="104"/>
        <v>-1.2604999999998867E-3</v>
      </c>
      <c r="G962" s="6">
        <f t="shared" ref="G962:G1001" si="107">(A962-$L$5)*C962-E962</f>
        <v>-677.3498695481926</v>
      </c>
      <c r="H962" s="7">
        <f t="shared" ref="H962:H1025" si="108">IF(ABS(F962)&lt;0.000000001,"",-(G962)/(2*$L$4*F962)*0.000000000001)</f>
        <v>-3.7131427657662009E-13</v>
      </c>
      <c r="I962" s="8" t="str">
        <f t="shared" ref="I962:I1025" si="109">IF(AND(B962&gt;=0.5,B962&lt;=2.5,ISNUMBER(H962),H962&gt;0),H962,"")</f>
        <v/>
      </c>
    </row>
    <row r="963" spans="1:9" x14ac:dyDescent="0.2">
      <c r="A963" s="5">
        <v>962</v>
      </c>
      <c r="B963" s="6">
        <v>2.9167830000000001</v>
      </c>
      <c r="C963" s="6">
        <f t="shared" si="105"/>
        <v>2.8257829999999999</v>
      </c>
      <c r="D963" s="6">
        <f t="shared" si="106"/>
        <v>2718.4032459999999</v>
      </c>
      <c r="E963" s="6">
        <f t="shared" ref="E963:E1001" si="110">E962+(C962+C963)/2*(A963-A962)</f>
        <v>1282.9557824999997</v>
      </c>
      <c r="F963" s="6">
        <f t="shared" ref="F963:F1000" si="111">(B964-B962)/(A964-A962)</f>
        <v>7.6100000000001167E-4</v>
      </c>
      <c r="G963" s="6">
        <f t="shared" si="107"/>
        <v>-677.23823782383238</v>
      </c>
      <c r="H963" s="7">
        <f t="shared" si="108"/>
        <v>6.1493365213629437E-13</v>
      </c>
      <c r="I963" s="8" t="str">
        <f t="shared" si="109"/>
        <v/>
      </c>
    </row>
    <row r="964" spans="1:9" x14ac:dyDescent="0.2">
      <c r="A964" s="5">
        <v>963</v>
      </c>
      <c r="B964" s="6">
        <v>2.917783</v>
      </c>
      <c r="C964" s="6">
        <f t="shared" si="105"/>
        <v>2.8267829999999998</v>
      </c>
      <c r="D964" s="6">
        <f t="shared" si="106"/>
        <v>2722.1920289999998</v>
      </c>
      <c r="E964" s="6">
        <f t="shared" si="110"/>
        <v>1285.7820654999998</v>
      </c>
      <c r="F964" s="6">
        <f t="shared" si="111"/>
        <v>1.4779999999998683E-3</v>
      </c>
      <c r="G964" s="6">
        <f t="shared" si="107"/>
        <v>-677.0233839457477</v>
      </c>
      <c r="H964" s="7">
        <f t="shared" si="108"/>
        <v>3.1651965324941223E-13</v>
      </c>
      <c r="I964" s="8" t="str">
        <f t="shared" si="109"/>
        <v/>
      </c>
    </row>
    <row r="965" spans="1:9" x14ac:dyDescent="0.2">
      <c r="A965" s="5">
        <v>964</v>
      </c>
      <c r="B965" s="6">
        <v>2.9197389999999999</v>
      </c>
      <c r="C965" s="6">
        <f t="shared" si="105"/>
        <v>2.8287389999999997</v>
      </c>
      <c r="D965" s="6">
        <f t="shared" si="106"/>
        <v>2726.9043959999999</v>
      </c>
      <c r="E965" s="6">
        <f t="shared" si="110"/>
        <v>1288.6098264999998</v>
      </c>
      <c r="F965" s="6">
        <f t="shared" si="111"/>
        <v>1.6374999999999584E-3</v>
      </c>
      <c r="G965" s="6">
        <f t="shared" si="107"/>
        <v>-676.60117376021378</v>
      </c>
      <c r="H965" s="7">
        <f t="shared" si="108"/>
        <v>2.8551102577031341E-13</v>
      </c>
      <c r="I965" s="8" t="str">
        <f t="shared" si="109"/>
        <v/>
      </c>
    </row>
    <row r="966" spans="1:9" x14ac:dyDescent="0.2">
      <c r="A966" s="5">
        <v>965</v>
      </c>
      <c r="B966" s="6">
        <v>2.9210579999999999</v>
      </c>
      <c r="C966" s="6">
        <f t="shared" si="105"/>
        <v>2.8300579999999997</v>
      </c>
      <c r="D966" s="6">
        <f t="shared" si="106"/>
        <v>2731.0059699999997</v>
      </c>
      <c r="E966" s="6">
        <f t="shared" si="110"/>
        <v>1291.4392249999999</v>
      </c>
      <c r="F966" s="6">
        <f t="shared" si="111"/>
        <v>7.5000000001601563E-6</v>
      </c>
      <c r="G966" s="6">
        <f t="shared" si="107"/>
        <v>-676.31514349501992</v>
      </c>
      <c r="H966" s="7">
        <f t="shared" si="108"/>
        <v>6.2310221437311385E-11</v>
      </c>
      <c r="I966" s="8" t="str">
        <f t="shared" si="109"/>
        <v/>
      </c>
    </row>
    <row r="967" spans="1:9" x14ac:dyDescent="0.2">
      <c r="A967" s="5">
        <v>966</v>
      </c>
      <c r="B967" s="6">
        <v>2.9197540000000002</v>
      </c>
      <c r="C967" s="6">
        <f t="shared" si="105"/>
        <v>2.828754</v>
      </c>
      <c r="D967" s="6">
        <f t="shared" si="106"/>
        <v>2732.576364</v>
      </c>
      <c r="E967" s="6">
        <f t="shared" si="110"/>
        <v>1294.2686309999999</v>
      </c>
      <c r="F967" s="6">
        <f t="shared" si="111"/>
        <v>-1.0740000000000194E-3</v>
      </c>
      <c r="G967" s="6">
        <f t="shared" si="107"/>
        <v>-676.5992249520425</v>
      </c>
      <c r="H967" s="7">
        <f t="shared" si="108"/>
        <v>-4.3531001684626619E-13</v>
      </c>
      <c r="I967" s="8" t="str">
        <f t="shared" si="109"/>
        <v/>
      </c>
    </row>
    <row r="968" spans="1:9" x14ac:dyDescent="0.2">
      <c r="A968" s="5">
        <v>967</v>
      </c>
      <c r="B968" s="6">
        <v>2.9189099999999999</v>
      </c>
      <c r="C968" s="6">
        <f t="shared" si="105"/>
        <v>2.8279099999999997</v>
      </c>
      <c r="D968" s="6">
        <f t="shared" si="106"/>
        <v>2734.5889699999998</v>
      </c>
      <c r="E968" s="6">
        <f t="shared" si="110"/>
        <v>1297.096963</v>
      </c>
      <c r="F968" s="6">
        <f t="shared" si="111"/>
        <v>-1.9925000000000637E-3</v>
      </c>
      <c r="G968" s="6">
        <f t="shared" si="107"/>
        <v>-676.78393762514622</v>
      </c>
      <c r="H968" s="7">
        <f t="shared" si="108"/>
        <v>-2.3470544171139441E-13</v>
      </c>
      <c r="I968" s="8" t="str">
        <f t="shared" si="109"/>
        <v/>
      </c>
    </row>
    <row r="969" spans="1:9" x14ac:dyDescent="0.2">
      <c r="A969" s="5">
        <v>968</v>
      </c>
      <c r="B969" s="6">
        <v>2.9157690000000001</v>
      </c>
      <c r="C969" s="6">
        <f t="shared" si="105"/>
        <v>2.8247689999999999</v>
      </c>
      <c r="D969" s="6">
        <f t="shared" si="106"/>
        <v>2734.3763919999997</v>
      </c>
      <c r="E969" s="6">
        <f t="shared" si="110"/>
        <v>1299.9233024999999</v>
      </c>
      <c r="F969" s="6">
        <f t="shared" si="111"/>
        <v>-1.0980000000000434E-3</v>
      </c>
      <c r="G969" s="6">
        <f t="shared" si="107"/>
        <v>-677.47449865621059</v>
      </c>
      <c r="H969" s="7">
        <f t="shared" si="108"/>
        <v>-4.263458679685109E-13</v>
      </c>
      <c r="I969" s="8" t="str">
        <f t="shared" si="109"/>
        <v/>
      </c>
    </row>
    <row r="970" spans="1:9" x14ac:dyDescent="0.2">
      <c r="A970" s="5">
        <v>969</v>
      </c>
      <c r="B970" s="6">
        <v>2.9167139999999998</v>
      </c>
      <c r="C970" s="6">
        <f t="shared" si="105"/>
        <v>2.8257139999999996</v>
      </c>
      <c r="D970" s="6">
        <f t="shared" si="106"/>
        <v>2738.1168659999998</v>
      </c>
      <c r="E970" s="6">
        <f t="shared" si="110"/>
        <v>1302.7485439999998</v>
      </c>
      <c r="F970" s="6">
        <f t="shared" si="111"/>
        <v>6.8950000000000955E-4</v>
      </c>
      <c r="G970" s="6">
        <f t="shared" si="107"/>
        <v>-677.26579174142046</v>
      </c>
      <c r="H970" s="7">
        <f t="shared" si="108"/>
        <v>6.787288596713186E-13</v>
      </c>
      <c r="I970" s="8" t="str">
        <f t="shared" si="109"/>
        <v/>
      </c>
    </row>
    <row r="971" spans="1:9" x14ac:dyDescent="0.2">
      <c r="A971" s="5">
        <v>970</v>
      </c>
      <c r="B971" s="6">
        <v>2.9171480000000001</v>
      </c>
      <c r="C971" s="6">
        <f t="shared" si="105"/>
        <v>2.8261479999999999</v>
      </c>
      <c r="D971" s="6">
        <f t="shared" si="106"/>
        <v>2741.3635599999998</v>
      </c>
      <c r="E971" s="6">
        <f t="shared" si="110"/>
        <v>1305.5744749999999</v>
      </c>
      <c r="F971" s="6">
        <f t="shared" si="111"/>
        <v>4.7350000000001558E-4</v>
      </c>
      <c r="G971" s="6">
        <f t="shared" si="107"/>
        <v>-677.16950715833161</v>
      </c>
      <c r="H971" s="7">
        <f t="shared" si="108"/>
        <v>9.8820911743977134E-13</v>
      </c>
      <c r="I971" s="8" t="str">
        <f t="shared" si="109"/>
        <v/>
      </c>
    </row>
    <row r="972" spans="1:9" x14ac:dyDescent="0.2">
      <c r="A972" s="5">
        <v>971</v>
      </c>
      <c r="B972" s="6">
        <v>2.9176609999999998</v>
      </c>
      <c r="C972" s="6">
        <f t="shared" si="105"/>
        <v>2.8266609999999996</v>
      </c>
      <c r="D972" s="6">
        <f t="shared" si="106"/>
        <v>2744.6878309999997</v>
      </c>
      <c r="E972" s="6">
        <f t="shared" si="110"/>
        <v>1308.4008795</v>
      </c>
      <c r="F972" s="6">
        <f t="shared" si="111"/>
        <v>-1.3550000000006612E-4</v>
      </c>
      <c r="G972" s="6">
        <f t="shared" si="107"/>
        <v>-677.0551831188742</v>
      </c>
      <c r="H972" s="7">
        <f t="shared" si="108"/>
        <v>-3.4526791173210607E-12</v>
      </c>
      <c r="I972" s="8" t="str">
        <f t="shared" si="109"/>
        <v/>
      </c>
    </row>
    <row r="973" spans="1:9" x14ac:dyDescent="0.2">
      <c r="A973" s="5">
        <v>972</v>
      </c>
      <c r="B973" s="6">
        <v>2.9168769999999999</v>
      </c>
      <c r="C973" s="6">
        <f t="shared" si="105"/>
        <v>2.8258769999999998</v>
      </c>
      <c r="D973" s="6">
        <f t="shared" si="106"/>
        <v>2746.7524439999997</v>
      </c>
      <c r="E973" s="6">
        <f t="shared" si="110"/>
        <v>1311.2271484999999</v>
      </c>
      <c r="F973" s="6">
        <f t="shared" si="111"/>
        <v>-2.5799999999986944E-4</v>
      </c>
      <c r="G973" s="6">
        <f t="shared" si="107"/>
        <v>-677.23068455929263</v>
      </c>
      <c r="H973" s="7">
        <f t="shared" si="108"/>
        <v>-1.813795697866276E-12</v>
      </c>
      <c r="I973" s="8" t="str">
        <f t="shared" si="109"/>
        <v/>
      </c>
    </row>
    <row r="974" spans="1:9" x14ac:dyDescent="0.2">
      <c r="A974" s="5">
        <v>973</v>
      </c>
      <c r="B974" s="6">
        <v>2.9171450000000001</v>
      </c>
      <c r="C974" s="6">
        <f t="shared" si="105"/>
        <v>2.8261449999999999</v>
      </c>
      <c r="D974" s="6">
        <f t="shared" si="106"/>
        <v>2749.8390850000001</v>
      </c>
      <c r="E974" s="6">
        <f t="shared" si="110"/>
        <v>1314.0531595</v>
      </c>
      <c r="F974" s="6">
        <f t="shared" si="111"/>
        <v>-4.499999999962867E-6</v>
      </c>
      <c r="G974" s="6">
        <f t="shared" si="107"/>
        <v>-677.17042371996592</v>
      </c>
      <c r="H974" s="7">
        <f t="shared" si="108"/>
        <v>-1.0398170009912687E-10</v>
      </c>
      <c r="I974" s="8" t="str">
        <f t="shared" si="109"/>
        <v/>
      </c>
    </row>
    <row r="975" spans="1:9" x14ac:dyDescent="0.2">
      <c r="A975" s="5">
        <v>974</v>
      </c>
      <c r="B975" s="6">
        <v>2.916868</v>
      </c>
      <c r="C975" s="6">
        <f t="shared" si="105"/>
        <v>2.8258679999999998</v>
      </c>
      <c r="D975" s="6">
        <f t="shared" si="106"/>
        <v>2752.3954319999998</v>
      </c>
      <c r="E975" s="6">
        <f t="shared" si="110"/>
        <v>1316.8791659999999</v>
      </c>
      <c r="F975" s="6">
        <f t="shared" si="111"/>
        <v>-7.0000000000014495E-4</v>
      </c>
      <c r="G975" s="6">
        <f t="shared" si="107"/>
        <v>-677.23298524419545</v>
      </c>
      <c r="H975" s="7">
        <f t="shared" si="108"/>
        <v>-6.6851554256895594E-13</v>
      </c>
      <c r="I975" s="8" t="str">
        <f t="shared" si="109"/>
        <v/>
      </c>
    </row>
    <row r="976" spans="1:9" x14ac:dyDescent="0.2">
      <c r="A976" s="5">
        <v>975</v>
      </c>
      <c r="B976" s="6">
        <v>2.9157449999999998</v>
      </c>
      <c r="C976" s="6">
        <f t="shared" si="105"/>
        <v>2.8247449999999996</v>
      </c>
      <c r="D976" s="6">
        <f t="shared" si="106"/>
        <v>2754.1263749999998</v>
      </c>
      <c r="E976" s="6">
        <f t="shared" si="110"/>
        <v>1319.7044724999998</v>
      </c>
      <c r="F976" s="6">
        <f t="shared" si="111"/>
        <v>-1.2300000000000644E-3</v>
      </c>
      <c r="G976" s="6">
        <f t="shared" si="107"/>
        <v>-677.4877421492846</v>
      </c>
      <c r="H976" s="7">
        <f t="shared" si="108"/>
        <v>-3.8059911719027327E-13</v>
      </c>
      <c r="I976" s="8" t="str">
        <f t="shared" si="109"/>
        <v/>
      </c>
    </row>
    <row r="977" spans="1:9" x14ac:dyDescent="0.2">
      <c r="A977" s="5">
        <v>976</v>
      </c>
      <c r="B977" s="6">
        <v>2.9144079999999999</v>
      </c>
      <c r="C977" s="6">
        <f t="shared" si="105"/>
        <v>2.8234079999999997</v>
      </c>
      <c r="D977" s="6">
        <f t="shared" si="106"/>
        <v>2755.6462079999997</v>
      </c>
      <c r="E977" s="6">
        <f t="shared" si="110"/>
        <v>1322.5285489999999</v>
      </c>
      <c r="F977" s="6">
        <f t="shared" si="111"/>
        <v>-1.5959999999999308E-3</v>
      </c>
      <c r="G977" s="6">
        <f t="shared" si="107"/>
        <v>-677.79238278428409</v>
      </c>
      <c r="H977" s="7">
        <f t="shared" si="108"/>
        <v>-2.934507629218125E-13</v>
      </c>
      <c r="I977" s="8" t="str">
        <f t="shared" si="109"/>
        <v/>
      </c>
    </row>
    <row r="978" spans="1:9" x14ac:dyDescent="0.2">
      <c r="A978" s="5">
        <v>977</v>
      </c>
      <c r="B978" s="6">
        <v>2.9125529999999999</v>
      </c>
      <c r="C978" s="6">
        <f t="shared" si="105"/>
        <v>2.8215529999999998</v>
      </c>
      <c r="D978" s="6">
        <f t="shared" si="106"/>
        <v>2756.6572809999998</v>
      </c>
      <c r="E978" s="6">
        <f t="shared" si="110"/>
        <v>1325.3510294999999</v>
      </c>
      <c r="F978" s="6">
        <f t="shared" si="111"/>
        <v>-1.6484999999999417E-3</v>
      </c>
      <c r="G978" s="6">
        <f t="shared" si="107"/>
        <v>-678.21690672813133</v>
      </c>
      <c r="H978" s="7">
        <f t="shared" si="108"/>
        <v>-2.8428314177107391E-13</v>
      </c>
      <c r="I978" s="8" t="str">
        <f t="shared" si="109"/>
        <v/>
      </c>
    </row>
    <row r="979" spans="1:9" x14ac:dyDescent="0.2">
      <c r="A979" s="5">
        <v>978</v>
      </c>
      <c r="B979" s="6">
        <v>2.911111</v>
      </c>
      <c r="C979" s="6">
        <f t="shared" si="105"/>
        <v>2.8201109999999998</v>
      </c>
      <c r="D979" s="6">
        <f t="shared" si="106"/>
        <v>2758.0685579999999</v>
      </c>
      <c r="E979" s="6">
        <f t="shared" si="110"/>
        <v>1328.1718615</v>
      </c>
      <c r="F979" s="6">
        <f t="shared" si="111"/>
        <v>-1.1950000000000571E-3</v>
      </c>
      <c r="G979" s="6">
        <f t="shared" si="107"/>
        <v>-678.54835602032983</v>
      </c>
      <c r="H979" s="7">
        <f t="shared" si="108"/>
        <v>-3.9235965455168219E-13</v>
      </c>
      <c r="I979" s="8" t="str">
        <f t="shared" si="109"/>
        <v/>
      </c>
    </row>
    <row r="980" spans="1:9" x14ac:dyDescent="0.2">
      <c r="A980" s="5">
        <v>979</v>
      </c>
      <c r="B980" s="6">
        <v>2.9101629999999998</v>
      </c>
      <c r="C980" s="6">
        <f t="shared" si="105"/>
        <v>2.8191629999999996</v>
      </c>
      <c r="D980" s="6">
        <f t="shared" si="106"/>
        <v>2759.9605769999998</v>
      </c>
      <c r="E980" s="6">
        <f t="shared" si="110"/>
        <v>1330.9914985</v>
      </c>
      <c r="F980" s="6">
        <f t="shared" si="111"/>
        <v>3.835000000000921E-4</v>
      </c>
      <c r="G980" s="6">
        <f t="shared" si="107"/>
        <v>-678.76720549675429</v>
      </c>
      <c r="H980" s="7">
        <f t="shared" si="108"/>
        <v>1.223001329540533E-12</v>
      </c>
      <c r="I980" s="8" t="str">
        <f t="shared" si="109"/>
        <v/>
      </c>
    </row>
    <row r="981" spans="1:9" x14ac:dyDescent="0.2">
      <c r="A981" s="5">
        <v>980</v>
      </c>
      <c r="B981" s="6">
        <v>2.9118780000000002</v>
      </c>
      <c r="C981" s="6">
        <f t="shared" si="105"/>
        <v>2.820878</v>
      </c>
      <c r="D981" s="6">
        <f t="shared" si="106"/>
        <v>2764.4604399999998</v>
      </c>
      <c r="E981" s="6">
        <f t="shared" si="110"/>
        <v>1333.8115190000001</v>
      </c>
      <c r="F981" s="6">
        <f t="shared" si="111"/>
        <v>1.6199999999999548E-4</v>
      </c>
      <c r="G981" s="6">
        <f t="shared" si="107"/>
        <v>-678.36957609583885</v>
      </c>
      <c r="H981" s="7">
        <f t="shared" si="108"/>
        <v>2.8934953835753409E-12</v>
      </c>
      <c r="I981" s="8" t="str">
        <f t="shared" si="109"/>
        <v/>
      </c>
    </row>
    <row r="982" spans="1:9" x14ac:dyDescent="0.2">
      <c r="A982" s="5">
        <v>981</v>
      </c>
      <c r="B982" s="6">
        <v>2.9104869999999998</v>
      </c>
      <c r="C982" s="6">
        <f t="shared" si="105"/>
        <v>2.8194869999999996</v>
      </c>
      <c r="D982" s="6">
        <f t="shared" si="106"/>
        <v>2765.9167469999998</v>
      </c>
      <c r="E982" s="6">
        <f t="shared" si="110"/>
        <v>1336.6317015000002</v>
      </c>
      <c r="F982" s="6">
        <f t="shared" si="111"/>
        <v>-4.2770000000000863E-3</v>
      </c>
      <c r="G982" s="6">
        <f t="shared" si="107"/>
        <v>-678.69347584025502</v>
      </c>
      <c r="H982" s="7">
        <f t="shared" si="108"/>
        <v>-1.0964930172098251E-13</v>
      </c>
      <c r="I982" s="8" t="str">
        <f t="shared" si="109"/>
        <v/>
      </c>
    </row>
    <row r="983" spans="1:9" x14ac:dyDescent="0.2">
      <c r="A983" s="5">
        <v>982</v>
      </c>
      <c r="B983" s="6">
        <v>2.903324</v>
      </c>
      <c r="C983" s="6">
        <f t="shared" si="105"/>
        <v>2.8123239999999998</v>
      </c>
      <c r="D983" s="6">
        <f t="shared" si="106"/>
        <v>2761.7021679999998</v>
      </c>
      <c r="E983" s="6">
        <f t="shared" si="110"/>
        <v>1339.4476070000003</v>
      </c>
      <c r="F983" s="6">
        <f t="shared" si="111"/>
        <v>-4.8579999999998069E-3</v>
      </c>
      <c r="G983" s="6">
        <f t="shared" si="107"/>
        <v>-680.36857116897659</v>
      </c>
      <c r="H983" s="7">
        <f t="shared" si="108"/>
        <v>-9.677388570177503E-14</v>
      </c>
      <c r="I983" s="8" t="str">
        <f t="shared" si="109"/>
        <v/>
      </c>
    </row>
    <row r="984" spans="1:9" x14ac:dyDescent="0.2">
      <c r="A984" s="5">
        <v>983</v>
      </c>
      <c r="B984" s="6">
        <v>2.9007710000000002</v>
      </c>
      <c r="C984" s="6">
        <f t="shared" si="105"/>
        <v>2.809771</v>
      </c>
      <c r="D984" s="6">
        <f t="shared" si="106"/>
        <v>2762.0048929999998</v>
      </c>
      <c r="E984" s="6">
        <f t="shared" si="110"/>
        <v>1342.2586545000004</v>
      </c>
      <c r="F984" s="6">
        <f t="shared" si="111"/>
        <v>6.5500000000051628E-5</v>
      </c>
      <c r="G984" s="6">
        <f t="shared" si="107"/>
        <v>-680.96815311972728</v>
      </c>
      <c r="H984" s="7">
        <f t="shared" si="108"/>
        <v>7.1838449094560123E-12</v>
      </c>
      <c r="I984" s="8" t="str">
        <f t="shared" si="109"/>
        <v/>
      </c>
    </row>
    <row r="985" spans="1:9" x14ac:dyDescent="0.2">
      <c r="A985" s="5">
        <v>984</v>
      </c>
      <c r="B985" s="6">
        <v>2.9034550000000001</v>
      </c>
      <c r="C985" s="6">
        <f t="shared" si="105"/>
        <v>2.8124549999999999</v>
      </c>
      <c r="D985" s="6">
        <f t="shared" si="106"/>
        <v>2767.4557199999999</v>
      </c>
      <c r="E985" s="6">
        <f t="shared" si="110"/>
        <v>1345.0697675000004</v>
      </c>
      <c r="F985" s="6">
        <f t="shared" si="111"/>
        <v>1.0499999999999954E-3</v>
      </c>
      <c r="G985" s="6">
        <f t="shared" si="107"/>
        <v>-680.33512131094756</v>
      </c>
      <c r="H985" s="7">
        <f t="shared" si="108"/>
        <v>4.4771849832250819E-13</v>
      </c>
      <c r="I985" s="8" t="str">
        <f t="shared" si="109"/>
        <v/>
      </c>
    </row>
    <row r="986" spans="1:9" x14ac:dyDescent="0.2">
      <c r="A986" s="5">
        <v>985</v>
      </c>
      <c r="B986" s="6">
        <v>2.9028710000000002</v>
      </c>
      <c r="C986" s="6">
        <f t="shared" si="105"/>
        <v>2.811871</v>
      </c>
      <c r="D986" s="6">
        <f t="shared" si="106"/>
        <v>2769.692935</v>
      </c>
      <c r="E986" s="6">
        <f t="shared" si="110"/>
        <v>1347.8819305000004</v>
      </c>
      <c r="F986" s="6">
        <f t="shared" si="111"/>
        <v>-2.0204999999999806E-3</v>
      </c>
      <c r="G986" s="6">
        <f t="shared" si="107"/>
        <v>-680.47344397574909</v>
      </c>
      <c r="H986" s="7">
        <f t="shared" si="108"/>
        <v>-2.3271467594516472E-13</v>
      </c>
      <c r="I986" s="8" t="str">
        <f t="shared" si="109"/>
        <v/>
      </c>
    </row>
    <row r="987" spans="1:9" x14ac:dyDescent="0.2">
      <c r="A987" s="5">
        <v>986</v>
      </c>
      <c r="B987" s="6">
        <v>2.8994140000000002</v>
      </c>
      <c r="C987" s="6">
        <f t="shared" si="105"/>
        <v>2.808414</v>
      </c>
      <c r="D987" s="6">
        <f t="shared" si="106"/>
        <v>2769.0962039999999</v>
      </c>
      <c r="E987" s="6">
        <f t="shared" si="110"/>
        <v>1350.6920730000004</v>
      </c>
      <c r="F987" s="6">
        <f t="shared" si="111"/>
        <v>-3.2875000000001098E-3</v>
      </c>
      <c r="G987" s="6">
        <f t="shared" si="107"/>
        <v>-681.29570483228838</v>
      </c>
      <c r="H987" s="7">
        <f t="shared" si="108"/>
        <v>-1.4319944528146459E-13</v>
      </c>
      <c r="I987" s="8" t="str">
        <f t="shared" si="109"/>
        <v/>
      </c>
    </row>
    <row r="988" spans="1:9" x14ac:dyDescent="0.2">
      <c r="A988" s="5">
        <v>987</v>
      </c>
      <c r="B988" s="6">
        <v>2.896296</v>
      </c>
      <c r="C988" s="6">
        <f t="shared" si="105"/>
        <v>2.8052959999999998</v>
      </c>
      <c r="D988" s="6">
        <f t="shared" si="106"/>
        <v>2768.8271519999998</v>
      </c>
      <c r="E988" s="6">
        <f t="shared" si="110"/>
        <v>1353.4989280000004</v>
      </c>
      <c r="F988" s="6">
        <f t="shared" si="111"/>
        <v>-3.9870000000001848E-3</v>
      </c>
      <c r="G988" s="6">
        <f t="shared" si="107"/>
        <v>-682.04045122415687</v>
      </c>
      <c r="H988" s="7">
        <f t="shared" si="108"/>
        <v>-1.1820486287872798E-13</v>
      </c>
      <c r="I988" s="8" t="str">
        <f t="shared" si="109"/>
        <v/>
      </c>
    </row>
    <row r="989" spans="1:9" x14ac:dyDescent="0.2">
      <c r="A989" s="5">
        <v>988</v>
      </c>
      <c r="B989" s="6">
        <v>2.8914399999999998</v>
      </c>
      <c r="C989" s="6">
        <f t="shared" si="105"/>
        <v>2.8004399999999996</v>
      </c>
      <c r="D989" s="6">
        <f t="shared" si="106"/>
        <v>2766.8347199999994</v>
      </c>
      <c r="E989" s="6">
        <f t="shared" si="110"/>
        <v>1356.3017960000004</v>
      </c>
      <c r="F989" s="6">
        <f t="shared" si="111"/>
        <v>-4.2349999999999888E-3</v>
      </c>
      <c r="G989" s="6">
        <f t="shared" si="107"/>
        <v>-683.20518165613692</v>
      </c>
      <c r="H989" s="7">
        <f t="shared" si="108"/>
        <v>-1.1147287008094428E-13</v>
      </c>
      <c r="I989" s="8" t="str">
        <f t="shared" si="109"/>
        <v/>
      </c>
    </row>
    <row r="990" spans="1:9" x14ac:dyDescent="0.2">
      <c r="A990" s="5">
        <v>989</v>
      </c>
      <c r="B990" s="6">
        <v>2.887826</v>
      </c>
      <c r="C990" s="6">
        <f t="shared" si="105"/>
        <v>2.7968259999999998</v>
      </c>
      <c r="D990" s="6">
        <f t="shared" si="106"/>
        <v>2766.0609139999997</v>
      </c>
      <c r="E990" s="6">
        <f t="shared" si="110"/>
        <v>1359.1004290000005</v>
      </c>
      <c r="F990" s="6">
        <f t="shared" si="111"/>
        <v>-2.1724999999999106E-3</v>
      </c>
      <c r="G990" s="6">
        <f t="shared" si="107"/>
        <v>-684.07562757153551</v>
      </c>
      <c r="H990" s="7">
        <f t="shared" si="108"/>
        <v>-2.1757839989782694E-13</v>
      </c>
      <c r="I990" s="8" t="str">
        <f t="shared" si="109"/>
        <v/>
      </c>
    </row>
    <row r="991" spans="1:9" x14ac:dyDescent="0.2">
      <c r="A991" s="5">
        <v>990</v>
      </c>
      <c r="B991" s="6">
        <v>2.887095</v>
      </c>
      <c r="C991" s="6">
        <f t="shared" si="105"/>
        <v>2.7960949999999998</v>
      </c>
      <c r="D991" s="6">
        <f t="shared" si="106"/>
        <v>2768.1340499999997</v>
      </c>
      <c r="E991" s="6">
        <f t="shared" si="110"/>
        <v>1361.8968895000005</v>
      </c>
      <c r="F991" s="6">
        <f t="shared" si="111"/>
        <v>-4.1759999999999575E-3</v>
      </c>
      <c r="G991" s="6">
        <f t="shared" si="107"/>
        <v>-684.2524227564154</v>
      </c>
      <c r="H991" s="7">
        <f t="shared" si="108"/>
        <v>-1.1322108175140792E-13</v>
      </c>
      <c r="I991" s="8" t="str">
        <f t="shared" si="109"/>
        <v/>
      </c>
    </row>
    <row r="992" spans="1:9" x14ac:dyDescent="0.2">
      <c r="A992" s="5">
        <v>991</v>
      </c>
      <c r="B992" s="6">
        <v>2.8794740000000001</v>
      </c>
      <c r="C992" s="6">
        <f t="shared" si="105"/>
        <v>2.7884739999999999</v>
      </c>
      <c r="D992" s="6">
        <f t="shared" si="106"/>
        <v>2763.3777339999997</v>
      </c>
      <c r="E992" s="6">
        <f t="shared" si="110"/>
        <v>1364.6891740000005</v>
      </c>
      <c r="F992" s="6">
        <f t="shared" si="111"/>
        <v>-1.0650000000000936E-4</v>
      </c>
      <c r="G992" s="6">
        <f t="shared" si="107"/>
        <v>-686.10321216129989</v>
      </c>
      <c r="H992" s="7">
        <f t="shared" si="108"/>
        <v>-4.4515503608797399E-12</v>
      </c>
      <c r="I992" s="8" t="str">
        <f t="shared" si="109"/>
        <v/>
      </c>
    </row>
    <row r="993" spans="1:9" x14ac:dyDescent="0.2">
      <c r="A993" s="5">
        <v>992</v>
      </c>
      <c r="B993" s="6">
        <v>2.8868819999999999</v>
      </c>
      <c r="C993" s="6">
        <f t="shared" si="105"/>
        <v>2.7958819999999998</v>
      </c>
      <c r="D993" s="6">
        <f t="shared" si="106"/>
        <v>2773.5149439999996</v>
      </c>
      <c r="E993" s="6">
        <f t="shared" si="110"/>
        <v>1367.4813520000005</v>
      </c>
      <c r="F993" s="6">
        <f t="shared" si="111"/>
        <v>7.3630000000000084E-3</v>
      </c>
      <c r="G993" s="6">
        <f t="shared" si="107"/>
        <v>-684.29674263244749</v>
      </c>
      <c r="H993" s="7">
        <f t="shared" si="108"/>
        <v>6.4218642124503438E-14</v>
      </c>
      <c r="I993" s="8" t="str">
        <f t="shared" si="109"/>
        <v/>
      </c>
    </row>
    <row r="994" spans="1:9" x14ac:dyDescent="0.2">
      <c r="A994" s="5">
        <v>993</v>
      </c>
      <c r="B994" s="6">
        <v>2.8942000000000001</v>
      </c>
      <c r="C994" s="6">
        <f t="shared" si="105"/>
        <v>2.8031999999999999</v>
      </c>
      <c r="D994" s="6">
        <f t="shared" si="106"/>
        <v>2783.5776000000001</v>
      </c>
      <c r="E994" s="6">
        <f t="shared" si="110"/>
        <v>1370.2808930000006</v>
      </c>
      <c r="F994" s="6">
        <f t="shared" si="111"/>
        <v>3.1360000000000277E-3</v>
      </c>
      <c r="G994" s="6">
        <f t="shared" si="107"/>
        <v>-682.50490195262284</v>
      </c>
      <c r="H994" s="7">
        <f t="shared" si="108"/>
        <v>1.5038383892625363E-13</v>
      </c>
      <c r="I994" s="8" t="str">
        <f t="shared" si="109"/>
        <v/>
      </c>
    </row>
    <row r="995" spans="1:9" x14ac:dyDescent="0.2">
      <c r="A995" s="5">
        <v>994</v>
      </c>
      <c r="B995" s="6">
        <v>2.893154</v>
      </c>
      <c r="C995" s="6">
        <f t="shared" si="105"/>
        <v>2.8021539999999998</v>
      </c>
      <c r="D995" s="6">
        <f t="shared" si="106"/>
        <v>2785.3410759999997</v>
      </c>
      <c r="E995" s="6">
        <f t="shared" si="110"/>
        <v>1373.0835700000005</v>
      </c>
      <c r="F995" s="6">
        <f t="shared" si="111"/>
        <v>-5.1455000000000251E-3</v>
      </c>
      <c r="G995" s="6">
        <f t="shared" si="107"/>
        <v>-682.76206510909947</v>
      </c>
      <c r="H995" s="7">
        <f t="shared" si="108"/>
        <v>-9.1688157790858713E-14</v>
      </c>
      <c r="I995" s="8" t="str">
        <f t="shared" si="109"/>
        <v/>
      </c>
    </row>
    <row r="996" spans="1:9" x14ac:dyDescent="0.2">
      <c r="A996" s="5">
        <v>995</v>
      </c>
      <c r="B996" s="6">
        <v>2.8839090000000001</v>
      </c>
      <c r="C996" s="6">
        <f t="shared" si="105"/>
        <v>2.7929089999999999</v>
      </c>
      <c r="D996" s="6">
        <f t="shared" si="106"/>
        <v>2778.9444549999998</v>
      </c>
      <c r="E996" s="6">
        <f t="shared" si="110"/>
        <v>1375.8811015000006</v>
      </c>
      <c r="F996" s="6">
        <f t="shared" si="111"/>
        <v>-3.410499999999983E-3</v>
      </c>
      <c r="G996" s="6">
        <f t="shared" si="107"/>
        <v>-685.04422921199375</v>
      </c>
      <c r="H996" s="7">
        <f t="shared" si="108"/>
        <v>-1.3879441939255433E-13</v>
      </c>
      <c r="I996" s="8" t="str">
        <f t="shared" si="109"/>
        <v/>
      </c>
    </row>
    <row r="997" spans="1:9" x14ac:dyDescent="0.2">
      <c r="A997" s="5">
        <v>996</v>
      </c>
      <c r="B997" s="6">
        <v>2.886333</v>
      </c>
      <c r="C997" s="6">
        <f t="shared" si="105"/>
        <v>2.7953329999999998</v>
      </c>
      <c r="D997" s="6">
        <f t="shared" si="106"/>
        <v>2784.151668</v>
      </c>
      <c r="E997" s="6">
        <f t="shared" si="110"/>
        <v>1378.6752225000005</v>
      </c>
      <c r="F997" s="6">
        <f t="shared" si="111"/>
        <v>8.4024999999998684E-3</v>
      </c>
      <c r="G997" s="6">
        <f t="shared" si="107"/>
        <v>-684.44343141151603</v>
      </c>
      <c r="H997" s="7">
        <f t="shared" si="108"/>
        <v>5.6286012778147579E-14</v>
      </c>
      <c r="I997" s="8" t="str">
        <f t="shared" si="109"/>
        <v/>
      </c>
    </row>
    <row r="998" spans="1:9" x14ac:dyDescent="0.2">
      <c r="A998" s="5">
        <v>997</v>
      </c>
      <c r="B998" s="6">
        <v>2.9007139999999998</v>
      </c>
      <c r="C998" s="6">
        <f t="shared" si="105"/>
        <v>2.8097139999999996</v>
      </c>
      <c r="D998" s="6">
        <f t="shared" si="106"/>
        <v>2801.2848579999995</v>
      </c>
      <c r="E998" s="6">
        <f t="shared" si="110"/>
        <v>1381.4777460000005</v>
      </c>
      <c r="F998" s="6">
        <f t="shared" si="111"/>
        <v>1.6033500000000034E-2</v>
      </c>
      <c r="G998" s="6">
        <f t="shared" si="107"/>
        <v>-680.86466379077831</v>
      </c>
      <c r="H998" s="7">
        <f t="shared" si="108"/>
        <v>2.9342958900451397E-14</v>
      </c>
      <c r="I998" s="8" t="str">
        <f t="shared" si="109"/>
        <v/>
      </c>
    </row>
    <row r="999" spans="1:9" x14ac:dyDescent="0.2">
      <c r="A999" s="5">
        <v>998</v>
      </c>
      <c r="B999" s="6">
        <v>2.9184000000000001</v>
      </c>
      <c r="C999" s="6">
        <f t="shared" si="105"/>
        <v>2.8273999999999999</v>
      </c>
      <c r="D999" s="6">
        <f t="shared" si="106"/>
        <v>2821.7451999999998</v>
      </c>
      <c r="E999" s="6">
        <f t="shared" si="110"/>
        <v>1384.2963030000005</v>
      </c>
      <c r="F999" s="6">
        <f t="shared" si="111"/>
        <v>2.9765000000001596E-3</v>
      </c>
      <c r="G999" s="6">
        <f t="shared" si="107"/>
        <v>-676.44574810297001</v>
      </c>
      <c r="H999" s="7">
        <f t="shared" si="108"/>
        <v>1.5703574910201169E-13</v>
      </c>
      <c r="I999" s="8" t="str">
        <f t="shared" si="109"/>
        <v/>
      </c>
    </row>
    <row r="1000" spans="1:9" x14ac:dyDescent="0.2">
      <c r="A1000" s="5">
        <v>999</v>
      </c>
      <c r="B1000" s="6">
        <v>2.9066670000000001</v>
      </c>
      <c r="C1000" s="6">
        <f t="shared" si="105"/>
        <v>2.8156669999999999</v>
      </c>
      <c r="D1000" s="6">
        <f t="shared" si="106"/>
        <v>2812.8513330000001</v>
      </c>
      <c r="E1000" s="6">
        <f t="shared" si="110"/>
        <v>1387.1178365000005</v>
      </c>
      <c r="F1000" s="6">
        <f t="shared" si="111"/>
        <v>-2.0700000000000163E-2</v>
      </c>
      <c r="G1000" s="6">
        <f t="shared" si="107"/>
        <v>-679.38901665453932</v>
      </c>
      <c r="H1000" s="7">
        <f t="shared" si="108"/>
        <v>-2.2678776563189621E-14</v>
      </c>
      <c r="I1000" s="8" t="str">
        <f t="shared" si="109"/>
        <v/>
      </c>
    </row>
    <row r="1001" spans="1:9" x14ac:dyDescent="0.2">
      <c r="A1001" s="5">
        <v>1000</v>
      </c>
      <c r="B1001" s="6">
        <v>2.8769999999999998</v>
      </c>
      <c r="C1001" s="6">
        <f t="shared" si="105"/>
        <v>2.7859999999999996</v>
      </c>
      <c r="D1001" s="6">
        <f t="shared" si="106"/>
        <v>2785.9999999999995</v>
      </c>
      <c r="E1001" s="6">
        <f t="shared" si="110"/>
        <v>1389.9186700000005</v>
      </c>
      <c r="F1001" s="6">
        <f>(B1001-B1000)/(A1001-A1000)</f>
        <v>-2.9667000000000332E-2</v>
      </c>
      <c r="G1001" s="6">
        <f t="shared" si="107"/>
        <v>-686.8607656556818</v>
      </c>
      <c r="H1001" s="7">
        <f t="shared" si="108"/>
        <v>-1.599803063814109E-14</v>
      </c>
      <c r="I1001" s="8" t="str">
        <f t="shared" si="109"/>
        <v/>
      </c>
    </row>
  </sheetData>
  <mergeCells count="1">
    <mergeCell ref="K1:M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M1001"/>
  <sheetViews>
    <sheetView workbookViewId="0">
      <pane ySplit="1" topLeftCell="A2" activePane="bottomLeft" state="frozen"/>
      <selection pane="bottomLeft"/>
    </sheetView>
  </sheetViews>
  <sheetFormatPr baseColWidth="10" defaultColWidth="8.83203125" defaultRowHeight="15" x14ac:dyDescent="0.2"/>
  <cols>
    <col min="1" max="1" width="10" customWidth="1"/>
    <col min="2" max="3" width="12" customWidth="1"/>
    <col min="4" max="4" width="14" customWidth="1"/>
    <col min="5" max="5" width="16" customWidth="1"/>
    <col min="6" max="6" width="14" customWidth="1"/>
    <col min="7" max="7" width="16" customWidth="1"/>
    <col min="8" max="9" width="14" customWidth="1"/>
    <col min="11" max="14" width="20" customWidth="1"/>
  </cols>
  <sheetData>
    <row r="1" spans="1:13" x14ac:dyDescent="0.2">
      <c r="A1" s="4" t="s">
        <v>36</v>
      </c>
      <c r="B1" s="4" t="s">
        <v>37</v>
      </c>
      <c r="C1" s="4" t="s">
        <v>38</v>
      </c>
      <c r="D1" s="4" t="s">
        <v>39</v>
      </c>
      <c r="E1" s="4" t="s">
        <v>40</v>
      </c>
      <c r="F1" s="4" t="s">
        <v>41</v>
      </c>
      <c r="G1" s="4" t="s">
        <v>42</v>
      </c>
      <c r="H1" s="4" t="s">
        <v>43</v>
      </c>
      <c r="I1" s="4" t="s">
        <v>44</v>
      </c>
      <c r="K1" s="27" t="s">
        <v>53</v>
      </c>
      <c r="L1" s="28"/>
      <c r="M1" s="28"/>
    </row>
    <row r="2" spans="1:13" x14ac:dyDescent="0.2">
      <c r="A2" s="5">
        <v>2000</v>
      </c>
      <c r="B2" s="6">
        <v>4.2999999999999997E-2</v>
      </c>
      <c r="C2" s="6">
        <f t="shared" ref="C2:C65" si="0">B2-$B$2</f>
        <v>0</v>
      </c>
      <c r="D2" s="6">
        <f t="shared" ref="D2:D65" si="1">A2*C2</f>
        <v>0</v>
      </c>
      <c r="E2" s="6">
        <v>0</v>
      </c>
      <c r="F2" s="6">
        <f>(B3-B2)/(A3-A2)</f>
        <v>-1.4999999999999999E-2</v>
      </c>
      <c r="G2" s="6">
        <f t="shared" ref="G2:G65" si="2">(A2-$L$5)*C2-E2</f>
        <v>0</v>
      </c>
      <c r="H2" s="7">
        <f t="shared" ref="H2:H65" si="3">IF(ABS(F2)&lt;0.000000001,"",-(G2)/(2*$L$4*F2)*0.000000000001)</f>
        <v>0</v>
      </c>
      <c r="I2" s="8" t="str">
        <f t="shared" ref="I2:I65" si="4">IF(AND(B2&gt;=0.5,B2&lt;=2.5,ISNUMBER(H2),H2&gt;0),H2,"")</f>
        <v/>
      </c>
      <c r="K2" s="9" t="s">
        <v>46</v>
      </c>
      <c r="L2" s="10">
        <v>1200</v>
      </c>
    </row>
    <row r="3" spans="1:13" x14ac:dyDescent="0.2">
      <c r="A3" s="5">
        <v>1998</v>
      </c>
      <c r="B3" s="6">
        <v>7.2999999999999995E-2</v>
      </c>
      <c r="C3" s="6">
        <f t="shared" si="0"/>
        <v>0.03</v>
      </c>
      <c r="D3" s="6">
        <f t="shared" si="1"/>
        <v>59.94</v>
      </c>
      <c r="E3" s="6">
        <f t="shared" ref="E3:E66" si="5">E2+(C2+C3)/2*(A3-A2)</f>
        <v>-0.03</v>
      </c>
      <c r="F3" s="6">
        <f t="shared" ref="F3:F66" si="6">(B4-B2)/(A4-A2)</f>
        <v>-1.4700000000000001E-2</v>
      </c>
      <c r="G3" s="6">
        <f t="shared" si="2"/>
        <v>43.872782347432825</v>
      </c>
      <c r="H3" s="7">
        <f t="shared" si="3"/>
        <v>2.7451646586020645E-15</v>
      </c>
      <c r="I3" s="8" t="str">
        <f t="shared" si="4"/>
        <v/>
      </c>
      <c r="K3" s="9" t="s">
        <v>47</v>
      </c>
      <c r="L3" s="11">
        <v>151</v>
      </c>
    </row>
    <row r="4" spans="1:13" x14ac:dyDescent="0.2">
      <c r="A4" s="5">
        <v>1996</v>
      </c>
      <c r="B4" s="6">
        <v>0.1018</v>
      </c>
      <c r="C4" s="6">
        <f t="shared" si="0"/>
        <v>5.8800000000000005E-2</v>
      </c>
      <c r="D4" s="6">
        <f t="shared" si="1"/>
        <v>117.36480000000002</v>
      </c>
      <c r="E4" s="6">
        <f t="shared" si="5"/>
        <v>-0.1188</v>
      </c>
      <c r="F4" s="6">
        <f t="shared" si="6"/>
        <v>-9.8572500000000014E-3</v>
      </c>
      <c r="G4" s="6">
        <f t="shared" si="2"/>
        <v>85.933053400968333</v>
      </c>
      <c r="H4" s="7">
        <f t="shared" si="3"/>
        <v>8.0185349880739918E-15</v>
      </c>
      <c r="I4" s="8" t="str">
        <f t="shared" si="4"/>
        <v/>
      </c>
      <c r="K4" s="9" t="s">
        <v>48</v>
      </c>
      <c r="L4" s="10">
        <v>543600</v>
      </c>
    </row>
    <row r="5" spans="1:13" x14ac:dyDescent="0.2">
      <c r="A5" s="5">
        <v>1994</v>
      </c>
      <c r="B5" s="6">
        <v>0.112429</v>
      </c>
      <c r="C5" s="6">
        <f t="shared" si="0"/>
        <v>6.9429000000000005E-2</v>
      </c>
      <c r="D5" s="6">
        <f t="shared" si="1"/>
        <v>138.44142600000001</v>
      </c>
      <c r="E5" s="6">
        <f t="shared" si="5"/>
        <v>-0.247029</v>
      </c>
      <c r="F5" s="6">
        <f t="shared" si="6"/>
        <v>-7.7224999999999863E-4</v>
      </c>
      <c r="G5" s="6">
        <f t="shared" si="2"/>
        <v>101.4346641866638</v>
      </c>
      <c r="H5" s="7">
        <f t="shared" si="3"/>
        <v>1.2081449281645258E-13</v>
      </c>
      <c r="I5" s="8" t="str">
        <f t="shared" si="4"/>
        <v/>
      </c>
      <c r="K5" s="9" t="s">
        <v>49</v>
      </c>
      <c r="L5" s="12">
        <f>M5/M6</f>
        <v>536.57392175223913</v>
      </c>
      <c r="M5" s="13">
        <f>SUMPRODUCT((A2:A1000+A3:A1001)/2*(C2:C1000+C3:C1001)/2*(A3:A1001-A2:A1000))</f>
        <v>-1635192.9271760003</v>
      </c>
    </row>
    <row r="6" spans="1:13" x14ac:dyDescent="0.2">
      <c r="A6" s="5">
        <v>1992</v>
      </c>
      <c r="B6" s="6">
        <v>0.104889</v>
      </c>
      <c r="C6" s="6">
        <f t="shared" si="0"/>
        <v>6.1889E-2</v>
      </c>
      <c r="D6" s="6">
        <f t="shared" si="1"/>
        <v>123.282888</v>
      </c>
      <c r="E6" s="6">
        <f t="shared" si="5"/>
        <v>-0.37834699999999999</v>
      </c>
      <c r="F6" s="6">
        <f t="shared" si="6"/>
        <v>1.9482499999999986E-3</v>
      </c>
      <c r="G6" s="6">
        <f t="shared" si="2"/>
        <v>90.453211556675683</v>
      </c>
      <c r="H6" s="7">
        <f t="shared" si="3"/>
        <v>-4.270412842749283E-14</v>
      </c>
      <c r="I6" s="8" t="str">
        <f t="shared" si="4"/>
        <v/>
      </c>
      <c r="K6" s="9" t="s">
        <v>50</v>
      </c>
      <c r="L6" s="14">
        <v>4.2999999999999997E-2</v>
      </c>
      <c r="M6" s="13">
        <f>SUMPRODUCT((C2:C1000+C3:C1001)/2*(A3:A1001-A2:A1000))</f>
        <v>-3047.4699959999998</v>
      </c>
    </row>
    <row r="7" spans="1:13" x14ac:dyDescent="0.2">
      <c r="A7" s="5">
        <v>1990</v>
      </c>
      <c r="B7" s="6">
        <v>0.10463600000000001</v>
      </c>
      <c r="C7" s="6">
        <f t="shared" si="0"/>
        <v>6.163600000000001E-2</v>
      </c>
      <c r="D7" s="6">
        <f t="shared" si="1"/>
        <v>122.65564000000002</v>
      </c>
      <c r="E7" s="6">
        <f t="shared" si="5"/>
        <v>-0.50187199999999998</v>
      </c>
      <c r="F7" s="6">
        <f t="shared" si="6"/>
        <v>-1.3162500000000014E-3</v>
      </c>
      <c r="G7" s="6">
        <f t="shared" si="2"/>
        <v>90.085241758879008</v>
      </c>
      <c r="H7" s="7">
        <f t="shared" si="3"/>
        <v>6.2951461963246606E-14</v>
      </c>
      <c r="I7" s="8" t="str">
        <f t="shared" si="4"/>
        <v/>
      </c>
    </row>
    <row r="8" spans="1:13" x14ac:dyDescent="0.2">
      <c r="A8" s="5">
        <v>1988</v>
      </c>
      <c r="B8" s="6">
        <v>0.110154</v>
      </c>
      <c r="C8" s="6">
        <f t="shared" si="0"/>
        <v>6.7154000000000005E-2</v>
      </c>
      <c r="D8" s="6">
        <f t="shared" si="1"/>
        <v>133.50215200000002</v>
      </c>
      <c r="E8" s="6">
        <f t="shared" si="5"/>
        <v>-0.63066200000000006</v>
      </c>
      <c r="F8" s="6">
        <f t="shared" si="6"/>
        <v>-2.4409999999999987E-3</v>
      </c>
      <c r="G8" s="6">
        <f t="shared" si="2"/>
        <v>98.099728858650138</v>
      </c>
      <c r="H8" s="7">
        <f t="shared" si="3"/>
        <v>3.696498921970204E-14</v>
      </c>
      <c r="I8" s="8" t="str">
        <f t="shared" si="4"/>
        <v/>
      </c>
      <c r="K8" s="9" t="s">
        <v>51</v>
      </c>
      <c r="L8" s="15">
        <f>AVERAGEIFS(I2:I1001,B2:B1001,"&gt;="&amp;0.5,B2:B1001,"&lt;="&amp;2.5,I2:I1001,"&gt;"&amp;0)</f>
        <v>1.6226967716039034E-13</v>
      </c>
    </row>
    <row r="9" spans="1:13" x14ac:dyDescent="0.2">
      <c r="A9" s="5">
        <v>1986</v>
      </c>
      <c r="B9" s="6">
        <v>0.1144</v>
      </c>
      <c r="C9" s="6">
        <f t="shared" si="0"/>
        <v>7.1400000000000005E-2</v>
      </c>
      <c r="D9" s="6">
        <f t="shared" si="1"/>
        <v>141.8004</v>
      </c>
      <c r="E9" s="6">
        <f t="shared" si="5"/>
        <v>-0.76921600000000012</v>
      </c>
      <c r="F9" s="6">
        <f t="shared" si="6"/>
        <v>2.8850000000000056E-4</v>
      </c>
      <c r="G9" s="6">
        <f t="shared" si="2"/>
        <v>104.25823798689014</v>
      </c>
      <c r="H9" s="7">
        <f t="shared" si="3"/>
        <v>-3.3239548777101221E-13</v>
      </c>
      <c r="I9" s="8" t="str">
        <f t="shared" si="4"/>
        <v/>
      </c>
      <c r="K9" s="16" t="s">
        <v>52</v>
      </c>
    </row>
    <row r="10" spans="1:13" x14ac:dyDescent="0.2">
      <c r="A10" s="5">
        <v>1984</v>
      </c>
      <c r="B10" s="6">
        <v>0.109</v>
      </c>
      <c r="C10" s="6">
        <f t="shared" si="0"/>
        <v>6.6000000000000003E-2</v>
      </c>
      <c r="D10" s="6">
        <f t="shared" si="1"/>
        <v>130.94400000000002</v>
      </c>
      <c r="E10" s="6">
        <f t="shared" si="5"/>
        <v>-0.90661600000000009</v>
      </c>
      <c r="F10" s="6">
        <f t="shared" si="6"/>
        <v>1.7315000000000004E-3</v>
      </c>
      <c r="G10" s="6">
        <f t="shared" si="2"/>
        <v>96.436737164352223</v>
      </c>
      <c r="H10" s="7">
        <f t="shared" si="3"/>
        <v>-5.1228373640841572E-14</v>
      </c>
      <c r="I10" s="8" t="str">
        <f t="shared" si="4"/>
        <v/>
      </c>
    </row>
    <row r="11" spans="1:13" x14ac:dyDescent="0.2">
      <c r="A11" s="5">
        <v>1982</v>
      </c>
      <c r="B11" s="6">
        <v>0.107474</v>
      </c>
      <c r="C11" s="6">
        <f t="shared" si="0"/>
        <v>6.4474000000000004E-2</v>
      </c>
      <c r="D11" s="6">
        <f t="shared" si="1"/>
        <v>127.787468</v>
      </c>
      <c r="E11" s="6">
        <f t="shared" si="5"/>
        <v>-1.0370900000000001</v>
      </c>
      <c r="F11" s="6">
        <f t="shared" si="6"/>
        <v>3.5750000000001059E-5</v>
      </c>
      <c r="G11" s="6">
        <f t="shared" si="2"/>
        <v>94.229490968946152</v>
      </c>
      <c r="H11" s="7">
        <f t="shared" si="3"/>
        <v>-2.4243836986508833E-12</v>
      </c>
      <c r="I11" s="8" t="str">
        <f t="shared" si="4"/>
        <v/>
      </c>
    </row>
    <row r="12" spans="1:13" x14ac:dyDescent="0.2">
      <c r="A12" s="5">
        <v>1980</v>
      </c>
      <c r="B12" s="6">
        <v>0.108857</v>
      </c>
      <c r="C12" s="6">
        <f t="shared" si="0"/>
        <v>6.5856999999999999E-2</v>
      </c>
      <c r="D12" s="6">
        <f t="shared" si="1"/>
        <v>130.39686</v>
      </c>
      <c r="E12" s="6">
        <f t="shared" si="5"/>
        <v>-1.167421</v>
      </c>
      <c r="F12" s="6">
        <f t="shared" si="6"/>
        <v>-7.1850000000000039E-4</v>
      </c>
      <c r="G12" s="6">
        <f t="shared" si="2"/>
        <v>96.227132235162784</v>
      </c>
      <c r="H12" s="7">
        <f t="shared" si="3"/>
        <v>1.2318599249822278E-13</v>
      </c>
      <c r="I12" s="8" t="str">
        <f t="shared" si="4"/>
        <v/>
      </c>
    </row>
    <row r="13" spans="1:13" x14ac:dyDescent="0.2">
      <c r="A13" s="5">
        <v>1978</v>
      </c>
      <c r="B13" s="6">
        <v>0.110348</v>
      </c>
      <c r="C13" s="6">
        <f t="shared" si="0"/>
        <v>6.7348000000000005E-2</v>
      </c>
      <c r="D13" s="6">
        <f t="shared" si="1"/>
        <v>133.21434400000001</v>
      </c>
      <c r="E13" s="6">
        <f t="shared" si="5"/>
        <v>-1.3006260000000001</v>
      </c>
      <c r="F13" s="6">
        <f t="shared" si="6"/>
        <v>-4.457500000000017E-4</v>
      </c>
      <c r="G13" s="6">
        <f t="shared" si="2"/>
        <v>98.377789517830195</v>
      </c>
      <c r="H13" s="7">
        <f t="shared" si="3"/>
        <v>2.0300010589305713E-13</v>
      </c>
      <c r="I13" s="8" t="str">
        <f t="shared" si="4"/>
        <v/>
      </c>
    </row>
    <row r="14" spans="1:13" x14ac:dyDescent="0.2">
      <c r="A14" s="5">
        <v>1976</v>
      </c>
      <c r="B14" s="6">
        <v>0.11064</v>
      </c>
      <c r="C14" s="6">
        <f t="shared" si="0"/>
        <v>6.7640000000000006E-2</v>
      </c>
      <c r="D14" s="6">
        <f t="shared" si="1"/>
        <v>133.65664000000001</v>
      </c>
      <c r="E14" s="6">
        <f t="shared" si="5"/>
        <v>-1.4356140000000002</v>
      </c>
      <c r="F14" s="6">
        <f t="shared" si="6"/>
        <v>3.1500000000000278E-5</v>
      </c>
      <c r="G14" s="6">
        <f t="shared" si="2"/>
        <v>98.79839393267855</v>
      </c>
      <c r="H14" s="7">
        <f t="shared" si="3"/>
        <v>-2.8848941779283816E-12</v>
      </c>
      <c r="I14" s="8" t="str">
        <f t="shared" si="4"/>
        <v/>
      </c>
    </row>
    <row r="15" spans="1:13" x14ac:dyDescent="0.2">
      <c r="A15" s="5">
        <v>1974</v>
      </c>
      <c r="B15" s="6">
        <v>0.110222</v>
      </c>
      <c r="C15" s="6">
        <f t="shared" si="0"/>
        <v>6.7222000000000004E-2</v>
      </c>
      <c r="D15" s="6">
        <f t="shared" si="1"/>
        <v>132.69622800000002</v>
      </c>
      <c r="E15" s="6">
        <f t="shared" si="5"/>
        <v>-1.5704760000000002</v>
      </c>
      <c r="F15" s="6">
        <f t="shared" si="6"/>
        <v>-8.1499999999998241E-5</v>
      </c>
      <c r="G15" s="6">
        <f t="shared" si="2"/>
        <v>98.197131831970992</v>
      </c>
      <c r="H15" s="7">
        <f t="shared" si="3"/>
        <v>1.1082347159808628E-12</v>
      </c>
      <c r="I15" s="8" t="str">
        <f t="shared" si="4"/>
        <v/>
      </c>
    </row>
    <row r="16" spans="1:13" x14ac:dyDescent="0.2">
      <c r="A16" s="5">
        <v>1972</v>
      </c>
      <c r="B16" s="6">
        <v>0.110966</v>
      </c>
      <c r="C16" s="6">
        <f t="shared" si="0"/>
        <v>6.7965999999999999E-2</v>
      </c>
      <c r="D16" s="6">
        <f t="shared" si="1"/>
        <v>134.028952</v>
      </c>
      <c r="E16" s="6">
        <f t="shared" si="5"/>
        <v>-1.7056640000000003</v>
      </c>
      <c r="F16" s="6">
        <f t="shared" si="6"/>
        <v>-3.8799999999999946E-4</v>
      </c>
      <c r="G16" s="6">
        <f t="shared" si="2"/>
        <v>99.265832834187307</v>
      </c>
      <c r="H16" s="7">
        <f t="shared" si="3"/>
        <v>2.3531988166468349E-13</v>
      </c>
      <c r="I16" s="8" t="str">
        <f t="shared" si="4"/>
        <v/>
      </c>
    </row>
    <row r="17" spans="1:9" x14ac:dyDescent="0.2">
      <c r="A17" s="5">
        <v>1970</v>
      </c>
      <c r="B17" s="6">
        <v>0.111774</v>
      </c>
      <c r="C17" s="6">
        <f t="shared" si="0"/>
        <v>6.8774000000000002E-2</v>
      </c>
      <c r="D17" s="6">
        <f t="shared" si="1"/>
        <v>135.48478</v>
      </c>
      <c r="E17" s="6">
        <f t="shared" si="5"/>
        <v>-1.8424040000000004</v>
      </c>
      <c r="F17" s="6">
        <f t="shared" si="6"/>
        <v>-4.175000000000012E-4</v>
      </c>
      <c r="G17" s="6">
        <f t="shared" si="2"/>
        <v>100.42484910541151</v>
      </c>
      <c r="H17" s="7">
        <f t="shared" si="3"/>
        <v>2.2124591678764154E-13</v>
      </c>
      <c r="I17" s="8" t="str">
        <f t="shared" si="4"/>
        <v/>
      </c>
    </row>
    <row r="18" spans="1:9" x14ac:dyDescent="0.2">
      <c r="A18" s="5">
        <v>1968</v>
      </c>
      <c r="B18" s="6">
        <v>0.112636</v>
      </c>
      <c r="C18" s="6">
        <f t="shared" si="0"/>
        <v>6.9636000000000003E-2</v>
      </c>
      <c r="D18" s="6">
        <f t="shared" si="1"/>
        <v>137.04364800000002</v>
      </c>
      <c r="E18" s="6">
        <f t="shared" si="5"/>
        <v>-1.9808140000000003</v>
      </c>
      <c r="F18" s="6">
        <f t="shared" si="6"/>
        <v>-2.7075000000000016E-4</v>
      </c>
      <c r="G18" s="6">
        <f t="shared" si="2"/>
        <v>101.65960038486108</v>
      </c>
      <c r="H18" s="7">
        <f t="shared" si="3"/>
        <v>3.4535877021376254E-13</v>
      </c>
      <c r="I18" s="8" t="str">
        <f t="shared" si="4"/>
        <v/>
      </c>
    </row>
    <row r="19" spans="1:9" x14ac:dyDescent="0.2">
      <c r="A19" s="5">
        <v>1966</v>
      </c>
      <c r="B19" s="6">
        <v>0.112857</v>
      </c>
      <c r="C19" s="6">
        <f t="shared" si="0"/>
        <v>6.9857000000000002E-2</v>
      </c>
      <c r="D19" s="6">
        <f t="shared" si="1"/>
        <v>137.33886200000001</v>
      </c>
      <c r="E19" s="6">
        <f t="shared" si="5"/>
        <v>-2.1203070000000004</v>
      </c>
      <c r="F19" s="6">
        <f t="shared" si="6"/>
        <v>-4.7625000000000098E-4</v>
      </c>
      <c r="G19" s="6">
        <f t="shared" si="2"/>
        <v>101.97572454815383</v>
      </c>
      <c r="H19" s="7">
        <f t="shared" si="3"/>
        <v>1.9694835933507081E-13</v>
      </c>
      <c r="I19" s="8" t="str">
        <f t="shared" si="4"/>
        <v/>
      </c>
    </row>
    <row r="20" spans="1:9" x14ac:dyDescent="0.2">
      <c r="A20" s="5">
        <v>1964</v>
      </c>
      <c r="B20" s="6">
        <v>0.114541</v>
      </c>
      <c r="C20" s="6">
        <f t="shared" si="0"/>
        <v>7.1541000000000007E-2</v>
      </c>
      <c r="D20" s="6">
        <f t="shared" si="1"/>
        <v>140.50652400000001</v>
      </c>
      <c r="E20" s="6">
        <f t="shared" si="5"/>
        <v>-2.2617050000000005</v>
      </c>
      <c r="F20" s="6">
        <f t="shared" si="6"/>
        <v>-5.7425000000000184E-4</v>
      </c>
      <c r="G20" s="6">
        <f t="shared" si="2"/>
        <v>104.38119406392308</v>
      </c>
      <c r="H20" s="7">
        <f t="shared" si="3"/>
        <v>1.6719058333425071E-13</v>
      </c>
      <c r="I20" s="8" t="str">
        <f t="shared" si="4"/>
        <v/>
      </c>
    </row>
    <row r="21" spans="1:9" x14ac:dyDescent="0.2">
      <c r="A21" s="5">
        <v>1962</v>
      </c>
      <c r="B21" s="6">
        <v>0.11515400000000001</v>
      </c>
      <c r="C21" s="6">
        <f t="shared" si="0"/>
        <v>7.215400000000001E-2</v>
      </c>
      <c r="D21" s="6">
        <f t="shared" si="1"/>
        <v>141.56614800000003</v>
      </c>
      <c r="E21" s="6">
        <f t="shared" si="5"/>
        <v>-2.4054000000000006</v>
      </c>
      <c r="F21" s="6">
        <f t="shared" si="6"/>
        <v>9.8750000000001614E-5</v>
      </c>
      <c r="G21" s="6">
        <f t="shared" si="2"/>
        <v>105.25559324988895</v>
      </c>
      <c r="H21" s="7">
        <f t="shared" si="3"/>
        <v>-9.8038946405014143E-13</v>
      </c>
      <c r="I21" s="8" t="str">
        <f t="shared" si="4"/>
        <v/>
      </c>
    </row>
    <row r="22" spans="1:9" x14ac:dyDescent="0.2">
      <c r="A22" s="5">
        <v>1960</v>
      </c>
      <c r="B22" s="6">
        <v>0.114146</v>
      </c>
      <c r="C22" s="6">
        <f t="shared" si="0"/>
        <v>7.1146000000000001E-2</v>
      </c>
      <c r="D22" s="6">
        <f t="shared" si="1"/>
        <v>139.44615999999999</v>
      </c>
      <c r="E22" s="6">
        <f t="shared" si="5"/>
        <v>-2.5487000000000006</v>
      </c>
      <c r="F22" s="6">
        <f t="shared" si="6"/>
        <v>2.0125000000000004E-4</v>
      </c>
      <c r="G22" s="6">
        <f t="shared" si="2"/>
        <v>103.8197717630152</v>
      </c>
      <c r="H22" s="7">
        <f t="shared" si="3"/>
        <v>-4.7449838327878639E-13</v>
      </c>
      <c r="I22" s="8" t="str">
        <f t="shared" si="4"/>
        <v/>
      </c>
    </row>
    <row r="23" spans="1:9" x14ac:dyDescent="0.2">
      <c r="A23" s="5">
        <v>1958</v>
      </c>
      <c r="B23" s="6">
        <v>0.11434900000000001</v>
      </c>
      <c r="C23" s="6">
        <f t="shared" si="0"/>
        <v>7.134900000000001E-2</v>
      </c>
      <c r="D23" s="6">
        <f t="shared" si="1"/>
        <v>139.70134200000001</v>
      </c>
      <c r="E23" s="6">
        <f t="shared" si="5"/>
        <v>-2.6911950000000004</v>
      </c>
      <c r="F23" s="6">
        <f t="shared" si="6"/>
        <v>-7.4500000000001648E-5</v>
      </c>
      <c r="G23" s="6">
        <f t="shared" si="2"/>
        <v>104.1085242568995</v>
      </c>
      <c r="H23" s="7">
        <f t="shared" si="3"/>
        <v>1.2853475494824113E-12</v>
      </c>
      <c r="I23" s="8" t="str">
        <f t="shared" si="4"/>
        <v/>
      </c>
    </row>
    <row r="24" spans="1:9" x14ac:dyDescent="0.2">
      <c r="A24" s="5">
        <v>1956</v>
      </c>
      <c r="B24" s="6">
        <v>0.114444</v>
      </c>
      <c r="C24" s="6">
        <f t="shared" si="0"/>
        <v>7.1444000000000007E-2</v>
      </c>
      <c r="D24" s="6">
        <f t="shared" si="1"/>
        <v>139.74446400000002</v>
      </c>
      <c r="E24" s="6">
        <f t="shared" si="5"/>
        <v>-2.8339880000000006</v>
      </c>
      <c r="F24" s="6">
        <f t="shared" si="6"/>
        <v>-1.3749999999999873E-5</v>
      </c>
      <c r="G24" s="6">
        <f t="shared" si="2"/>
        <v>104.24346473433305</v>
      </c>
      <c r="H24" s="7">
        <f t="shared" si="3"/>
        <v>6.9732734453364104E-12</v>
      </c>
      <c r="I24" s="8" t="str">
        <f t="shared" si="4"/>
        <v/>
      </c>
    </row>
    <row r="25" spans="1:9" x14ac:dyDescent="0.2">
      <c r="A25" s="5">
        <v>1954</v>
      </c>
      <c r="B25" s="6">
        <v>0.11440400000000001</v>
      </c>
      <c r="C25" s="6">
        <f t="shared" si="0"/>
        <v>7.1404000000000009E-2</v>
      </c>
      <c r="D25" s="6">
        <f t="shared" si="1"/>
        <v>139.52341600000003</v>
      </c>
      <c r="E25" s="6">
        <f t="shared" si="5"/>
        <v>-2.9768360000000005</v>
      </c>
      <c r="F25" s="6">
        <f t="shared" si="6"/>
        <v>-3.6999999999998839E-5</v>
      </c>
      <c r="G25" s="6">
        <f t="shared" si="2"/>
        <v>104.18672769120313</v>
      </c>
      <c r="H25" s="7">
        <f t="shared" si="3"/>
        <v>2.5900087427959349E-12</v>
      </c>
      <c r="I25" s="8" t="str">
        <f t="shared" si="4"/>
        <v/>
      </c>
    </row>
    <row r="26" spans="1:9" x14ac:dyDescent="0.2">
      <c r="A26" s="5">
        <v>1952</v>
      </c>
      <c r="B26" s="6">
        <v>0.114592</v>
      </c>
      <c r="C26" s="6">
        <f t="shared" si="0"/>
        <v>7.1592000000000003E-2</v>
      </c>
      <c r="D26" s="6">
        <f t="shared" si="1"/>
        <v>139.74758400000002</v>
      </c>
      <c r="E26" s="6">
        <f t="shared" si="5"/>
        <v>-3.1198320000000006</v>
      </c>
      <c r="F26" s="6">
        <f t="shared" si="6"/>
        <v>2.4800000000000169E-4</v>
      </c>
      <c r="G26" s="6">
        <f t="shared" si="2"/>
        <v>104.45301579391371</v>
      </c>
      <c r="H26" s="7">
        <f t="shared" si="3"/>
        <v>-3.8740021642571398E-13</v>
      </c>
      <c r="I26" s="8" t="str">
        <f t="shared" si="4"/>
        <v/>
      </c>
    </row>
    <row r="27" spans="1:9" x14ac:dyDescent="0.2">
      <c r="A27" s="5">
        <v>1950</v>
      </c>
      <c r="B27" s="6">
        <v>0.113412</v>
      </c>
      <c r="C27" s="6">
        <f t="shared" si="0"/>
        <v>7.0412000000000002E-2</v>
      </c>
      <c r="D27" s="6">
        <f t="shared" si="1"/>
        <v>137.30340000000001</v>
      </c>
      <c r="E27" s="6">
        <f t="shared" si="5"/>
        <v>-3.2618360000000006</v>
      </c>
      <c r="F27" s="6">
        <f t="shared" si="6"/>
        <v>3.8849999999999996E-4</v>
      </c>
      <c r="G27" s="6">
        <f t="shared" si="2"/>
        <v>102.78399302158134</v>
      </c>
      <c r="H27" s="7">
        <f t="shared" si="3"/>
        <v>-2.4334645199026212E-13</v>
      </c>
      <c r="I27" s="8" t="str">
        <f t="shared" si="4"/>
        <v/>
      </c>
    </row>
    <row r="28" spans="1:9" x14ac:dyDescent="0.2">
      <c r="A28" s="5">
        <v>1948</v>
      </c>
      <c r="B28" s="6">
        <v>0.113038</v>
      </c>
      <c r="C28" s="6">
        <f t="shared" si="0"/>
        <v>7.0038000000000003E-2</v>
      </c>
      <c r="D28" s="6">
        <f t="shared" si="1"/>
        <v>136.43402399999999</v>
      </c>
      <c r="E28" s="6">
        <f t="shared" si="5"/>
        <v>-3.4022860000000006</v>
      </c>
      <c r="F28" s="6">
        <f t="shared" si="6"/>
        <v>-4.7000000000001901E-5</v>
      </c>
      <c r="G28" s="6">
        <f t="shared" si="2"/>
        <v>102.25574566831668</v>
      </c>
      <c r="H28" s="7">
        <f t="shared" si="3"/>
        <v>2.0011535717030777E-12</v>
      </c>
      <c r="I28" s="8" t="str">
        <f t="shared" si="4"/>
        <v/>
      </c>
    </row>
    <row r="29" spans="1:9" x14ac:dyDescent="0.2">
      <c r="A29" s="5">
        <v>1946</v>
      </c>
      <c r="B29" s="6">
        <v>0.11360000000000001</v>
      </c>
      <c r="C29" s="6">
        <f t="shared" si="0"/>
        <v>7.060000000000001E-2</v>
      </c>
      <c r="D29" s="6">
        <f t="shared" si="1"/>
        <v>137.38760000000002</v>
      </c>
      <c r="E29" s="6">
        <f t="shared" si="5"/>
        <v>-3.5429240000000006</v>
      </c>
      <c r="F29" s="6">
        <f t="shared" si="6"/>
        <v>-3.0625000000000097E-4</v>
      </c>
      <c r="G29" s="6">
        <f t="shared" si="2"/>
        <v>103.04840512429193</v>
      </c>
      <c r="H29" s="7">
        <f t="shared" si="3"/>
        <v>3.0949649389344383E-13</v>
      </c>
      <c r="I29" s="8" t="str">
        <f t="shared" si="4"/>
        <v/>
      </c>
    </row>
    <row r="30" spans="1:9" x14ac:dyDescent="0.2">
      <c r="A30" s="5">
        <v>1944</v>
      </c>
      <c r="B30" s="6">
        <v>0.114263</v>
      </c>
      <c r="C30" s="6">
        <f t="shared" si="0"/>
        <v>7.1263000000000007E-2</v>
      </c>
      <c r="D30" s="6">
        <f t="shared" si="1"/>
        <v>138.53527200000002</v>
      </c>
      <c r="E30" s="6">
        <f t="shared" si="5"/>
        <v>-3.6847870000000005</v>
      </c>
      <c r="F30" s="6">
        <f t="shared" si="6"/>
        <v>-3.0349999999999822E-4</v>
      </c>
      <c r="G30" s="6">
        <f t="shared" si="2"/>
        <v>103.98219161417019</v>
      </c>
      <c r="H30" s="7">
        <f t="shared" si="3"/>
        <v>3.1513078231938034E-13</v>
      </c>
      <c r="I30" s="8" t="str">
        <f t="shared" si="4"/>
        <v/>
      </c>
    </row>
    <row r="31" spans="1:9" x14ac:dyDescent="0.2">
      <c r="A31" s="5">
        <v>1942</v>
      </c>
      <c r="B31" s="6">
        <v>0.114814</v>
      </c>
      <c r="C31" s="6">
        <f t="shared" si="0"/>
        <v>7.1814000000000003E-2</v>
      </c>
      <c r="D31" s="6">
        <f t="shared" si="1"/>
        <v>139.46278800000002</v>
      </c>
      <c r="E31" s="6">
        <f t="shared" si="5"/>
        <v>-3.8278640000000004</v>
      </c>
      <c r="F31" s="6">
        <f t="shared" si="6"/>
        <v>-1.3099999999999917E-4</v>
      </c>
      <c r="G31" s="6">
        <f t="shared" si="2"/>
        <v>104.75713238328471</v>
      </c>
      <c r="H31" s="7">
        <f t="shared" si="3"/>
        <v>7.3553418532433878E-13</v>
      </c>
      <c r="I31" s="8" t="str">
        <f t="shared" si="4"/>
        <v/>
      </c>
    </row>
    <row r="32" spans="1:9" x14ac:dyDescent="0.2">
      <c r="A32" s="5">
        <v>1940</v>
      </c>
      <c r="B32" s="6">
        <v>0.114787</v>
      </c>
      <c r="C32" s="6">
        <f t="shared" si="0"/>
        <v>7.1787000000000004E-2</v>
      </c>
      <c r="D32" s="6">
        <f t="shared" si="1"/>
        <v>139.26678000000001</v>
      </c>
      <c r="E32" s="6">
        <f t="shared" si="5"/>
        <v>-3.9714650000000002</v>
      </c>
      <c r="F32" s="6">
        <f t="shared" si="6"/>
        <v>-2.2749999999998466E-5</v>
      </c>
      <c r="G32" s="6">
        <f t="shared" si="2"/>
        <v>104.71921287917201</v>
      </c>
      <c r="H32" s="7">
        <f t="shared" si="3"/>
        <v>4.2338505558862391E-12</v>
      </c>
      <c r="I32" s="8" t="str">
        <f t="shared" si="4"/>
        <v/>
      </c>
    </row>
    <row r="33" spans="1:9" x14ac:dyDescent="0.2">
      <c r="A33" s="5">
        <v>1938</v>
      </c>
      <c r="B33" s="6">
        <v>0.11490499999999999</v>
      </c>
      <c r="C33" s="6">
        <f t="shared" si="0"/>
        <v>7.1904999999999997E-2</v>
      </c>
      <c r="D33" s="6">
        <f t="shared" si="1"/>
        <v>139.35189</v>
      </c>
      <c r="E33" s="6">
        <f t="shared" si="5"/>
        <v>-4.115157</v>
      </c>
      <c r="F33" s="6">
        <f t="shared" si="6"/>
        <v>-1.4950000000000033E-4</v>
      </c>
      <c r="G33" s="6">
        <f t="shared" si="2"/>
        <v>104.88469915640523</v>
      </c>
      <c r="H33" s="7">
        <f t="shared" si="3"/>
        <v>6.4529975535575419E-13</v>
      </c>
      <c r="I33" s="8" t="str">
        <f t="shared" si="4"/>
        <v/>
      </c>
    </row>
    <row r="34" spans="1:9" x14ac:dyDescent="0.2">
      <c r="A34" s="5">
        <v>1936</v>
      </c>
      <c r="B34" s="6">
        <v>0.115385</v>
      </c>
      <c r="C34" s="6">
        <f t="shared" si="0"/>
        <v>7.2385000000000005E-2</v>
      </c>
      <c r="D34" s="6">
        <f t="shared" si="1"/>
        <v>140.13736</v>
      </c>
      <c r="E34" s="6">
        <f t="shared" si="5"/>
        <v>-4.2594469999999998</v>
      </c>
      <c r="F34" s="6">
        <f t="shared" si="6"/>
        <v>-2.102500000000021E-4</v>
      </c>
      <c r="G34" s="6">
        <f t="shared" si="2"/>
        <v>105.55690367396417</v>
      </c>
      <c r="H34" s="7">
        <f t="shared" si="3"/>
        <v>4.6178645938147464E-13</v>
      </c>
      <c r="I34" s="8" t="str">
        <f t="shared" si="4"/>
        <v/>
      </c>
    </row>
    <row r="35" spans="1:9" x14ac:dyDescent="0.2">
      <c r="A35" s="5">
        <v>1934</v>
      </c>
      <c r="B35" s="6">
        <v>0.115746</v>
      </c>
      <c r="C35" s="6">
        <f t="shared" si="0"/>
        <v>7.2746000000000005E-2</v>
      </c>
      <c r="D35" s="6">
        <f t="shared" si="1"/>
        <v>140.690764</v>
      </c>
      <c r="E35" s="6">
        <f t="shared" si="5"/>
        <v>-4.4045779999999999</v>
      </c>
      <c r="F35" s="6">
        <f t="shared" si="6"/>
        <v>2.0000000000020002E-6</v>
      </c>
      <c r="G35" s="6">
        <f t="shared" si="2"/>
        <v>106.06173548821162</v>
      </c>
      <c r="H35" s="7">
        <f t="shared" si="3"/>
        <v>-4.8777472170762299E-11</v>
      </c>
      <c r="I35" s="8" t="str">
        <f t="shared" si="4"/>
        <v/>
      </c>
    </row>
    <row r="36" spans="1:9" x14ac:dyDescent="0.2">
      <c r="A36" s="5">
        <v>1932</v>
      </c>
      <c r="B36" s="6">
        <v>0.11537699999999999</v>
      </c>
      <c r="C36" s="6">
        <f t="shared" si="0"/>
        <v>7.2376999999999997E-2</v>
      </c>
      <c r="D36" s="6">
        <f t="shared" si="1"/>
        <v>139.83236399999998</v>
      </c>
      <c r="E36" s="6">
        <f t="shared" si="5"/>
        <v>-4.5497009999999998</v>
      </c>
      <c r="F36" s="6">
        <f t="shared" si="6"/>
        <v>-1.2150000000000008E-4</v>
      </c>
      <c r="G36" s="6">
        <f t="shared" si="2"/>
        <v>105.54645426533818</v>
      </c>
      <c r="H36" s="7">
        <f t="shared" si="3"/>
        <v>7.9902050849343141E-13</v>
      </c>
      <c r="I36" s="8" t="str">
        <f t="shared" si="4"/>
        <v/>
      </c>
    </row>
    <row r="37" spans="1:9" x14ac:dyDescent="0.2">
      <c r="A37" s="5">
        <v>1930</v>
      </c>
      <c r="B37" s="6">
        <v>0.116232</v>
      </c>
      <c r="C37" s="6">
        <f t="shared" si="0"/>
        <v>7.3232000000000005E-2</v>
      </c>
      <c r="D37" s="6">
        <f t="shared" si="1"/>
        <v>141.33776</v>
      </c>
      <c r="E37" s="6">
        <f t="shared" si="5"/>
        <v>-4.6953100000000001</v>
      </c>
      <c r="F37" s="6">
        <f t="shared" si="6"/>
        <v>-5.6150000000000297E-4</v>
      </c>
      <c r="G37" s="6">
        <f t="shared" si="2"/>
        <v>106.73868856224004</v>
      </c>
      <c r="H37" s="7">
        <f t="shared" si="3"/>
        <v>1.7484880088064251E-13</v>
      </c>
      <c r="I37" s="8" t="str">
        <f t="shared" si="4"/>
        <v/>
      </c>
    </row>
    <row r="38" spans="1:9" x14ac:dyDescent="0.2">
      <c r="A38" s="5">
        <v>1928</v>
      </c>
      <c r="B38" s="6">
        <v>0.11762300000000001</v>
      </c>
      <c r="C38" s="6">
        <f t="shared" si="0"/>
        <v>7.4623000000000009E-2</v>
      </c>
      <c r="D38" s="6">
        <f t="shared" si="1"/>
        <v>143.87314400000002</v>
      </c>
      <c r="E38" s="6">
        <f t="shared" si="5"/>
        <v>-4.8431649999999999</v>
      </c>
      <c r="F38" s="6">
        <f t="shared" si="6"/>
        <v>-2.6450000000000085E-4</v>
      </c>
      <c r="G38" s="6">
        <f t="shared" si="2"/>
        <v>108.67555323708267</v>
      </c>
      <c r="H38" s="7">
        <f t="shared" si="3"/>
        <v>3.7791727083422807E-13</v>
      </c>
      <c r="I38" s="8" t="str">
        <f t="shared" si="4"/>
        <v/>
      </c>
    </row>
    <row r="39" spans="1:9" x14ac:dyDescent="0.2">
      <c r="A39" s="5">
        <v>1926</v>
      </c>
      <c r="B39" s="6">
        <v>0.11729000000000001</v>
      </c>
      <c r="C39" s="6">
        <f t="shared" si="0"/>
        <v>7.4290000000000009E-2</v>
      </c>
      <c r="D39" s="6">
        <f t="shared" si="1"/>
        <v>143.08254000000002</v>
      </c>
      <c r="E39" s="6">
        <f t="shared" si="5"/>
        <v>-4.9920780000000002</v>
      </c>
      <c r="F39" s="6">
        <f t="shared" si="6"/>
        <v>7.974999999999996E-5</v>
      </c>
      <c r="G39" s="6">
        <f t="shared" si="2"/>
        <v>108.21254135302617</v>
      </c>
      <c r="H39" s="7">
        <f t="shared" si="3"/>
        <v>-1.2480657379114994E-12</v>
      </c>
      <c r="I39" s="8" t="str">
        <f t="shared" si="4"/>
        <v/>
      </c>
    </row>
    <row r="40" spans="1:9" x14ac:dyDescent="0.2">
      <c r="A40" s="5">
        <v>1924</v>
      </c>
      <c r="B40" s="6">
        <v>0.11730400000000001</v>
      </c>
      <c r="C40" s="6">
        <f t="shared" si="0"/>
        <v>7.4304000000000009E-2</v>
      </c>
      <c r="D40" s="6">
        <f t="shared" si="1"/>
        <v>142.96089600000002</v>
      </c>
      <c r="E40" s="6">
        <f t="shared" si="5"/>
        <v>-5.1406720000000004</v>
      </c>
      <c r="F40" s="6">
        <f t="shared" si="6"/>
        <v>1.1950000000000155E-4</v>
      </c>
      <c r="G40" s="6">
        <f t="shared" si="2"/>
        <v>108.23197931812163</v>
      </c>
      <c r="H40" s="7">
        <f t="shared" si="3"/>
        <v>-8.3306377842217417E-13</v>
      </c>
      <c r="I40" s="8" t="str">
        <f t="shared" si="4"/>
        <v/>
      </c>
    </row>
    <row r="41" spans="1:9" x14ac:dyDescent="0.2">
      <c r="A41" s="5">
        <v>1922</v>
      </c>
      <c r="B41" s="6">
        <v>0.116812</v>
      </c>
      <c r="C41" s="6">
        <f t="shared" si="0"/>
        <v>7.3812000000000003E-2</v>
      </c>
      <c r="D41" s="6">
        <f t="shared" si="1"/>
        <v>141.86666400000001</v>
      </c>
      <c r="E41" s="6">
        <f t="shared" si="5"/>
        <v>-5.2887880000000003</v>
      </c>
      <c r="F41" s="6">
        <f t="shared" si="6"/>
        <v>2.0275000000000154E-4</v>
      </c>
      <c r="G41" s="6">
        <f t="shared" si="2"/>
        <v>107.54985768762373</v>
      </c>
      <c r="H41" s="7">
        <f t="shared" si="3"/>
        <v>-4.8790979117897359E-13</v>
      </c>
      <c r="I41" s="8" t="str">
        <f t="shared" si="4"/>
        <v/>
      </c>
    </row>
    <row r="42" spans="1:9" x14ac:dyDescent="0.2">
      <c r="A42" s="5">
        <v>1920</v>
      </c>
      <c r="B42" s="6">
        <v>0.116493</v>
      </c>
      <c r="C42" s="6">
        <f t="shared" si="0"/>
        <v>7.3493000000000003E-2</v>
      </c>
      <c r="D42" s="6">
        <f t="shared" si="1"/>
        <v>141.10656</v>
      </c>
      <c r="E42" s="6">
        <f t="shared" si="5"/>
        <v>-5.4360930000000005</v>
      </c>
      <c r="F42" s="6">
        <f t="shared" si="6"/>
        <v>5.4499999999998994E-5</v>
      </c>
      <c r="G42" s="6">
        <f t="shared" si="2"/>
        <v>107.10822576866269</v>
      </c>
      <c r="H42" s="7">
        <f t="shared" si="3"/>
        <v>-1.8076605465544798E-12</v>
      </c>
      <c r="I42" s="8" t="str">
        <f t="shared" si="4"/>
        <v/>
      </c>
    </row>
    <row r="43" spans="1:9" x14ac:dyDescent="0.2">
      <c r="A43" s="5">
        <v>1918</v>
      </c>
      <c r="B43" s="6">
        <v>0.116594</v>
      </c>
      <c r="C43" s="6">
        <f t="shared" si="0"/>
        <v>7.3594000000000007E-2</v>
      </c>
      <c r="D43" s="6">
        <f t="shared" si="1"/>
        <v>141.15329200000002</v>
      </c>
      <c r="E43" s="6">
        <f t="shared" si="5"/>
        <v>-5.5831800000000005</v>
      </c>
      <c r="F43" s="6">
        <f t="shared" si="6"/>
        <v>-7.5999999999999679E-5</v>
      </c>
      <c r="G43" s="6">
        <f t="shared" si="2"/>
        <v>107.24785080256572</v>
      </c>
      <c r="H43" s="7">
        <f t="shared" si="3"/>
        <v>1.2979727111963879E-12</v>
      </c>
      <c r="I43" s="8" t="str">
        <f t="shared" si="4"/>
        <v/>
      </c>
    </row>
    <row r="44" spans="1:9" x14ac:dyDescent="0.2">
      <c r="A44" s="5">
        <v>1916</v>
      </c>
      <c r="B44" s="6">
        <v>0.116797</v>
      </c>
      <c r="C44" s="6">
        <f t="shared" si="0"/>
        <v>7.3797000000000001E-2</v>
      </c>
      <c r="D44" s="6">
        <f t="shared" si="1"/>
        <v>141.39505199999999</v>
      </c>
      <c r="E44" s="6">
        <f t="shared" si="5"/>
        <v>-5.7305710000000003</v>
      </c>
      <c r="F44" s="6">
        <f t="shared" si="6"/>
        <v>-1.8475000000000089E-4</v>
      </c>
      <c r="G44" s="6">
        <f t="shared" si="2"/>
        <v>107.52807729645001</v>
      </c>
      <c r="H44" s="7">
        <f t="shared" si="3"/>
        <v>5.3533789818216591E-13</v>
      </c>
      <c r="I44" s="8" t="str">
        <f t="shared" si="4"/>
        <v/>
      </c>
    </row>
    <row r="45" spans="1:9" x14ac:dyDescent="0.2">
      <c r="A45" s="5">
        <v>1914</v>
      </c>
      <c r="B45" s="6">
        <v>0.11733300000000001</v>
      </c>
      <c r="C45" s="6">
        <f t="shared" si="0"/>
        <v>7.433300000000001E-2</v>
      </c>
      <c r="D45" s="6">
        <f t="shared" si="1"/>
        <v>142.27336200000002</v>
      </c>
      <c r="E45" s="6">
        <f t="shared" si="5"/>
        <v>-5.8787010000000004</v>
      </c>
      <c r="F45" s="6">
        <f t="shared" si="6"/>
        <v>-2.3199999999999957E-4</v>
      </c>
      <c r="G45" s="6">
        <f t="shared" si="2"/>
        <v>108.26691367439084</v>
      </c>
      <c r="H45" s="7">
        <f t="shared" si="3"/>
        <v>4.2923816349809948E-13</v>
      </c>
      <c r="I45" s="8" t="str">
        <f t="shared" si="4"/>
        <v/>
      </c>
    </row>
    <row r="46" spans="1:9" x14ac:dyDescent="0.2">
      <c r="A46" s="5">
        <v>1912</v>
      </c>
      <c r="B46" s="6">
        <v>0.117725</v>
      </c>
      <c r="C46" s="6">
        <f t="shared" si="0"/>
        <v>7.4725E-2</v>
      </c>
      <c r="D46" s="6">
        <f t="shared" si="1"/>
        <v>142.8742</v>
      </c>
      <c r="E46" s="6">
        <f t="shared" si="5"/>
        <v>-6.0277590000000005</v>
      </c>
      <c r="F46" s="6">
        <f t="shared" si="6"/>
        <v>-4.3499999999998401E-5</v>
      </c>
      <c r="G46" s="6">
        <f t="shared" si="2"/>
        <v>108.80647269706394</v>
      </c>
      <c r="H46" s="7">
        <f t="shared" si="3"/>
        <v>2.300679012988504E-12</v>
      </c>
      <c r="I46" s="8" t="str">
        <f t="shared" si="4"/>
        <v/>
      </c>
    </row>
    <row r="47" spans="1:9" x14ac:dyDescent="0.2">
      <c r="A47" s="5">
        <v>1910</v>
      </c>
      <c r="B47" s="6">
        <v>0.117507</v>
      </c>
      <c r="C47" s="6">
        <f t="shared" si="0"/>
        <v>7.4507000000000004E-2</v>
      </c>
      <c r="D47" s="6">
        <f t="shared" si="1"/>
        <v>142.30837</v>
      </c>
      <c r="E47" s="6">
        <f t="shared" si="5"/>
        <v>-6.1769910000000001</v>
      </c>
      <c r="F47" s="6">
        <f t="shared" si="6"/>
        <v>1.0149999999999743E-4</v>
      </c>
      <c r="G47" s="6">
        <f t="shared" si="2"/>
        <v>108.50684781200593</v>
      </c>
      <c r="H47" s="7">
        <f t="shared" si="3"/>
        <v>-9.8329008772033074E-13</v>
      </c>
      <c r="I47" s="8" t="str">
        <f t="shared" si="4"/>
        <v/>
      </c>
    </row>
    <row r="48" spans="1:9" x14ac:dyDescent="0.2">
      <c r="A48" s="5">
        <v>1908</v>
      </c>
      <c r="B48" s="6">
        <v>0.11731900000000001</v>
      </c>
      <c r="C48" s="6">
        <f t="shared" si="0"/>
        <v>7.431900000000001E-2</v>
      </c>
      <c r="D48" s="6">
        <f t="shared" si="1"/>
        <v>141.80065200000001</v>
      </c>
      <c r="E48" s="6">
        <f t="shared" si="5"/>
        <v>-6.3258169999999998</v>
      </c>
      <c r="F48" s="6">
        <f t="shared" si="6"/>
        <v>1.6649999999999998E-4</v>
      </c>
      <c r="G48" s="6">
        <f t="shared" si="2"/>
        <v>108.24883170929536</v>
      </c>
      <c r="H48" s="7">
        <f t="shared" si="3"/>
        <v>-5.9799773122623378E-13</v>
      </c>
      <c r="I48" s="8" t="str">
        <f t="shared" si="4"/>
        <v/>
      </c>
    </row>
    <row r="49" spans="1:9" x14ac:dyDescent="0.2">
      <c r="A49" s="5">
        <v>1906</v>
      </c>
      <c r="B49" s="6">
        <v>0.116841</v>
      </c>
      <c r="C49" s="6">
        <f t="shared" si="0"/>
        <v>7.3841000000000004E-2</v>
      </c>
      <c r="D49" s="6">
        <f t="shared" si="1"/>
        <v>140.74094600000001</v>
      </c>
      <c r="E49" s="6">
        <f t="shared" si="5"/>
        <v>-6.4739769999999996</v>
      </c>
      <c r="F49" s="6">
        <f t="shared" si="6"/>
        <v>2.6100000000000081E-4</v>
      </c>
      <c r="G49" s="6">
        <f t="shared" si="2"/>
        <v>107.59376804389292</v>
      </c>
      <c r="H49" s="7">
        <f t="shared" si="3"/>
        <v>-3.7917279173289391E-13</v>
      </c>
      <c r="I49" s="8" t="str">
        <f t="shared" si="4"/>
        <v/>
      </c>
    </row>
    <row r="50" spans="1:9" x14ac:dyDescent="0.2">
      <c r="A50" s="5">
        <v>1904</v>
      </c>
      <c r="B50" s="6">
        <v>0.116275</v>
      </c>
      <c r="C50" s="6">
        <f t="shared" si="0"/>
        <v>7.3275000000000007E-2</v>
      </c>
      <c r="D50" s="6">
        <f t="shared" si="1"/>
        <v>139.51560000000001</v>
      </c>
      <c r="E50" s="6">
        <f t="shared" si="5"/>
        <v>-6.6210930000000001</v>
      </c>
      <c r="F50" s="6">
        <f t="shared" si="6"/>
        <v>1.0525000000000118E-4</v>
      </c>
      <c r="G50" s="6">
        <f t="shared" si="2"/>
        <v>106.81923888360468</v>
      </c>
      <c r="H50" s="7">
        <f t="shared" si="3"/>
        <v>-9.3350775671299703E-13</v>
      </c>
      <c r="I50" s="8" t="str">
        <f t="shared" si="4"/>
        <v/>
      </c>
    </row>
    <row r="51" spans="1:9" x14ac:dyDescent="0.2">
      <c r="A51" s="5">
        <v>1902</v>
      </c>
      <c r="B51" s="6">
        <v>0.11642</v>
      </c>
      <c r="C51" s="6">
        <f t="shared" si="0"/>
        <v>7.3419999999999999E-2</v>
      </c>
      <c r="D51" s="6">
        <f t="shared" si="1"/>
        <v>139.64483999999999</v>
      </c>
      <c r="E51" s="6">
        <f t="shared" si="5"/>
        <v>-6.7677880000000004</v>
      </c>
      <c r="F51" s="6">
        <f t="shared" si="6"/>
        <v>-1.5599999999999989E-4</v>
      </c>
      <c r="G51" s="6">
        <f t="shared" si="2"/>
        <v>107.0173706649506</v>
      </c>
      <c r="H51" s="7">
        <f t="shared" si="3"/>
        <v>6.3098674237839082E-13</v>
      </c>
      <c r="I51" s="8" t="str">
        <f t="shared" si="4"/>
        <v/>
      </c>
    </row>
    <row r="52" spans="1:9" x14ac:dyDescent="0.2">
      <c r="A52" s="5">
        <v>1900</v>
      </c>
      <c r="B52" s="6">
        <v>0.116899</v>
      </c>
      <c r="C52" s="6">
        <f t="shared" si="0"/>
        <v>7.3899000000000006E-2</v>
      </c>
      <c r="D52" s="6">
        <f t="shared" si="1"/>
        <v>140.40810000000002</v>
      </c>
      <c r="E52" s="6">
        <f t="shared" si="5"/>
        <v>-6.9151070000000008</v>
      </c>
      <c r="F52" s="6">
        <f t="shared" si="6"/>
        <v>-3.2975000000000018E-4</v>
      </c>
      <c r="G52" s="6">
        <f t="shared" si="2"/>
        <v>107.67093075643129</v>
      </c>
      <c r="H52" s="7">
        <f t="shared" si="3"/>
        <v>3.0033380573067544E-13</v>
      </c>
      <c r="I52" s="8" t="str">
        <f t="shared" si="4"/>
        <v/>
      </c>
    </row>
    <row r="53" spans="1:9" x14ac:dyDescent="0.2">
      <c r="A53" s="5">
        <v>1898</v>
      </c>
      <c r="B53" s="6">
        <v>0.117739</v>
      </c>
      <c r="C53" s="6">
        <f t="shared" si="0"/>
        <v>7.4739E-2</v>
      </c>
      <c r="D53" s="6">
        <f t="shared" si="1"/>
        <v>141.85462200000001</v>
      </c>
      <c r="E53" s="6">
        <f t="shared" si="5"/>
        <v>-7.0637450000000008</v>
      </c>
      <c r="F53" s="6">
        <f t="shared" si="6"/>
        <v>-4.9625000000000016E-4</v>
      </c>
      <c r="G53" s="6">
        <f t="shared" si="2"/>
        <v>108.8153686621594</v>
      </c>
      <c r="H53" s="7">
        <f t="shared" si="3"/>
        <v>2.016880997884416E-13</v>
      </c>
      <c r="I53" s="8" t="str">
        <f t="shared" si="4"/>
        <v/>
      </c>
    </row>
    <row r="54" spans="1:9" x14ac:dyDescent="0.2">
      <c r="A54" s="5">
        <v>1896</v>
      </c>
      <c r="B54" s="6">
        <v>0.118884</v>
      </c>
      <c r="C54" s="6">
        <f t="shared" si="0"/>
        <v>7.5884000000000007E-2</v>
      </c>
      <c r="D54" s="6">
        <f t="shared" si="1"/>
        <v>143.87606400000001</v>
      </c>
      <c r="E54" s="6">
        <f t="shared" si="5"/>
        <v>-7.2143680000000012</v>
      </c>
      <c r="F54" s="6">
        <f t="shared" si="6"/>
        <v>-3.2975000000000018E-4</v>
      </c>
      <c r="G54" s="6">
        <f t="shared" si="2"/>
        <v>110.3730565217531</v>
      </c>
      <c r="H54" s="7">
        <f t="shared" si="3"/>
        <v>3.0787102779201201E-13</v>
      </c>
      <c r="I54" s="8" t="str">
        <f t="shared" si="4"/>
        <v/>
      </c>
    </row>
    <row r="55" spans="1:9" x14ac:dyDescent="0.2">
      <c r="A55" s="5">
        <v>1894</v>
      </c>
      <c r="B55" s="6">
        <v>0.119058</v>
      </c>
      <c r="C55" s="6">
        <f t="shared" si="0"/>
        <v>7.6058000000000001E-2</v>
      </c>
      <c r="D55" s="6">
        <f t="shared" si="1"/>
        <v>144.05385200000001</v>
      </c>
      <c r="E55" s="6">
        <f t="shared" si="5"/>
        <v>-7.3663100000000012</v>
      </c>
      <c r="F55" s="6">
        <f t="shared" si="6"/>
        <v>6.5249999999999336E-5</v>
      </c>
      <c r="G55" s="6">
        <f t="shared" si="2"/>
        <v>110.60942265936819</v>
      </c>
      <c r="H55" s="7">
        <f t="shared" si="3"/>
        <v>-1.5592012193348348E-12</v>
      </c>
      <c r="I55" s="8" t="str">
        <f t="shared" si="4"/>
        <v/>
      </c>
    </row>
    <row r="56" spans="1:9" x14ac:dyDescent="0.2">
      <c r="A56" s="5">
        <v>1892</v>
      </c>
      <c r="B56" s="6">
        <v>0.11862300000000001</v>
      </c>
      <c r="C56" s="6">
        <f t="shared" si="0"/>
        <v>7.562300000000001E-2</v>
      </c>
      <c r="D56" s="6">
        <f t="shared" si="1"/>
        <v>143.07871600000001</v>
      </c>
      <c r="E56" s="6">
        <f t="shared" si="5"/>
        <v>-7.5179910000000012</v>
      </c>
      <c r="F56" s="6">
        <f t="shared" si="6"/>
        <v>1.7750000000000057E-4</v>
      </c>
      <c r="G56" s="6">
        <f t="shared" si="2"/>
        <v>110.01937731533043</v>
      </c>
      <c r="H56" s="7">
        <f t="shared" si="3"/>
        <v>-5.7011357416560471E-13</v>
      </c>
      <c r="I56" s="8" t="str">
        <f t="shared" si="4"/>
        <v/>
      </c>
    </row>
    <row r="57" spans="1:9" x14ac:dyDescent="0.2">
      <c r="A57" s="5">
        <v>1890</v>
      </c>
      <c r="B57" s="6">
        <v>0.11834799999999999</v>
      </c>
      <c r="C57" s="6">
        <f t="shared" si="0"/>
        <v>7.5347999999999998E-2</v>
      </c>
      <c r="D57" s="6">
        <f t="shared" si="1"/>
        <v>142.40771999999998</v>
      </c>
      <c r="E57" s="6">
        <f t="shared" si="5"/>
        <v>-7.6689620000000014</v>
      </c>
      <c r="F57" s="6">
        <f t="shared" si="6"/>
        <v>1.4500000000000624E-5</v>
      </c>
      <c r="G57" s="6">
        <f t="shared" si="2"/>
        <v>109.64691014381229</v>
      </c>
      <c r="H57" s="7">
        <f t="shared" si="3"/>
        <v>-6.955349403961304E-12</v>
      </c>
      <c r="I57" s="8" t="str">
        <f t="shared" si="4"/>
        <v/>
      </c>
    </row>
    <row r="58" spans="1:9" x14ac:dyDescent="0.2">
      <c r="A58" s="5">
        <v>1888</v>
      </c>
      <c r="B58" s="6">
        <v>0.118565</v>
      </c>
      <c r="C58" s="6">
        <f t="shared" si="0"/>
        <v>7.5565000000000007E-2</v>
      </c>
      <c r="D58" s="6">
        <f t="shared" si="1"/>
        <v>142.66672000000003</v>
      </c>
      <c r="E58" s="6">
        <f t="shared" si="5"/>
        <v>-7.8198750000000015</v>
      </c>
      <c r="F58" s="6">
        <f t="shared" si="6"/>
        <v>-1.015000000000009E-4</v>
      </c>
      <c r="G58" s="6">
        <f t="shared" si="2"/>
        <v>109.94038660279206</v>
      </c>
      <c r="H58" s="7">
        <f t="shared" si="3"/>
        <v>9.9628082988787662E-13</v>
      </c>
      <c r="I58" s="8" t="str">
        <f t="shared" si="4"/>
        <v/>
      </c>
    </row>
    <row r="59" spans="1:9" x14ac:dyDescent="0.2">
      <c r="A59" s="5">
        <v>1886</v>
      </c>
      <c r="B59" s="6">
        <v>0.118754</v>
      </c>
      <c r="C59" s="6">
        <f t="shared" si="0"/>
        <v>7.5754000000000002E-2</v>
      </c>
      <c r="D59" s="6">
        <f t="shared" si="1"/>
        <v>142.87204400000002</v>
      </c>
      <c r="E59" s="6">
        <f t="shared" si="5"/>
        <v>-7.9711940000000014</v>
      </c>
      <c r="F59" s="6">
        <f t="shared" si="6"/>
        <v>-1.5949999999999992E-4</v>
      </c>
      <c r="G59" s="6">
        <f t="shared" si="2"/>
        <v>110.19561713158087</v>
      </c>
      <c r="H59" s="7">
        <f t="shared" si="3"/>
        <v>6.35468738144063E-13</v>
      </c>
      <c r="I59" s="8" t="str">
        <f t="shared" si="4"/>
        <v/>
      </c>
    </row>
    <row r="60" spans="1:9" x14ac:dyDescent="0.2">
      <c r="A60" s="5">
        <v>1884</v>
      </c>
      <c r="B60" s="6">
        <v>0.119203</v>
      </c>
      <c r="C60" s="6">
        <f t="shared" si="0"/>
        <v>7.6203000000000007E-2</v>
      </c>
      <c r="D60" s="6">
        <f t="shared" si="1"/>
        <v>143.56645200000003</v>
      </c>
      <c r="E60" s="6">
        <f t="shared" si="5"/>
        <v>-8.1231510000000018</v>
      </c>
      <c r="F60" s="6">
        <f t="shared" si="6"/>
        <v>-9.7750000000000614E-5</v>
      </c>
      <c r="G60" s="6">
        <f t="shared" si="2"/>
        <v>110.80106044071414</v>
      </c>
      <c r="H60" s="7">
        <f t="shared" si="3"/>
        <v>1.0425999676374936E-12</v>
      </c>
      <c r="I60" s="8" t="str">
        <f t="shared" si="4"/>
        <v/>
      </c>
    </row>
    <row r="61" spans="1:9" x14ac:dyDescent="0.2">
      <c r="A61" s="5">
        <v>1882</v>
      </c>
      <c r="B61" s="6">
        <v>0.119145</v>
      </c>
      <c r="C61" s="6">
        <f t="shared" si="0"/>
        <v>7.6145000000000004E-2</v>
      </c>
      <c r="D61" s="6">
        <f t="shared" si="1"/>
        <v>143.30489</v>
      </c>
      <c r="E61" s="6">
        <f t="shared" si="5"/>
        <v>-8.2754990000000017</v>
      </c>
      <c r="F61" s="6">
        <f t="shared" si="6"/>
        <v>-1.1224999999999777E-4</v>
      </c>
      <c r="G61" s="6">
        <f t="shared" si="2"/>
        <v>110.72296772817576</v>
      </c>
      <c r="H61" s="7">
        <f t="shared" si="3"/>
        <v>9.0728122610934901E-13</v>
      </c>
      <c r="I61" s="8" t="str">
        <f t="shared" si="4"/>
        <v/>
      </c>
    </row>
    <row r="62" spans="1:9" x14ac:dyDescent="0.2">
      <c r="A62" s="5">
        <v>1880</v>
      </c>
      <c r="B62" s="6">
        <v>0.11965199999999999</v>
      </c>
      <c r="C62" s="6">
        <f t="shared" si="0"/>
        <v>7.6651999999999998E-2</v>
      </c>
      <c r="D62" s="6">
        <f t="shared" si="1"/>
        <v>144.10576</v>
      </c>
      <c r="E62" s="6">
        <f t="shared" si="5"/>
        <v>-8.4282960000000013</v>
      </c>
      <c r="F62" s="6">
        <f t="shared" si="6"/>
        <v>-1.3774999999999898E-4</v>
      </c>
      <c r="G62" s="6">
        <f t="shared" si="2"/>
        <v>111.40459174984737</v>
      </c>
      <c r="H62" s="7">
        <f t="shared" si="3"/>
        <v>7.4387855748160209E-13</v>
      </c>
      <c r="I62" s="8" t="str">
        <f t="shared" si="4"/>
        <v/>
      </c>
    </row>
    <row r="63" spans="1:9" x14ac:dyDescent="0.2">
      <c r="A63" s="5">
        <v>1878</v>
      </c>
      <c r="B63" s="6">
        <v>0.119696</v>
      </c>
      <c r="C63" s="6">
        <f t="shared" si="0"/>
        <v>7.6696E-2</v>
      </c>
      <c r="D63" s="6">
        <f t="shared" si="1"/>
        <v>144.035088</v>
      </c>
      <c r="E63" s="6">
        <f t="shared" si="5"/>
        <v>-8.5816440000000007</v>
      </c>
      <c r="F63" s="6">
        <f t="shared" si="6"/>
        <v>8.3249999999999991E-5</v>
      </c>
      <c r="G63" s="6">
        <f t="shared" si="2"/>
        <v>111.46365849729027</v>
      </c>
      <c r="H63" s="7">
        <f t="shared" si="3"/>
        <v>-1.2315147210929505E-12</v>
      </c>
      <c r="I63" s="8" t="str">
        <f t="shared" si="4"/>
        <v/>
      </c>
    </row>
    <row r="64" spans="1:9" x14ac:dyDescent="0.2">
      <c r="A64" s="5">
        <v>1876</v>
      </c>
      <c r="B64" s="6">
        <v>0.11931899999999999</v>
      </c>
      <c r="C64" s="6">
        <f t="shared" si="0"/>
        <v>7.6318999999999998E-2</v>
      </c>
      <c r="D64" s="6">
        <f t="shared" si="1"/>
        <v>143.17444399999999</v>
      </c>
      <c r="E64" s="6">
        <f t="shared" si="5"/>
        <v>-8.7346590000000006</v>
      </c>
      <c r="F64" s="6">
        <f t="shared" si="6"/>
        <v>7.2500000000003118E-6</v>
      </c>
      <c r="G64" s="6">
        <f t="shared" si="2"/>
        <v>110.95831786579086</v>
      </c>
      <c r="H64" s="7">
        <f t="shared" si="3"/>
        <v>-1.4077074657555771E-11</v>
      </c>
      <c r="I64" s="8" t="str">
        <f t="shared" si="4"/>
        <v/>
      </c>
    </row>
    <row r="65" spans="1:9" x14ac:dyDescent="0.2">
      <c r="A65" s="5">
        <v>1874</v>
      </c>
      <c r="B65" s="6">
        <v>0.119667</v>
      </c>
      <c r="C65" s="6">
        <f t="shared" si="0"/>
        <v>7.6666999999999999E-2</v>
      </c>
      <c r="D65" s="6">
        <f t="shared" si="1"/>
        <v>143.673958</v>
      </c>
      <c r="E65" s="6">
        <f t="shared" si="5"/>
        <v>-8.8876450000000009</v>
      </c>
      <c r="F65" s="6">
        <f t="shared" si="6"/>
        <v>-2.1750000000000935E-5</v>
      </c>
      <c r="G65" s="6">
        <f t="shared" si="2"/>
        <v>111.42409014102108</v>
      </c>
      <c r="H65" s="7">
        <f t="shared" si="3"/>
        <v>4.7120554388798522E-12</v>
      </c>
      <c r="I65" s="8" t="str">
        <f t="shared" si="4"/>
        <v/>
      </c>
    </row>
    <row r="66" spans="1:9" x14ac:dyDescent="0.2">
      <c r="A66" s="5">
        <v>1872</v>
      </c>
      <c r="B66" s="6">
        <v>0.119406</v>
      </c>
      <c r="C66" s="6">
        <f t="shared" ref="C66:C129" si="7">B66-$B$2</f>
        <v>7.6406000000000002E-2</v>
      </c>
      <c r="D66" s="6">
        <f t="shared" ref="D66:D129" si="8">A66*C66</f>
        <v>143.03203200000002</v>
      </c>
      <c r="E66" s="6">
        <f t="shared" si="5"/>
        <v>-9.0407180000000018</v>
      </c>
      <c r="F66" s="6">
        <f t="shared" si="6"/>
        <v>-9.7750000000000614E-5</v>
      </c>
      <c r="G66" s="6">
        <f t="shared" ref="G66:G129" si="9">(A66-$L$5)*C66-E66</f>
        <v>111.07528293459842</v>
      </c>
      <c r="H66" s="7">
        <f t="shared" ref="H66:H129" si="10">IF(ABS(F66)&lt;0.000000001,"",-(G66)/(2*$L$4*F66)*0.000000000001)</f>
        <v>1.0451803072309235E-12</v>
      </c>
      <c r="I66" s="8" t="str">
        <f t="shared" ref="I66:I129" si="11">IF(AND(B66&gt;=0.5,B66&lt;=2.5,ISNUMBER(H66),H66&gt;0),H66,"")</f>
        <v/>
      </c>
    </row>
    <row r="67" spans="1:9" x14ac:dyDescent="0.2">
      <c r="A67" s="5">
        <v>1870</v>
      </c>
      <c r="B67" s="6">
        <v>0.120058</v>
      </c>
      <c r="C67" s="6">
        <f t="shared" si="7"/>
        <v>7.7058000000000001E-2</v>
      </c>
      <c r="D67" s="6">
        <f t="shared" si="8"/>
        <v>144.09845999999999</v>
      </c>
      <c r="E67" s="6">
        <f t="shared" ref="E67:E130" si="12">E66+(C66+C67)/2*(A67-A66)</f>
        <v>-9.1941820000000014</v>
      </c>
      <c r="F67" s="6">
        <f t="shared" ref="F67:F130" si="13">(B68-B66)/(A68-A66)</f>
        <v>-1.4500000000000624E-5</v>
      </c>
      <c r="G67" s="6">
        <f t="shared" si="9"/>
        <v>111.94532873761595</v>
      </c>
      <c r="H67" s="7">
        <f t="shared" si="10"/>
        <v>7.1011474421868987E-12</v>
      </c>
      <c r="I67" s="8" t="str">
        <f t="shared" si="11"/>
        <v/>
      </c>
    </row>
    <row r="68" spans="1:9" x14ac:dyDescent="0.2">
      <c r="A68" s="5">
        <v>1868</v>
      </c>
      <c r="B68" s="6">
        <v>0.119464</v>
      </c>
      <c r="C68" s="6">
        <f t="shared" si="7"/>
        <v>7.6464000000000004E-2</v>
      </c>
      <c r="D68" s="6">
        <f t="shared" si="8"/>
        <v>142.83475200000001</v>
      </c>
      <c r="E68" s="6">
        <f t="shared" si="12"/>
        <v>-9.347704000000002</v>
      </c>
      <c r="F68" s="6">
        <f t="shared" si="13"/>
        <v>1.6675000000000023E-4</v>
      </c>
      <c r="G68" s="6">
        <f t="shared" si="9"/>
        <v>111.15386764713681</v>
      </c>
      <c r="H68" s="7">
        <f t="shared" si="10"/>
        <v>-6.1312537796850281E-13</v>
      </c>
      <c r="I68" s="8" t="str">
        <f t="shared" si="11"/>
        <v/>
      </c>
    </row>
    <row r="69" spans="1:9" x14ac:dyDescent="0.2">
      <c r="A69" s="5">
        <v>1866</v>
      </c>
      <c r="B69" s="6">
        <v>0.119391</v>
      </c>
      <c r="C69" s="6">
        <f t="shared" si="7"/>
        <v>7.6391000000000001E-2</v>
      </c>
      <c r="D69" s="6">
        <f t="shared" si="8"/>
        <v>142.54560599999999</v>
      </c>
      <c r="E69" s="6">
        <f t="shared" si="12"/>
        <v>-9.5005590000000026</v>
      </c>
      <c r="F69" s="6">
        <f t="shared" si="13"/>
        <v>-4.6999999999998432E-5</v>
      </c>
      <c r="G69" s="6">
        <f t="shared" si="9"/>
        <v>111.05674654342471</v>
      </c>
      <c r="H69" s="7">
        <f t="shared" si="10"/>
        <v>2.1733899015121494E-12</v>
      </c>
      <c r="I69" s="8" t="str">
        <f t="shared" si="11"/>
        <v/>
      </c>
    </row>
    <row r="70" spans="1:9" x14ac:dyDescent="0.2">
      <c r="A70" s="5">
        <v>1864</v>
      </c>
      <c r="B70" s="6">
        <v>0.11965199999999999</v>
      </c>
      <c r="C70" s="6">
        <f t="shared" si="7"/>
        <v>7.6651999999999998E-2</v>
      </c>
      <c r="D70" s="6">
        <f t="shared" si="8"/>
        <v>142.87932799999999</v>
      </c>
      <c r="E70" s="6">
        <f t="shared" si="12"/>
        <v>-9.6536020000000029</v>
      </c>
      <c r="F70" s="6">
        <f t="shared" si="13"/>
        <v>-4.000000000000184E-5</v>
      </c>
      <c r="G70" s="6">
        <f t="shared" si="9"/>
        <v>111.40346574984737</v>
      </c>
      <c r="H70" s="7">
        <f t="shared" si="10"/>
        <v>2.5617058901269831E-12</v>
      </c>
      <c r="I70" s="8" t="str">
        <f t="shared" si="11"/>
        <v/>
      </c>
    </row>
    <row r="71" spans="1:9" x14ac:dyDescent="0.2">
      <c r="A71" s="5">
        <v>1862</v>
      </c>
      <c r="B71" s="6">
        <v>0.119551</v>
      </c>
      <c r="C71" s="6">
        <f t="shared" si="7"/>
        <v>7.6551000000000008E-2</v>
      </c>
      <c r="D71" s="6">
        <f t="shared" si="8"/>
        <v>142.53796200000002</v>
      </c>
      <c r="E71" s="6">
        <f t="shared" si="12"/>
        <v>-9.8068050000000024</v>
      </c>
      <c r="F71" s="6">
        <f t="shared" si="13"/>
        <v>-3.6250000000001559E-5</v>
      </c>
      <c r="G71" s="6">
        <f t="shared" si="9"/>
        <v>111.26949671594436</v>
      </c>
      <c r="H71" s="7">
        <f t="shared" si="10"/>
        <v>2.8233106674770896E-12</v>
      </c>
      <c r="I71" s="8" t="str">
        <f t="shared" si="11"/>
        <v/>
      </c>
    </row>
    <row r="72" spans="1:9" x14ac:dyDescent="0.2">
      <c r="A72" s="5">
        <v>1860</v>
      </c>
      <c r="B72" s="6">
        <v>0.119797</v>
      </c>
      <c r="C72" s="6">
        <f t="shared" si="7"/>
        <v>7.6797000000000004E-2</v>
      </c>
      <c r="D72" s="6">
        <f t="shared" si="8"/>
        <v>142.84242</v>
      </c>
      <c r="E72" s="6">
        <f t="shared" si="12"/>
        <v>-9.9601530000000018</v>
      </c>
      <c r="F72" s="6">
        <f t="shared" si="13"/>
        <v>2.9000000000001247E-5</v>
      </c>
      <c r="G72" s="6">
        <f t="shared" si="9"/>
        <v>111.5953055311933</v>
      </c>
      <c r="H72" s="7">
        <f t="shared" si="10"/>
        <v>-3.5394720233941193E-12</v>
      </c>
      <c r="I72" s="8" t="str">
        <f t="shared" si="11"/>
        <v/>
      </c>
    </row>
    <row r="73" spans="1:9" x14ac:dyDescent="0.2">
      <c r="A73" s="5">
        <v>1858</v>
      </c>
      <c r="B73" s="6">
        <v>0.119435</v>
      </c>
      <c r="C73" s="6">
        <f t="shared" si="7"/>
        <v>7.6435000000000003E-2</v>
      </c>
      <c r="D73" s="6">
        <f t="shared" si="8"/>
        <v>142.01623000000001</v>
      </c>
      <c r="E73" s="6">
        <f t="shared" si="12"/>
        <v>-10.113385000000001</v>
      </c>
      <c r="F73" s="6">
        <f t="shared" si="13"/>
        <v>1.1950000000000155E-4</v>
      </c>
      <c r="G73" s="6">
        <f t="shared" si="9"/>
        <v>111.11658729086761</v>
      </c>
      <c r="H73" s="7">
        <f t="shared" si="10"/>
        <v>-8.5526666551878064E-13</v>
      </c>
      <c r="I73" s="8" t="str">
        <f t="shared" si="11"/>
        <v/>
      </c>
    </row>
    <row r="74" spans="1:9" x14ac:dyDescent="0.2">
      <c r="A74" s="5">
        <v>1856</v>
      </c>
      <c r="B74" s="6">
        <v>0.11931899999999999</v>
      </c>
      <c r="C74" s="6">
        <f t="shared" si="7"/>
        <v>7.6318999999999998E-2</v>
      </c>
      <c r="D74" s="6">
        <f t="shared" si="8"/>
        <v>141.64806400000001</v>
      </c>
      <c r="E74" s="6">
        <f t="shared" si="12"/>
        <v>-10.266139000000001</v>
      </c>
      <c r="F74" s="6">
        <f t="shared" si="13"/>
        <v>1.2674999999999839E-4</v>
      </c>
      <c r="G74" s="6">
        <f t="shared" si="9"/>
        <v>110.96341786579086</v>
      </c>
      <c r="H74" s="7">
        <f t="shared" si="10"/>
        <v>-8.0523457370029489E-13</v>
      </c>
      <c r="I74" s="8" t="str">
        <f t="shared" si="11"/>
        <v/>
      </c>
    </row>
    <row r="75" spans="1:9" x14ac:dyDescent="0.2">
      <c r="A75" s="5">
        <v>1854</v>
      </c>
      <c r="B75" s="6">
        <v>0.11892800000000001</v>
      </c>
      <c r="C75" s="6">
        <f t="shared" si="7"/>
        <v>7.5928000000000009E-2</v>
      </c>
      <c r="D75" s="6">
        <f t="shared" si="8"/>
        <v>140.77051200000002</v>
      </c>
      <c r="E75" s="6">
        <f t="shared" si="12"/>
        <v>-10.418386000000002</v>
      </c>
      <c r="F75" s="6">
        <f t="shared" si="13"/>
        <v>-7.2499999999999648E-5</v>
      </c>
      <c r="G75" s="6">
        <f t="shared" si="9"/>
        <v>110.44791326919599</v>
      </c>
      <c r="H75" s="7">
        <f t="shared" si="10"/>
        <v>1.4012320579177961E-12</v>
      </c>
      <c r="I75" s="8" t="str">
        <f t="shared" si="11"/>
        <v/>
      </c>
    </row>
    <row r="76" spans="1:9" x14ac:dyDescent="0.2">
      <c r="A76" s="5">
        <v>1852</v>
      </c>
      <c r="B76" s="6">
        <v>0.11960899999999999</v>
      </c>
      <c r="C76" s="6">
        <f t="shared" si="7"/>
        <v>7.6608999999999997E-2</v>
      </c>
      <c r="D76" s="6">
        <f t="shared" si="8"/>
        <v>141.87986799999999</v>
      </c>
      <c r="E76" s="6">
        <f t="shared" si="12"/>
        <v>-10.570923000000002</v>
      </c>
      <c r="F76" s="6">
        <f t="shared" si="13"/>
        <v>-3.4399999999999709E-4</v>
      </c>
      <c r="G76" s="6">
        <f t="shared" si="9"/>
        <v>111.34439942848272</v>
      </c>
      <c r="H76" s="7">
        <f t="shared" si="10"/>
        <v>2.977148452299155E-13</v>
      </c>
      <c r="I76" s="8" t="str">
        <f t="shared" si="11"/>
        <v/>
      </c>
    </row>
    <row r="77" spans="1:9" x14ac:dyDescent="0.2">
      <c r="A77" s="5">
        <v>1850</v>
      </c>
      <c r="B77" s="6">
        <v>0.12030399999999999</v>
      </c>
      <c r="C77" s="6">
        <f t="shared" si="7"/>
        <v>7.7303999999999998E-2</v>
      </c>
      <c r="D77" s="6">
        <f t="shared" si="8"/>
        <v>143.01239999999999</v>
      </c>
      <c r="E77" s="6">
        <f t="shared" si="12"/>
        <v>-10.724836000000002</v>
      </c>
      <c r="F77" s="6">
        <f t="shared" si="13"/>
        <v>-1.810000000000006E-4</v>
      </c>
      <c r="G77" s="6">
        <f t="shared" si="9"/>
        <v>112.2579255528649</v>
      </c>
      <c r="H77" s="7">
        <f t="shared" si="10"/>
        <v>5.7046498660894082E-13</v>
      </c>
      <c r="I77" s="8" t="str">
        <f t="shared" si="11"/>
        <v/>
      </c>
    </row>
    <row r="78" spans="1:9" x14ac:dyDescent="0.2">
      <c r="A78" s="5">
        <v>1848</v>
      </c>
      <c r="B78" s="6">
        <v>0.120333</v>
      </c>
      <c r="C78" s="6">
        <f t="shared" si="7"/>
        <v>7.7332999999999999E-2</v>
      </c>
      <c r="D78" s="6">
        <f t="shared" si="8"/>
        <v>142.911384</v>
      </c>
      <c r="E78" s="6">
        <f t="shared" si="12"/>
        <v>-10.879473000000001</v>
      </c>
      <c r="F78" s="6">
        <f t="shared" si="13"/>
        <v>8.3249999999999991E-5</v>
      </c>
      <c r="G78" s="6">
        <f t="shared" si="9"/>
        <v>112.29598590913409</v>
      </c>
      <c r="H78" s="7">
        <f t="shared" si="10"/>
        <v>-1.2407107539010766E-12</v>
      </c>
      <c r="I78" s="8" t="str">
        <f t="shared" si="11"/>
        <v/>
      </c>
    </row>
    <row r="79" spans="1:9" x14ac:dyDescent="0.2">
      <c r="A79" s="5">
        <v>1846</v>
      </c>
      <c r="B79" s="6">
        <v>0.11997099999999999</v>
      </c>
      <c r="C79" s="6">
        <f t="shared" si="7"/>
        <v>7.6970999999999998E-2</v>
      </c>
      <c r="D79" s="6">
        <f t="shared" si="8"/>
        <v>142.08846599999998</v>
      </c>
      <c r="E79" s="6">
        <f t="shared" si="12"/>
        <v>-11.033777000000001</v>
      </c>
      <c r="F79" s="6">
        <f t="shared" si="13"/>
        <v>6.5249999999999336E-5</v>
      </c>
      <c r="G79" s="6">
        <f t="shared" si="9"/>
        <v>111.8216116688084</v>
      </c>
      <c r="H79" s="7">
        <f t="shared" si="10"/>
        <v>-1.5762887923113617E-12</v>
      </c>
      <c r="I79" s="8" t="str">
        <f t="shared" si="11"/>
        <v/>
      </c>
    </row>
    <row r="80" spans="1:9" x14ac:dyDescent="0.2">
      <c r="A80" s="5">
        <v>1844</v>
      </c>
      <c r="B80" s="6">
        <v>0.120072</v>
      </c>
      <c r="C80" s="6">
        <f t="shared" si="7"/>
        <v>7.7072000000000002E-2</v>
      </c>
      <c r="D80" s="6">
        <f t="shared" si="8"/>
        <v>142.120768</v>
      </c>
      <c r="E80" s="6">
        <f t="shared" si="12"/>
        <v>-11.18782</v>
      </c>
      <c r="F80" s="6">
        <f t="shared" si="13"/>
        <v>1.0149999999999743E-4</v>
      </c>
      <c r="G80" s="6">
        <f t="shared" si="9"/>
        <v>111.95376270271143</v>
      </c>
      <c r="H80" s="7">
        <f t="shared" si="10"/>
        <v>-1.0145260632701735E-12</v>
      </c>
      <c r="I80" s="8" t="str">
        <f t="shared" si="11"/>
        <v/>
      </c>
    </row>
    <row r="81" spans="1:9" x14ac:dyDescent="0.2">
      <c r="A81" s="5">
        <v>1842</v>
      </c>
      <c r="B81" s="6">
        <v>0.119565</v>
      </c>
      <c r="C81" s="6">
        <f t="shared" si="7"/>
        <v>7.6565000000000008E-2</v>
      </c>
      <c r="D81" s="6">
        <f t="shared" si="8"/>
        <v>141.03273000000002</v>
      </c>
      <c r="E81" s="6">
        <f t="shared" si="12"/>
        <v>-11.341457</v>
      </c>
      <c r="F81" s="6">
        <f t="shared" si="13"/>
        <v>-1.8250000000000904E-5</v>
      </c>
      <c r="G81" s="6">
        <f t="shared" si="9"/>
        <v>111.29140468103982</v>
      </c>
      <c r="H81" s="7">
        <f t="shared" si="10"/>
        <v>5.6090500005561245E-12</v>
      </c>
      <c r="I81" s="8" t="str">
        <f t="shared" si="11"/>
        <v/>
      </c>
    </row>
    <row r="82" spans="1:9" x14ac:dyDescent="0.2">
      <c r="A82" s="5">
        <v>1840</v>
      </c>
      <c r="B82" s="6">
        <v>0.120145</v>
      </c>
      <c r="C82" s="6">
        <f t="shared" si="7"/>
        <v>7.7145000000000005E-2</v>
      </c>
      <c r="D82" s="6">
        <f t="shared" si="8"/>
        <v>141.9468</v>
      </c>
      <c r="E82" s="6">
        <f t="shared" si="12"/>
        <v>-11.495167</v>
      </c>
      <c r="F82" s="6">
        <f t="shared" si="13"/>
        <v>-1.0999999999997123E-5</v>
      </c>
      <c r="G82" s="6">
        <f t="shared" si="9"/>
        <v>112.04797180642352</v>
      </c>
      <c r="H82" s="7">
        <f t="shared" si="10"/>
        <v>9.3691862170088991E-12</v>
      </c>
      <c r="I82" s="8" t="str">
        <f t="shared" si="11"/>
        <v/>
      </c>
    </row>
    <row r="83" spans="1:9" x14ac:dyDescent="0.2">
      <c r="A83" s="5">
        <v>1838</v>
      </c>
      <c r="B83" s="6">
        <v>0.11960899999999999</v>
      </c>
      <c r="C83" s="6">
        <f t="shared" si="7"/>
        <v>7.6608999999999997E-2</v>
      </c>
      <c r="D83" s="6">
        <f t="shared" si="8"/>
        <v>140.80734200000001</v>
      </c>
      <c r="E83" s="6">
        <f t="shared" si="12"/>
        <v>-11.648921</v>
      </c>
      <c r="F83" s="6">
        <f t="shared" si="13"/>
        <v>8.7000000000000272E-5</v>
      </c>
      <c r="G83" s="6">
        <f t="shared" si="9"/>
        <v>111.34987142848271</v>
      </c>
      <c r="H83" s="7">
        <f t="shared" si="10"/>
        <v>-1.1772291939272703E-12</v>
      </c>
      <c r="I83" s="8" t="str">
        <f t="shared" si="11"/>
        <v/>
      </c>
    </row>
    <row r="84" spans="1:9" x14ac:dyDescent="0.2">
      <c r="A84" s="5">
        <v>1836</v>
      </c>
      <c r="B84" s="6">
        <v>0.119797</v>
      </c>
      <c r="C84" s="6">
        <f t="shared" si="7"/>
        <v>7.6797000000000004E-2</v>
      </c>
      <c r="D84" s="6">
        <f t="shared" si="8"/>
        <v>140.999292</v>
      </c>
      <c r="E84" s="6">
        <f t="shared" si="12"/>
        <v>-11.802327</v>
      </c>
      <c r="F84" s="6">
        <f t="shared" si="13"/>
        <v>9.4249999999997114E-5</v>
      </c>
      <c r="G84" s="6">
        <f t="shared" si="9"/>
        <v>111.5943515311933</v>
      </c>
      <c r="H84" s="7">
        <f t="shared" si="10"/>
        <v>-1.0890590047214141E-12</v>
      </c>
      <c r="I84" s="8" t="str">
        <f t="shared" si="11"/>
        <v/>
      </c>
    </row>
    <row r="85" spans="1:9" x14ac:dyDescent="0.2">
      <c r="A85" s="5">
        <v>1834</v>
      </c>
      <c r="B85" s="6">
        <v>0.119232</v>
      </c>
      <c r="C85" s="6">
        <f t="shared" si="7"/>
        <v>7.6232000000000008E-2</v>
      </c>
      <c r="D85" s="6">
        <f t="shared" si="8"/>
        <v>139.80948800000002</v>
      </c>
      <c r="E85" s="6">
        <f t="shared" si="12"/>
        <v>-11.955356</v>
      </c>
      <c r="F85" s="6">
        <f t="shared" si="13"/>
        <v>7.5999999999999679E-5</v>
      </c>
      <c r="G85" s="6">
        <f t="shared" si="9"/>
        <v>110.86074079698331</v>
      </c>
      <c r="H85" s="7">
        <f t="shared" si="10"/>
        <v>-1.3416979008968448E-12</v>
      </c>
      <c r="I85" s="8" t="str">
        <f t="shared" si="11"/>
        <v/>
      </c>
    </row>
    <row r="86" spans="1:9" x14ac:dyDescent="0.2">
      <c r="A86" s="5">
        <v>1832</v>
      </c>
      <c r="B86" s="6">
        <v>0.119493</v>
      </c>
      <c r="C86" s="6">
        <f t="shared" si="7"/>
        <v>7.6493000000000005E-2</v>
      </c>
      <c r="D86" s="6">
        <f t="shared" si="8"/>
        <v>140.135176</v>
      </c>
      <c r="E86" s="6">
        <f t="shared" si="12"/>
        <v>-12.108081</v>
      </c>
      <c r="F86" s="6">
        <f t="shared" si="13"/>
        <v>-1.5224999999999961E-4</v>
      </c>
      <c r="G86" s="6">
        <f t="shared" si="9"/>
        <v>111.19910800340598</v>
      </c>
      <c r="H86" s="7">
        <f t="shared" si="10"/>
        <v>6.7179158346779109E-13</v>
      </c>
      <c r="I86" s="8" t="str">
        <f t="shared" si="11"/>
        <v/>
      </c>
    </row>
    <row r="87" spans="1:9" x14ac:dyDescent="0.2">
      <c r="A87" s="5">
        <v>1830</v>
      </c>
      <c r="B87" s="6">
        <v>0.119841</v>
      </c>
      <c r="C87" s="6">
        <f t="shared" si="7"/>
        <v>7.6841000000000007E-2</v>
      </c>
      <c r="D87" s="6">
        <f t="shared" si="8"/>
        <v>140.61903000000001</v>
      </c>
      <c r="E87" s="6">
        <f t="shared" si="12"/>
        <v>-12.261415</v>
      </c>
      <c r="F87" s="6">
        <f t="shared" si="13"/>
        <v>-1.5199999999999936E-4</v>
      </c>
      <c r="G87" s="6">
        <f t="shared" si="9"/>
        <v>111.6495682786362</v>
      </c>
      <c r="H87" s="7">
        <f t="shared" si="10"/>
        <v>6.7562236332973077E-13</v>
      </c>
      <c r="I87" s="8" t="str">
        <f t="shared" si="11"/>
        <v/>
      </c>
    </row>
    <row r="88" spans="1:9" x14ac:dyDescent="0.2">
      <c r="A88" s="5">
        <v>1828</v>
      </c>
      <c r="B88" s="6">
        <v>0.120101</v>
      </c>
      <c r="C88" s="6">
        <f t="shared" si="7"/>
        <v>7.7101000000000003E-2</v>
      </c>
      <c r="D88" s="6">
        <f t="shared" si="8"/>
        <v>140.940628</v>
      </c>
      <c r="E88" s="6">
        <f t="shared" si="12"/>
        <v>-12.415357</v>
      </c>
      <c r="F88" s="6">
        <f t="shared" si="13"/>
        <v>-4.3249999999998151E-5</v>
      </c>
      <c r="G88" s="6">
        <f t="shared" si="9"/>
        <v>111.98559905898061</v>
      </c>
      <c r="H88" s="7">
        <f t="shared" si="10"/>
        <v>2.3815879378109841E-12</v>
      </c>
      <c r="I88" s="8" t="str">
        <f t="shared" si="11"/>
        <v/>
      </c>
    </row>
    <row r="89" spans="1:9" x14ac:dyDescent="0.2">
      <c r="A89" s="5">
        <v>1826</v>
      </c>
      <c r="B89" s="6">
        <v>0.120014</v>
      </c>
      <c r="C89" s="6">
        <f t="shared" si="7"/>
        <v>7.7013999999999999E-2</v>
      </c>
      <c r="D89" s="6">
        <f t="shared" si="8"/>
        <v>140.62756400000001</v>
      </c>
      <c r="E89" s="6">
        <f t="shared" si="12"/>
        <v>-12.569472000000001</v>
      </c>
      <c r="F89" s="6">
        <f t="shared" si="13"/>
        <v>0</v>
      </c>
      <c r="G89" s="6">
        <f t="shared" si="9"/>
        <v>111.87333199017306</v>
      </c>
      <c r="H89" s="7" t="str">
        <f t="shared" si="10"/>
        <v/>
      </c>
      <c r="I89" s="8" t="str">
        <f t="shared" si="11"/>
        <v/>
      </c>
    </row>
    <row r="90" spans="1:9" x14ac:dyDescent="0.2">
      <c r="A90" s="5">
        <v>1824</v>
      </c>
      <c r="B90" s="6">
        <v>0.120101</v>
      </c>
      <c r="C90" s="6">
        <f t="shared" si="7"/>
        <v>7.7101000000000003E-2</v>
      </c>
      <c r="D90" s="6">
        <f t="shared" si="8"/>
        <v>140.63222400000001</v>
      </c>
      <c r="E90" s="6">
        <f t="shared" si="12"/>
        <v>-12.723587000000002</v>
      </c>
      <c r="F90" s="6">
        <f t="shared" si="13"/>
        <v>-1.1600000000000152E-4</v>
      </c>
      <c r="G90" s="6">
        <f t="shared" si="9"/>
        <v>111.98542505898061</v>
      </c>
      <c r="H90" s="7">
        <f t="shared" si="10"/>
        <v>8.8796136436352742E-13</v>
      </c>
      <c r="I90" s="8" t="str">
        <f t="shared" si="11"/>
        <v/>
      </c>
    </row>
    <row r="91" spans="1:9" x14ac:dyDescent="0.2">
      <c r="A91" s="5">
        <v>1822</v>
      </c>
      <c r="B91" s="6">
        <v>0.120478</v>
      </c>
      <c r="C91" s="6">
        <f t="shared" si="7"/>
        <v>7.7478000000000005E-2</v>
      </c>
      <c r="D91" s="6">
        <f t="shared" si="8"/>
        <v>141.16491600000001</v>
      </c>
      <c r="E91" s="6">
        <f t="shared" si="12"/>
        <v>-12.878166000000002</v>
      </c>
      <c r="F91" s="6">
        <f t="shared" si="13"/>
        <v>-6.1749999999999305E-5</v>
      </c>
      <c r="G91" s="6">
        <f t="shared" si="9"/>
        <v>112.47040769048003</v>
      </c>
      <c r="H91" s="7">
        <f t="shared" si="10"/>
        <v>1.6752972042803755E-12</v>
      </c>
      <c r="I91" s="8" t="str">
        <f t="shared" si="11"/>
        <v/>
      </c>
    </row>
    <row r="92" spans="1:9" x14ac:dyDescent="0.2">
      <c r="A92" s="5">
        <v>1820</v>
      </c>
      <c r="B92" s="6">
        <v>0.120348</v>
      </c>
      <c r="C92" s="6">
        <f t="shared" si="7"/>
        <v>7.7348E-2</v>
      </c>
      <c r="D92" s="6">
        <f t="shared" si="8"/>
        <v>140.77336</v>
      </c>
      <c r="E92" s="6">
        <f t="shared" si="12"/>
        <v>-13.032992000000002</v>
      </c>
      <c r="F92" s="6">
        <f t="shared" si="13"/>
        <v>6.5249999999999336E-5</v>
      </c>
      <c r="G92" s="6">
        <f t="shared" si="9"/>
        <v>112.30343230030782</v>
      </c>
      <c r="H92" s="7">
        <f t="shared" si="10"/>
        <v>-1.5830807572097603E-12</v>
      </c>
      <c r="I92" s="8" t="str">
        <f t="shared" si="11"/>
        <v/>
      </c>
    </row>
    <row r="93" spans="1:9" x14ac:dyDescent="0.2">
      <c r="A93" s="5">
        <v>1818</v>
      </c>
      <c r="B93" s="6">
        <v>0.120217</v>
      </c>
      <c r="C93" s="6">
        <f t="shared" si="7"/>
        <v>7.7217000000000008E-2</v>
      </c>
      <c r="D93" s="6">
        <f t="shared" si="8"/>
        <v>140.38050600000003</v>
      </c>
      <c r="E93" s="6">
        <f t="shared" si="12"/>
        <v>-13.187557000000002</v>
      </c>
      <c r="F93" s="6">
        <f t="shared" si="13"/>
        <v>8.3500000000000241E-5</v>
      </c>
      <c r="G93" s="6">
        <f t="shared" si="9"/>
        <v>112.13543448405736</v>
      </c>
      <c r="H93" s="7">
        <f t="shared" si="10"/>
        <v>-1.2352274973679244E-12</v>
      </c>
      <c r="I93" s="8" t="str">
        <f t="shared" si="11"/>
        <v/>
      </c>
    </row>
    <row r="94" spans="1:9" x14ac:dyDescent="0.2">
      <c r="A94" s="5">
        <v>1816</v>
      </c>
      <c r="B94" s="6">
        <v>0.120014</v>
      </c>
      <c r="C94" s="6">
        <f t="shared" si="7"/>
        <v>7.7013999999999999E-2</v>
      </c>
      <c r="D94" s="6">
        <f t="shared" si="8"/>
        <v>139.85742400000001</v>
      </c>
      <c r="E94" s="6">
        <f t="shared" si="12"/>
        <v>-13.341788000000001</v>
      </c>
      <c r="F94" s="6">
        <f t="shared" si="13"/>
        <v>1.1225000000000124E-4</v>
      </c>
      <c r="G94" s="6">
        <f t="shared" si="9"/>
        <v>111.87550799017305</v>
      </c>
      <c r="H94" s="7">
        <f t="shared" si="10"/>
        <v>-9.1672532035192108E-13</v>
      </c>
      <c r="I94" s="8" t="str">
        <f t="shared" si="11"/>
        <v/>
      </c>
    </row>
    <row r="95" spans="1:9" x14ac:dyDescent="0.2">
      <c r="A95" s="5">
        <v>1814</v>
      </c>
      <c r="B95" s="6">
        <v>0.119768</v>
      </c>
      <c r="C95" s="6">
        <f t="shared" si="7"/>
        <v>7.6768000000000003E-2</v>
      </c>
      <c r="D95" s="6">
        <f t="shared" si="8"/>
        <v>139.25715200000002</v>
      </c>
      <c r="E95" s="6">
        <f t="shared" si="12"/>
        <v>-13.495570000000001</v>
      </c>
      <c r="F95" s="6">
        <f t="shared" si="13"/>
        <v>-2.1750000000000935E-5</v>
      </c>
      <c r="G95" s="6">
        <f t="shared" si="9"/>
        <v>111.56101517492411</v>
      </c>
      <c r="H95" s="7">
        <f t="shared" si="10"/>
        <v>4.7178459133625678E-12</v>
      </c>
      <c r="I95" s="8" t="str">
        <f t="shared" si="11"/>
        <v/>
      </c>
    </row>
    <row r="96" spans="1:9" x14ac:dyDescent="0.2">
      <c r="A96" s="5">
        <v>1812</v>
      </c>
      <c r="B96" s="6">
        <v>0.120101</v>
      </c>
      <c r="C96" s="6">
        <f t="shared" si="7"/>
        <v>7.7101000000000003E-2</v>
      </c>
      <c r="D96" s="6">
        <f t="shared" si="8"/>
        <v>139.70701199999999</v>
      </c>
      <c r="E96" s="6">
        <f t="shared" si="12"/>
        <v>-13.649439000000001</v>
      </c>
      <c r="F96" s="6">
        <f t="shared" si="13"/>
        <v>2.9000000000001247E-5</v>
      </c>
      <c r="G96" s="6">
        <f t="shared" si="9"/>
        <v>111.98606505898061</v>
      </c>
      <c r="H96" s="7">
        <f t="shared" si="10"/>
        <v>-3.5518657563553262E-12</v>
      </c>
      <c r="I96" s="8" t="str">
        <f t="shared" si="11"/>
        <v/>
      </c>
    </row>
    <row r="97" spans="1:9" x14ac:dyDescent="0.2">
      <c r="A97" s="5">
        <v>1810</v>
      </c>
      <c r="B97" s="6">
        <v>0.11965199999999999</v>
      </c>
      <c r="C97" s="6">
        <f t="shared" si="7"/>
        <v>7.6651999999999998E-2</v>
      </c>
      <c r="D97" s="6">
        <f t="shared" si="8"/>
        <v>138.74011999999999</v>
      </c>
      <c r="E97" s="6">
        <f t="shared" si="12"/>
        <v>-13.803192000000001</v>
      </c>
      <c r="F97" s="6">
        <f t="shared" si="13"/>
        <v>1.6299999999999995E-4</v>
      </c>
      <c r="G97" s="6">
        <f t="shared" si="9"/>
        <v>111.41384774984736</v>
      </c>
      <c r="H97" s="7">
        <f t="shared" si="10"/>
        <v>-6.2869806690822484E-13</v>
      </c>
      <c r="I97" s="8" t="str">
        <f t="shared" si="11"/>
        <v/>
      </c>
    </row>
    <row r="98" spans="1:9" x14ac:dyDescent="0.2">
      <c r="A98" s="5">
        <v>1808</v>
      </c>
      <c r="B98" s="6">
        <v>0.119449</v>
      </c>
      <c r="C98" s="6">
        <f t="shared" si="7"/>
        <v>7.6449000000000003E-2</v>
      </c>
      <c r="D98" s="6">
        <f t="shared" si="8"/>
        <v>138.21979200000001</v>
      </c>
      <c r="E98" s="6">
        <f t="shared" si="12"/>
        <v>-13.956293000000001</v>
      </c>
      <c r="F98" s="6">
        <f t="shared" si="13"/>
        <v>-4.000000000000184E-5</v>
      </c>
      <c r="G98" s="6">
        <f t="shared" si="9"/>
        <v>111.15554525596308</v>
      </c>
      <c r="H98" s="7">
        <f t="shared" si="10"/>
        <v>2.5560049957679809E-12</v>
      </c>
      <c r="I98" s="8" t="str">
        <f t="shared" si="11"/>
        <v/>
      </c>
    </row>
    <row r="99" spans="1:9" x14ac:dyDescent="0.2">
      <c r="A99" s="5">
        <v>1806</v>
      </c>
      <c r="B99" s="6">
        <v>0.119812</v>
      </c>
      <c r="C99" s="6">
        <f t="shared" si="7"/>
        <v>7.6812000000000005E-2</v>
      </c>
      <c r="D99" s="6">
        <f t="shared" si="8"/>
        <v>138.72247200000001</v>
      </c>
      <c r="E99" s="6">
        <f t="shared" si="12"/>
        <v>-14.109554000000001</v>
      </c>
      <c r="F99" s="6">
        <f t="shared" si="13"/>
        <v>-1.197500000000018E-4</v>
      </c>
      <c r="G99" s="6">
        <f t="shared" si="9"/>
        <v>111.61670992236702</v>
      </c>
      <c r="H99" s="7">
        <f t="shared" si="10"/>
        <v>8.5732255789797974E-13</v>
      </c>
      <c r="I99" s="8" t="str">
        <f t="shared" si="11"/>
        <v/>
      </c>
    </row>
    <row r="100" spans="1:9" x14ac:dyDescent="0.2">
      <c r="A100" s="5">
        <v>1804</v>
      </c>
      <c r="B100" s="6">
        <v>0.11992800000000001</v>
      </c>
      <c r="C100" s="6">
        <f t="shared" si="7"/>
        <v>7.692800000000001E-2</v>
      </c>
      <c r="D100" s="6">
        <f t="shared" si="8"/>
        <v>138.77811200000002</v>
      </c>
      <c r="E100" s="6">
        <f t="shared" si="12"/>
        <v>-14.263294000000002</v>
      </c>
      <c r="F100" s="6">
        <f t="shared" si="13"/>
        <v>1.9575000000000148E-4</v>
      </c>
      <c r="G100" s="6">
        <f t="shared" si="9"/>
        <v>111.76384734744376</v>
      </c>
      <c r="H100" s="7">
        <f t="shared" si="10"/>
        <v>-5.2515817330301152E-13</v>
      </c>
      <c r="I100" s="8" t="str">
        <f t="shared" si="11"/>
        <v/>
      </c>
    </row>
    <row r="101" spans="1:9" x14ac:dyDescent="0.2">
      <c r="A101" s="5">
        <v>1802</v>
      </c>
      <c r="B101" s="6">
        <v>0.119029</v>
      </c>
      <c r="C101" s="6">
        <f t="shared" si="7"/>
        <v>7.6028999999999999E-2</v>
      </c>
      <c r="D101" s="6">
        <f t="shared" si="8"/>
        <v>137.00425799999999</v>
      </c>
      <c r="E101" s="6">
        <f t="shared" si="12"/>
        <v>-14.416251000000003</v>
      </c>
      <c r="F101" s="6">
        <f t="shared" si="13"/>
        <v>4.3850000000000139E-4</v>
      </c>
      <c r="G101" s="6">
        <f t="shared" si="9"/>
        <v>110.62533030309902</v>
      </c>
      <c r="H101" s="7">
        <f t="shared" si="10"/>
        <v>-2.3204677609194052E-13</v>
      </c>
      <c r="I101" s="8" t="str">
        <f t="shared" si="11"/>
        <v/>
      </c>
    </row>
    <row r="102" spans="1:9" x14ac:dyDescent="0.2">
      <c r="A102" s="5">
        <v>1800</v>
      </c>
      <c r="B102" s="6">
        <v>0.118174</v>
      </c>
      <c r="C102" s="6">
        <f t="shared" si="7"/>
        <v>7.5174000000000005E-2</v>
      </c>
      <c r="D102" s="6">
        <f t="shared" si="8"/>
        <v>135.31319999999999</v>
      </c>
      <c r="E102" s="6">
        <f t="shared" si="12"/>
        <v>-14.567454000000003</v>
      </c>
      <c r="F102" s="6">
        <f t="shared" si="13"/>
        <v>1.1949999999999808E-4</v>
      </c>
      <c r="G102" s="6">
        <f t="shared" si="9"/>
        <v>109.54424600619718</v>
      </c>
      <c r="H102" s="7">
        <f t="shared" si="10"/>
        <v>-8.4316432220189385E-13</v>
      </c>
      <c r="I102" s="8" t="str">
        <f t="shared" si="11"/>
        <v/>
      </c>
    </row>
    <row r="103" spans="1:9" x14ac:dyDescent="0.2">
      <c r="A103" s="5">
        <v>1798</v>
      </c>
      <c r="B103" s="6">
        <v>0.118551</v>
      </c>
      <c r="C103" s="6">
        <f t="shared" si="7"/>
        <v>7.5551000000000007E-2</v>
      </c>
      <c r="D103" s="6">
        <f t="shared" si="8"/>
        <v>135.840698</v>
      </c>
      <c r="E103" s="6">
        <f t="shared" si="12"/>
        <v>-14.718179000000003</v>
      </c>
      <c r="F103" s="6">
        <f t="shared" si="13"/>
        <v>-1.8125000000000085E-4</v>
      </c>
      <c r="G103" s="6">
        <f t="shared" si="9"/>
        <v>110.0201806376966</v>
      </c>
      <c r="H103" s="7">
        <f t="shared" si="10"/>
        <v>5.583221975473653E-13</v>
      </c>
      <c r="I103" s="8" t="str">
        <f t="shared" si="11"/>
        <v/>
      </c>
    </row>
    <row r="104" spans="1:9" x14ac:dyDescent="0.2">
      <c r="A104" s="5">
        <v>1796</v>
      </c>
      <c r="B104" s="6">
        <v>0.118899</v>
      </c>
      <c r="C104" s="6">
        <f t="shared" si="7"/>
        <v>7.5899000000000008E-2</v>
      </c>
      <c r="D104" s="6">
        <f t="shared" si="8"/>
        <v>136.314604</v>
      </c>
      <c r="E104" s="6">
        <f t="shared" si="12"/>
        <v>-14.869629000000003</v>
      </c>
      <c r="F104" s="6">
        <f t="shared" si="13"/>
        <v>-2.2824999999999929E-4</v>
      </c>
      <c r="G104" s="6">
        <f t="shared" si="9"/>
        <v>110.45880891292681</v>
      </c>
      <c r="H104" s="7">
        <f t="shared" si="10"/>
        <v>4.451230928648455E-13</v>
      </c>
      <c r="I104" s="8" t="str">
        <f t="shared" si="11"/>
        <v/>
      </c>
    </row>
    <row r="105" spans="1:9" x14ac:dyDescent="0.2">
      <c r="A105" s="5">
        <v>1794</v>
      </c>
      <c r="B105" s="6">
        <v>0.119464</v>
      </c>
      <c r="C105" s="6">
        <f t="shared" si="7"/>
        <v>7.6464000000000004E-2</v>
      </c>
      <c r="D105" s="6">
        <f t="shared" si="8"/>
        <v>137.17641600000002</v>
      </c>
      <c r="E105" s="6">
        <f t="shared" si="12"/>
        <v>-15.021992000000003</v>
      </c>
      <c r="F105" s="6">
        <f t="shared" si="13"/>
        <v>-1.8099999999999714E-4</v>
      </c>
      <c r="G105" s="6">
        <f t="shared" si="9"/>
        <v>111.16981964713679</v>
      </c>
      <c r="H105" s="7">
        <f t="shared" si="10"/>
        <v>5.6493552115799794E-13</v>
      </c>
      <c r="I105" s="8" t="str">
        <f t="shared" si="11"/>
        <v/>
      </c>
    </row>
    <row r="106" spans="1:9" x14ac:dyDescent="0.2">
      <c r="A106" s="5">
        <v>1792</v>
      </c>
      <c r="B106" s="6">
        <v>0.11962299999999999</v>
      </c>
      <c r="C106" s="6">
        <f t="shared" si="7"/>
        <v>7.6622999999999997E-2</v>
      </c>
      <c r="D106" s="6">
        <f t="shared" si="8"/>
        <v>137.30841599999999</v>
      </c>
      <c r="E106" s="6">
        <f t="shared" si="12"/>
        <v>-15.175079000000002</v>
      </c>
      <c r="F106" s="6">
        <f t="shared" si="13"/>
        <v>7.6249999999999929E-5</v>
      </c>
      <c r="G106" s="6">
        <f t="shared" si="9"/>
        <v>111.36959139357818</v>
      </c>
      <c r="H106" s="7">
        <f t="shared" si="10"/>
        <v>-1.3434370908403996E-12</v>
      </c>
      <c r="I106" s="8" t="str">
        <f t="shared" si="11"/>
        <v/>
      </c>
    </row>
    <row r="107" spans="1:9" x14ac:dyDescent="0.2">
      <c r="A107" s="5">
        <v>1790</v>
      </c>
      <c r="B107" s="6">
        <v>0.119159</v>
      </c>
      <c r="C107" s="6">
        <f t="shared" si="7"/>
        <v>7.6159000000000004E-2</v>
      </c>
      <c r="D107" s="6">
        <f t="shared" si="8"/>
        <v>136.32461000000001</v>
      </c>
      <c r="E107" s="6">
        <f t="shared" si="12"/>
        <v>-15.327861000000002</v>
      </c>
      <c r="F107" s="6">
        <f t="shared" si="13"/>
        <v>9.0499999999996833E-5</v>
      </c>
      <c r="G107" s="6">
        <f t="shared" si="9"/>
        <v>110.78753769327122</v>
      </c>
      <c r="H107" s="7">
        <f t="shared" si="10"/>
        <v>-1.1259857314371867E-12</v>
      </c>
      <c r="I107" s="8" t="str">
        <f t="shared" si="11"/>
        <v/>
      </c>
    </row>
    <row r="108" spans="1:9" x14ac:dyDescent="0.2">
      <c r="A108" s="5">
        <v>1788</v>
      </c>
      <c r="B108" s="6">
        <v>0.11926100000000001</v>
      </c>
      <c r="C108" s="6">
        <f t="shared" si="7"/>
        <v>7.6261000000000009E-2</v>
      </c>
      <c r="D108" s="6">
        <f t="shared" si="8"/>
        <v>136.354668</v>
      </c>
      <c r="E108" s="6">
        <f t="shared" si="12"/>
        <v>-15.480281000000002</v>
      </c>
      <c r="F108" s="6">
        <f t="shared" si="13"/>
        <v>4.7000000000001901E-5</v>
      </c>
      <c r="G108" s="6">
        <f t="shared" si="9"/>
        <v>110.91528515325251</v>
      </c>
      <c r="H108" s="7">
        <f t="shared" si="10"/>
        <v>-2.1706214901689297E-12</v>
      </c>
      <c r="I108" s="8" t="str">
        <f t="shared" si="11"/>
        <v/>
      </c>
    </row>
    <row r="109" spans="1:9" x14ac:dyDescent="0.2">
      <c r="A109" s="5">
        <v>1786</v>
      </c>
      <c r="B109" s="6">
        <v>0.11897099999999999</v>
      </c>
      <c r="C109" s="6">
        <f t="shared" si="7"/>
        <v>7.5970999999999997E-2</v>
      </c>
      <c r="D109" s="6">
        <f t="shared" si="8"/>
        <v>135.68420599999999</v>
      </c>
      <c r="E109" s="6">
        <f t="shared" si="12"/>
        <v>-15.632513000000001</v>
      </c>
      <c r="F109" s="6">
        <f t="shared" si="13"/>
        <v>1.1000000000000593E-5</v>
      </c>
      <c r="G109" s="6">
        <f t="shared" si="9"/>
        <v>110.55266159056065</v>
      </c>
      <c r="H109" s="7">
        <f t="shared" si="10"/>
        <v>-9.2441519157263605E-12</v>
      </c>
      <c r="I109" s="8" t="str">
        <f t="shared" si="11"/>
        <v/>
      </c>
    </row>
    <row r="110" spans="1:9" x14ac:dyDescent="0.2">
      <c r="A110" s="5">
        <v>1784</v>
      </c>
      <c r="B110" s="6">
        <v>0.119217</v>
      </c>
      <c r="C110" s="6">
        <f t="shared" si="7"/>
        <v>7.6217000000000007E-2</v>
      </c>
      <c r="D110" s="6">
        <f t="shared" si="8"/>
        <v>135.97112800000002</v>
      </c>
      <c r="E110" s="6">
        <f t="shared" si="12"/>
        <v>-15.784701000000002</v>
      </c>
      <c r="F110" s="6">
        <f t="shared" si="13"/>
        <v>-9.7750000000000614E-5</v>
      </c>
      <c r="G110" s="6">
        <f t="shared" si="9"/>
        <v>110.8597744058096</v>
      </c>
      <c r="H110" s="7">
        <f t="shared" si="10"/>
        <v>1.0431524459067889E-12</v>
      </c>
      <c r="I110" s="8" t="str">
        <f t="shared" si="11"/>
        <v/>
      </c>
    </row>
    <row r="111" spans="1:9" x14ac:dyDescent="0.2">
      <c r="A111" s="5">
        <v>1782</v>
      </c>
      <c r="B111" s="6">
        <v>0.119362</v>
      </c>
      <c r="C111" s="6">
        <f t="shared" si="7"/>
        <v>7.6361999999999999E-2</v>
      </c>
      <c r="D111" s="6">
        <f t="shared" si="8"/>
        <v>136.07708399999999</v>
      </c>
      <c r="E111" s="6">
        <f t="shared" si="12"/>
        <v>-15.937280000000001</v>
      </c>
      <c r="F111" s="6">
        <f t="shared" si="13"/>
        <v>-1.8249999999997435E-5</v>
      </c>
      <c r="G111" s="6">
        <f t="shared" si="9"/>
        <v>111.04050618715551</v>
      </c>
      <c r="H111" s="7">
        <f t="shared" si="10"/>
        <v>5.5964047994179405E-12</v>
      </c>
      <c r="I111" s="8" t="str">
        <f t="shared" si="11"/>
        <v/>
      </c>
    </row>
    <row r="112" spans="1:9" x14ac:dyDescent="0.2">
      <c r="A112" s="5">
        <v>1780</v>
      </c>
      <c r="B112" s="6">
        <v>0.11928999999999999</v>
      </c>
      <c r="C112" s="6">
        <f t="shared" si="7"/>
        <v>7.6289999999999997E-2</v>
      </c>
      <c r="D112" s="6">
        <f t="shared" si="8"/>
        <v>135.7962</v>
      </c>
      <c r="E112" s="6">
        <f t="shared" si="12"/>
        <v>-16.089932000000001</v>
      </c>
      <c r="F112" s="6">
        <f t="shared" si="13"/>
        <v>-2.1750000000000935E-5</v>
      </c>
      <c r="G112" s="6">
        <f t="shared" si="9"/>
        <v>110.95090750952167</v>
      </c>
      <c r="H112" s="7">
        <f t="shared" si="10"/>
        <v>4.6920448398296963E-12</v>
      </c>
      <c r="I112" s="8" t="str">
        <f t="shared" si="11"/>
        <v/>
      </c>
    </row>
    <row r="113" spans="1:9" x14ac:dyDescent="0.2">
      <c r="A113" s="5">
        <v>1778</v>
      </c>
      <c r="B113" s="6">
        <v>0.119449</v>
      </c>
      <c r="C113" s="6">
        <f t="shared" si="7"/>
        <v>7.6449000000000003E-2</v>
      </c>
      <c r="D113" s="6">
        <f t="shared" si="8"/>
        <v>135.926322</v>
      </c>
      <c r="E113" s="6">
        <f t="shared" si="12"/>
        <v>-16.242671000000001</v>
      </c>
      <c r="F113" s="6">
        <f t="shared" si="13"/>
        <v>-2.5250000000000966E-5</v>
      </c>
      <c r="G113" s="6">
        <f t="shared" si="9"/>
        <v>111.14845325596308</v>
      </c>
      <c r="H113" s="7">
        <f t="shared" si="10"/>
        <v>4.0488584812638447E-12</v>
      </c>
      <c r="I113" s="8" t="str">
        <f t="shared" si="11"/>
        <v/>
      </c>
    </row>
    <row r="114" spans="1:9" x14ac:dyDescent="0.2">
      <c r="A114" s="5">
        <v>1776</v>
      </c>
      <c r="B114" s="6">
        <v>0.119391</v>
      </c>
      <c r="C114" s="6">
        <f t="shared" si="7"/>
        <v>7.6391000000000001E-2</v>
      </c>
      <c r="D114" s="6">
        <f t="shared" si="8"/>
        <v>135.67041599999999</v>
      </c>
      <c r="E114" s="6">
        <f t="shared" si="12"/>
        <v>-16.395511000000003</v>
      </c>
      <c r="F114" s="6">
        <f t="shared" si="13"/>
        <v>-1.1000000000000593E-5</v>
      </c>
      <c r="G114" s="6">
        <f t="shared" si="9"/>
        <v>111.07650854342469</v>
      </c>
      <c r="H114" s="7">
        <f t="shared" si="10"/>
        <v>9.2879547581291996E-12</v>
      </c>
      <c r="I114" s="8" t="str">
        <f t="shared" si="11"/>
        <v/>
      </c>
    </row>
    <row r="115" spans="1:9" x14ac:dyDescent="0.2">
      <c r="A115" s="5">
        <v>1774</v>
      </c>
      <c r="B115" s="6">
        <v>0.119493</v>
      </c>
      <c r="C115" s="6">
        <f t="shared" si="7"/>
        <v>7.6493000000000005E-2</v>
      </c>
      <c r="D115" s="6">
        <f t="shared" si="8"/>
        <v>135.69858200000002</v>
      </c>
      <c r="E115" s="6">
        <f t="shared" si="12"/>
        <v>-16.548395000000003</v>
      </c>
      <c r="F115" s="6">
        <f t="shared" si="13"/>
        <v>-1.4500000000000624E-5</v>
      </c>
      <c r="G115" s="6">
        <f t="shared" si="9"/>
        <v>111.20282800340598</v>
      </c>
      <c r="H115" s="7">
        <f t="shared" si="10"/>
        <v>7.0540476011393521E-12</v>
      </c>
      <c r="I115" s="8" t="str">
        <f t="shared" si="11"/>
        <v/>
      </c>
    </row>
    <row r="116" spans="1:9" x14ac:dyDescent="0.2">
      <c r="A116" s="5">
        <v>1772</v>
      </c>
      <c r="B116" s="6">
        <v>0.119449</v>
      </c>
      <c r="C116" s="6">
        <f t="shared" si="7"/>
        <v>7.6449000000000003E-2</v>
      </c>
      <c r="D116" s="6">
        <f t="shared" si="8"/>
        <v>135.46762800000002</v>
      </c>
      <c r="E116" s="6">
        <f t="shared" si="12"/>
        <v>-16.701337000000002</v>
      </c>
      <c r="F116" s="6">
        <f t="shared" si="13"/>
        <v>8.7000000000000272E-5</v>
      </c>
      <c r="G116" s="6">
        <f t="shared" si="9"/>
        <v>111.14842525596308</v>
      </c>
      <c r="H116" s="7">
        <f t="shared" si="10"/>
        <v>-1.1750994356055704E-12</v>
      </c>
      <c r="I116" s="8" t="str">
        <f t="shared" si="11"/>
        <v/>
      </c>
    </row>
    <row r="117" spans="1:9" x14ac:dyDescent="0.2">
      <c r="A117" s="5">
        <v>1770</v>
      </c>
      <c r="B117" s="6">
        <v>0.119145</v>
      </c>
      <c r="C117" s="6">
        <f t="shared" si="7"/>
        <v>7.6145000000000004E-2</v>
      </c>
      <c r="D117" s="6">
        <f t="shared" si="8"/>
        <v>134.77665000000002</v>
      </c>
      <c r="E117" s="6">
        <f t="shared" si="12"/>
        <v>-16.853931000000003</v>
      </c>
      <c r="F117" s="6">
        <f t="shared" si="13"/>
        <v>8.7000000000000272E-5</v>
      </c>
      <c r="G117" s="6">
        <f t="shared" si="9"/>
        <v>110.77315972817576</v>
      </c>
      <c r="H117" s="7">
        <f t="shared" si="10"/>
        <v>-1.1711319991898986E-12</v>
      </c>
      <c r="I117" s="8" t="str">
        <f t="shared" si="11"/>
        <v/>
      </c>
    </row>
    <row r="118" spans="1:9" x14ac:dyDescent="0.2">
      <c r="A118" s="5">
        <v>1768</v>
      </c>
      <c r="B118" s="6">
        <v>0.119101</v>
      </c>
      <c r="C118" s="6">
        <f t="shared" si="7"/>
        <v>7.6101000000000002E-2</v>
      </c>
      <c r="D118" s="6">
        <f t="shared" si="8"/>
        <v>134.54656800000001</v>
      </c>
      <c r="E118" s="6">
        <f t="shared" si="12"/>
        <v>-17.006177000000005</v>
      </c>
      <c r="F118" s="6">
        <f t="shared" si="13"/>
        <v>2.9000000000001247E-5</v>
      </c>
      <c r="G118" s="6">
        <f t="shared" si="9"/>
        <v>110.71893298073286</v>
      </c>
      <c r="H118" s="7">
        <f t="shared" si="10"/>
        <v>-3.5116760860143137E-12</v>
      </c>
      <c r="I118" s="8" t="str">
        <f t="shared" si="11"/>
        <v/>
      </c>
    </row>
    <row r="119" spans="1:9" x14ac:dyDescent="0.2">
      <c r="A119" s="5">
        <v>1766</v>
      </c>
      <c r="B119" s="6">
        <v>0.119029</v>
      </c>
      <c r="C119" s="6">
        <f t="shared" si="7"/>
        <v>7.6028999999999999E-2</v>
      </c>
      <c r="D119" s="6">
        <f t="shared" si="8"/>
        <v>134.267214</v>
      </c>
      <c r="E119" s="6">
        <f t="shared" si="12"/>
        <v>-17.158307000000004</v>
      </c>
      <c r="F119" s="6">
        <f t="shared" si="13"/>
        <v>3.6000000000001309E-5</v>
      </c>
      <c r="G119" s="6">
        <f t="shared" si="9"/>
        <v>110.63034230309901</v>
      </c>
      <c r="H119" s="7">
        <f t="shared" si="10"/>
        <v>-2.8265867034353022E-12</v>
      </c>
      <c r="I119" s="8" t="str">
        <f t="shared" si="11"/>
        <v/>
      </c>
    </row>
    <row r="120" spans="1:9" x14ac:dyDescent="0.2">
      <c r="A120" s="5">
        <v>1764</v>
      </c>
      <c r="B120" s="6">
        <v>0.11895699999999999</v>
      </c>
      <c r="C120" s="6">
        <f t="shared" si="7"/>
        <v>7.5956999999999997E-2</v>
      </c>
      <c r="D120" s="6">
        <f t="shared" si="8"/>
        <v>133.988148</v>
      </c>
      <c r="E120" s="6">
        <f t="shared" si="12"/>
        <v>-17.310293000000005</v>
      </c>
      <c r="F120" s="6">
        <f t="shared" si="13"/>
        <v>-2.9000000000001247E-5</v>
      </c>
      <c r="G120" s="6">
        <f t="shared" si="9"/>
        <v>110.54189562546517</v>
      </c>
      <c r="H120" s="7">
        <f t="shared" si="10"/>
        <v>3.5060609863191882E-12</v>
      </c>
      <c r="I120" s="8" t="str">
        <f t="shared" si="11"/>
        <v/>
      </c>
    </row>
    <row r="121" spans="1:9" x14ac:dyDescent="0.2">
      <c r="A121" s="5">
        <v>1762</v>
      </c>
      <c r="B121" s="6">
        <v>0.119145</v>
      </c>
      <c r="C121" s="6">
        <f t="shared" si="7"/>
        <v>7.6145000000000004E-2</v>
      </c>
      <c r="D121" s="6">
        <f t="shared" si="8"/>
        <v>134.16749000000002</v>
      </c>
      <c r="E121" s="6">
        <f t="shared" si="12"/>
        <v>-17.462395000000004</v>
      </c>
      <c r="F121" s="6">
        <f t="shared" si="13"/>
        <v>5.7999999999999025E-5</v>
      </c>
      <c r="G121" s="6">
        <f t="shared" si="9"/>
        <v>110.77246372817575</v>
      </c>
      <c r="H121" s="7">
        <f t="shared" si="10"/>
        <v>-1.7566869612572887E-12</v>
      </c>
      <c r="I121" s="8" t="str">
        <f t="shared" si="11"/>
        <v/>
      </c>
    </row>
    <row r="122" spans="1:9" x14ac:dyDescent="0.2">
      <c r="A122" s="5">
        <v>1760</v>
      </c>
      <c r="B122" s="6">
        <v>0.118725</v>
      </c>
      <c r="C122" s="6">
        <f t="shared" si="7"/>
        <v>7.5725000000000001E-2</v>
      </c>
      <c r="D122" s="6">
        <f t="shared" si="8"/>
        <v>133.27600000000001</v>
      </c>
      <c r="E122" s="6">
        <f t="shared" si="12"/>
        <v>-17.614265000000003</v>
      </c>
      <c r="F122" s="6">
        <f t="shared" si="13"/>
        <v>1.8850000000000117E-4</v>
      </c>
      <c r="G122" s="6">
        <f t="shared" si="9"/>
        <v>110.2582047753117</v>
      </c>
      <c r="H122" s="7">
        <f t="shared" si="10"/>
        <v>-5.3800971602671946E-13</v>
      </c>
      <c r="I122" s="8" t="str">
        <f t="shared" si="11"/>
        <v/>
      </c>
    </row>
    <row r="123" spans="1:9" x14ac:dyDescent="0.2">
      <c r="A123" s="5">
        <v>1758</v>
      </c>
      <c r="B123" s="6">
        <v>0.118391</v>
      </c>
      <c r="C123" s="6">
        <f t="shared" si="7"/>
        <v>7.5391E-2</v>
      </c>
      <c r="D123" s="6">
        <f t="shared" si="8"/>
        <v>132.53737799999999</v>
      </c>
      <c r="E123" s="6">
        <f t="shared" si="12"/>
        <v>-17.765381000000001</v>
      </c>
      <c r="F123" s="6">
        <f t="shared" si="13"/>
        <v>1.884999999999977E-4</v>
      </c>
      <c r="G123" s="6">
        <f t="shared" si="9"/>
        <v>109.84991446517695</v>
      </c>
      <c r="H123" s="7">
        <f t="shared" si="10"/>
        <v>-5.3601744566227256E-13</v>
      </c>
      <c r="I123" s="8" t="str">
        <f t="shared" si="11"/>
        <v/>
      </c>
    </row>
    <row r="124" spans="1:9" x14ac:dyDescent="0.2">
      <c r="A124" s="5">
        <v>1756</v>
      </c>
      <c r="B124" s="6">
        <v>0.11797100000000001</v>
      </c>
      <c r="C124" s="6">
        <f t="shared" si="7"/>
        <v>7.497100000000001E-2</v>
      </c>
      <c r="D124" s="6">
        <f t="shared" si="8"/>
        <v>131.64907600000001</v>
      </c>
      <c r="E124" s="6">
        <f t="shared" si="12"/>
        <v>-17.915743000000003</v>
      </c>
      <c r="F124" s="6">
        <f t="shared" si="13"/>
        <v>-3.6250000000001559E-5</v>
      </c>
      <c r="G124" s="6">
        <f t="shared" si="9"/>
        <v>109.3373355123129</v>
      </c>
      <c r="H124" s="7">
        <f t="shared" si="10"/>
        <v>2.7742847304637841E-12</v>
      </c>
      <c r="I124" s="8" t="str">
        <f t="shared" si="11"/>
        <v/>
      </c>
    </row>
    <row r="125" spans="1:9" x14ac:dyDescent="0.2">
      <c r="A125" s="5">
        <v>1754</v>
      </c>
      <c r="B125" s="6">
        <v>0.118536</v>
      </c>
      <c r="C125" s="6">
        <f t="shared" si="7"/>
        <v>7.5536000000000006E-2</v>
      </c>
      <c r="D125" s="6">
        <f t="shared" si="8"/>
        <v>132.49014400000002</v>
      </c>
      <c r="E125" s="6">
        <f t="shared" si="12"/>
        <v>-18.066250000000004</v>
      </c>
      <c r="F125" s="6">
        <f t="shared" si="13"/>
        <v>-1.3049999999999867E-4</v>
      </c>
      <c r="G125" s="6">
        <f t="shared" si="9"/>
        <v>110.02574624652289</v>
      </c>
      <c r="H125" s="7">
        <f t="shared" si="10"/>
        <v>7.7548672428258893E-13</v>
      </c>
      <c r="I125" s="8" t="str">
        <f t="shared" si="11"/>
        <v/>
      </c>
    </row>
    <row r="126" spans="1:9" x14ac:dyDescent="0.2">
      <c r="A126" s="5">
        <v>1752</v>
      </c>
      <c r="B126" s="6">
        <v>0.118493</v>
      </c>
      <c r="C126" s="6">
        <f t="shared" si="7"/>
        <v>7.5493000000000005E-2</v>
      </c>
      <c r="D126" s="6">
        <f t="shared" si="8"/>
        <v>132.26373599999999</v>
      </c>
      <c r="E126" s="6">
        <f t="shared" si="12"/>
        <v>-18.217279000000005</v>
      </c>
      <c r="F126" s="6">
        <f t="shared" si="13"/>
        <v>1.5574999999999964E-4</v>
      </c>
      <c r="G126" s="6">
        <f t="shared" si="9"/>
        <v>109.97343992515822</v>
      </c>
      <c r="H126" s="7">
        <f t="shared" si="10"/>
        <v>-6.4945686343559716E-13</v>
      </c>
      <c r="I126" s="8" t="str">
        <f t="shared" si="11"/>
        <v/>
      </c>
    </row>
    <row r="127" spans="1:9" x14ac:dyDescent="0.2">
      <c r="A127" s="5">
        <v>1750</v>
      </c>
      <c r="B127" s="6">
        <v>0.117913</v>
      </c>
      <c r="C127" s="6">
        <f t="shared" si="7"/>
        <v>7.4913000000000007E-2</v>
      </c>
      <c r="D127" s="6">
        <f t="shared" si="8"/>
        <v>131.09775000000002</v>
      </c>
      <c r="E127" s="6">
        <f t="shared" si="12"/>
        <v>-18.367685000000005</v>
      </c>
      <c r="F127" s="6">
        <f t="shared" si="13"/>
        <v>1.7025000000000026E-4</v>
      </c>
      <c r="G127" s="6">
        <f t="shared" si="9"/>
        <v>109.26907279977453</v>
      </c>
      <c r="H127" s="7">
        <f t="shared" si="10"/>
        <v>-5.9033793743442242E-13</v>
      </c>
      <c r="I127" s="8" t="str">
        <f t="shared" si="11"/>
        <v/>
      </c>
    </row>
    <row r="128" spans="1:9" x14ac:dyDescent="0.2">
      <c r="A128" s="5">
        <v>1748</v>
      </c>
      <c r="B128" s="6">
        <v>0.117812</v>
      </c>
      <c r="C128" s="6">
        <f t="shared" si="7"/>
        <v>7.4812000000000003E-2</v>
      </c>
      <c r="D128" s="6">
        <f t="shared" si="8"/>
        <v>130.771376</v>
      </c>
      <c r="E128" s="6">
        <f t="shared" si="12"/>
        <v>-18.517410000000005</v>
      </c>
      <c r="F128" s="6">
        <f t="shared" si="13"/>
        <v>1.6299999999999995E-4</v>
      </c>
      <c r="G128" s="6">
        <f t="shared" si="9"/>
        <v>109.1466177658715</v>
      </c>
      <c r="H128" s="7">
        <f t="shared" si="10"/>
        <v>-6.159042972202557E-13</v>
      </c>
      <c r="I128" s="8" t="str">
        <f t="shared" si="11"/>
        <v/>
      </c>
    </row>
    <row r="129" spans="1:9" x14ac:dyDescent="0.2">
      <c r="A129" s="5">
        <v>1746</v>
      </c>
      <c r="B129" s="6">
        <v>0.117261</v>
      </c>
      <c r="C129" s="6">
        <f t="shared" si="7"/>
        <v>7.4261000000000008E-2</v>
      </c>
      <c r="D129" s="6">
        <f t="shared" si="8"/>
        <v>129.659706</v>
      </c>
      <c r="E129" s="6">
        <f t="shared" si="12"/>
        <v>-18.666483000000007</v>
      </c>
      <c r="F129" s="6">
        <f t="shared" si="13"/>
        <v>4.7249999999998682E-5</v>
      </c>
      <c r="G129" s="6">
        <f t="shared" si="9"/>
        <v>108.47967299675699</v>
      </c>
      <c r="H129" s="7">
        <f t="shared" si="10"/>
        <v>-2.111723781428922E-12</v>
      </c>
      <c r="I129" s="8" t="str">
        <f t="shared" si="11"/>
        <v/>
      </c>
    </row>
    <row r="130" spans="1:9" x14ac:dyDescent="0.2">
      <c r="A130" s="5">
        <v>1744</v>
      </c>
      <c r="B130" s="6">
        <v>0.11762300000000001</v>
      </c>
      <c r="C130" s="6">
        <f t="shared" ref="C130:C193" si="14">B130-$B$2</f>
        <v>7.4623000000000009E-2</v>
      </c>
      <c r="D130" s="6">
        <f t="shared" ref="D130:D193" si="15">A130*C130</f>
        <v>130.14251200000001</v>
      </c>
      <c r="E130" s="6">
        <f t="shared" si="12"/>
        <v>-18.815367000000006</v>
      </c>
      <c r="F130" s="6">
        <f t="shared" si="13"/>
        <v>-9.0500000000000302E-5</v>
      </c>
      <c r="G130" s="6">
        <f t="shared" ref="G130:G193" si="16">(A130-$L$5)*C130-E130</f>
        <v>108.91712323708268</v>
      </c>
      <c r="H130" s="7">
        <f t="shared" ref="H130:H193" si="17">IF(ABS(F130)&lt;0.000000001,"",-(G130)/(2*$L$4*F130)*0.000000000001)</f>
        <v>1.1069758316470342E-12</v>
      </c>
      <c r="I130" s="8" t="str">
        <f t="shared" ref="I130:I193" si="18">IF(AND(B130&gt;=0.5,B130&lt;=2.5,ISNUMBER(H130),H130&gt;0),H130,"")</f>
        <v/>
      </c>
    </row>
    <row r="131" spans="1:9" x14ac:dyDescent="0.2">
      <c r="A131" s="5">
        <v>1742</v>
      </c>
      <c r="B131" s="6">
        <v>0.11762300000000001</v>
      </c>
      <c r="C131" s="6">
        <f t="shared" si="14"/>
        <v>7.4623000000000009E-2</v>
      </c>
      <c r="D131" s="6">
        <f t="shared" si="15"/>
        <v>129.99326600000001</v>
      </c>
      <c r="E131" s="6">
        <f t="shared" ref="E131:E194" si="19">E130+(C130+C131)/2*(A131-A130)</f>
        <v>-18.964613000000007</v>
      </c>
      <c r="F131" s="6">
        <f t="shared" ref="F131:F194" si="20">(B132-B130)/(A132-A130)</f>
        <v>-6.8999999999999617E-5</v>
      </c>
      <c r="G131" s="6">
        <f t="shared" si="16"/>
        <v>108.91712323708268</v>
      </c>
      <c r="H131" s="7">
        <f t="shared" si="17"/>
        <v>1.451903083537065E-12</v>
      </c>
      <c r="I131" s="8" t="str">
        <f t="shared" si="18"/>
        <v/>
      </c>
    </row>
    <row r="132" spans="1:9" x14ac:dyDescent="0.2">
      <c r="A132" s="5">
        <v>1740</v>
      </c>
      <c r="B132" s="6">
        <v>0.117899</v>
      </c>
      <c r="C132" s="6">
        <f t="shared" si="14"/>
        <v>7.4899000000000007E-2</v>
      </c>
      <c r="D132" s="6">
        <f t="shared" si="15"/>
        <v>130.32426000000001</v>
      </c>
      <c r="E132" s="6">
        <f t="shared" si="19"/>
        <v>-19.114135000000008</v>
      </c>
      <c r="F132" s="6">
        <f t="shared" si="20"/>
        <v>-2.5000000000000022E-4</v>
      </c>
      <c r="G132" s="6">
        <f t="shared" si="16"/>
        <v>109.24954483467906</v>
      </c>
      <c r="H132" s="7">
        <f t="shared" si="17"/>
        <v>4.0194828857497774E-13</v>
      </c>
      <c r="I132" s="8" t="str">
        <f t="shared" si="18"/>
        <v/>
      </c>
    </row>
    <row r="133" spans="1:9" x14ac:dyDescent="0.2">
      <c r="A133" s="5">
        <v>1738</v>
      </c>
      <c r="B133" s="6">
        <v>0.11862300000000001</v>
      </c>
      <c r="C133" s="6">
        <f t="shared" si="14"/>
        <v>7.562300000000001E-2</v>
      </c>
      <c r="D133" s="6">
        <f t="shared" si="15"/>
        <v>131.43277400000002</v>
      </c>
      <c r="E133" s="6">
        <f t="shared" si="19"/>
        <v>-19.264657000000007</v>
      </c>
      <c r="F133" s="6">
        <f t="shared" si="20"/>
        <v>-1.7375000000000029E-4</v>
      </c>
      <c r="G133" s="6">
        <f t="shared" si="16"/>
        <v>110.12010131533043</v>
      </c>
      <c r="H133" s="7">
        <f t="shared" si="17"/>
        <v>5.8295139419764976E-13</v>
      </c>
      <c r="I133" s="8" t="str">
        <f t="shared" si="18"/>
        <v/>
      </c>
    </row>
    <row r="134" spans="1:9" x14ac:dyDescent="0.2">
      <c r="A134" s="5">
        <v>1736</v>
      </c>
      <c r="B134" s="6">
        <v>0.118594</v>
      </c>
      <c r="C134" s="6">
        <f t="shared" si="14"/>
        <v>7.5594000000000008E-2</v>
      </c>
      <c r="D134" s="6">
        <f t="shared" si="15"/>
        <v>131.23118400000001</v>
      </c>
      <c r="E134" s="6">
        <f t="shared" si="19"/>
        <v>-19.415874000000006</v>
      </c>
      <c r="F134" s="6">
        <f t="shared" si="20"/>
        <v>5.4250000000002213E-5</v>
      </c>
      <c r="G134" s="6">
        <f t="shared" si="16"/>
        <v>110.08528895906124</v>
      </c>
      <c r="H134" s="7">
        <f t="shared" si="17"/>
        <v>-1.8664660745915905E-12</v>
      </c>
      <c r="I134" s="8" t="str">
        <f t="shared" si="18"/>
        <v/>
      </c>
    </row>
    <row r="135" spans="1:9" x14ac:dyDescent="0.2">
      <c r="A135" s="5">
        <v>1734</v>
      </c>
      <c r="B135" s="6">
        <v>0.118406</v>
      </c>
      <c r="C135" s="6">
        <f t="shared" si="14"/>
        <v>7.5406000000000001E-2</v>
      </c>
      <c r="D135" s="6">
        <f t="shared" si="15"/>
        <v>130.75400400000001</v>
      </c>
      <c r="E135" s="6">
        <f t="shared" si="19"/>
        <v>-19.566874000000006</v>
      </c>
      <c r="F135" s="6">
        <f t="shared" si="20"/>
        <v>1.8825000000000092E-4</v>
      </c>
      <c r="G135" s="6">
        <f t="shared" si="16"/>
        <v>109.85998485635065</v>
      </c>
      <c r="H135" s="7">
        <f t="shared" si="17"/>
        <v>-5.3677849238977428E-13</v>
      </c>
      <c r="I135" s="8" t="str">
        <f t="shared" si="18"/>
        <v/>
      </c>
    </row>
    <row r="136" spans="1:9" x14ac:dyDescent="0.2">
      <c r="A136" s="5">
        <v>1732</v>
      </c>
      <c r="B136" s="6">
        <v>0.117841</v>
      </c>
      <c r="C136" s="6">
        <f t="shared" si="14"/>
        <v>7.4841000000000005E-2</v>
      </c>
      <c r="D136" s="6">
        <f t="shared" si="15"/>
        <v>129.62461200000001</v>
      </c>
      <c r="E136" s="6">
        <f t="shared" si="19"/>
        <v>-19.717121000000006</v>
      </c>
      <c r="F136" s="6">
        <f t="shared" si="20"/>
        <v>7.6249999999999929E-5</v>
      </c>
      <c r="G136" s="6">
        <f t="shared" si="16"/>
        <v>109.18400412214068</v>
      </c>
      <c r="H136" s="7">
        <f t="shared" si="17"/>
        <v>-1.3170726320237974E-12</v>
      </c>
      <c r="I136" s="8" t="str">
        <f t="shared" si="18"/>
        <v/>
      </c>
    </row>
    <row r="137" spans="1:9" x14ac:dyDescent="0.2">
      <c r="A137" s="5">
        <v>1730</v>
      </c>
      <c r="B137" s="6">
        <v>0.118101</v>
      </c>
      <c r="C137" s="6">
        <f t="shared" si="14"/>
        <v>7.5101000000000001E-2</v>
      </c>
      <c r="D137" s="6">
        <f t="shared" si="15"/>
        <v>129.92473000000001</v>
      </c>
      <c r="E137" s="6">
        <f t="shared" si="19"/>
        <v>-19.867063000000005</v>
      </c>
      <c r="F137" s="6">
        <f t="shared" si="20"/>
        <v>-1.339999999999987E-4</v>
      </c>
      <c r="G137" s="6">
        <f t="shared" si="16"/>
        <v>109.49455490248509</v>
      </c>
      <c r="H137" s="7">
        <f t="shared" si="17"/>
        <v>7.5158530541611859E-13</v>
      </c>
      <c r="I137" s="8" t="str">
        <f t="shared" si="18"/>
        <v/>
      </c>
    </row>
    <row r="138" spans="1:9" x14ac:dyDescent="0.2">
      <c r="A138" s="5">
        <v>1728</v>
      </c>
      <c r="B138" s="6">
        <v>0.118377</v>
      </c>
      <c r="C138" s="6">
        <f t="shared" si="14"/>
        <v>7.5377E-2</v>
      </c>
      <c r="D138" s="6">
        <f t="shared" si="15"/>
        <v>130.25145599999999</v>
      </c>
      <c r="E138" s="6">
        <f t="shared" si="19"/>
        <v>-20.017541000000005</v>
      </c>
      <c r="F138" s="6">
        <f t="shared" si="20"/>
        <v>-1.015000000000009E-4</v>
      </c>
      <c r="G138" s="6">
        <f t="shared" si="16"/>
        <v>109.82366450008148</v>
      </c>
      <c r="H138" s="7">
        <f t="shared" si="17"/>
        <v>9.9522309308206664E-13</v>
      </c>
      <c r="I138" s="8" t="str">
        <f t="shared" si="18"/>
        <v/>
      </c>
    </row>
    <row r="139" spans="1:9" x14ac:dyDescent="0.2">
      <c r="A139" s="5">
        <v>1726</v>
      </c>
      <c r="B139" s="6">
        <v>0.118507</v>
      </c>
      <c r="C139" s="6">
        <f t="shared" si="14"/>
        <v>7.5507000000000005E-2</v>
      </c>
      <c r="D139" s="6">
        <f t="shared" si="15"/>
        <v>130.32508200000001</v>
      </c>
      <c r="E139" s="6">
        <f t="shared" si="19"/>
        <v>-20.168425000000006</v>
      </c>
      <c r="F139" s="6">
        <f t="shared" si="20"/>
        <v>-4.3500000000001871E-5</v>
      </c>
      <c r="G139" s="6">
        <f t="shared" si="16"/>
        <v>109.97841989025369</v>
      </c>
      <c r="H139" s="7">
        <f t="shared" si="17"/>
        <v>2.3254594717686466E-12</v>
      </c>
      <c r="I139" s="8" t="str">
        <f t="shared" si="18"/>
        <v/>
      </c>
    </row>
    <row r="140" spans="1:9" x14ac:dyDescent="0.2">
      <c r="A140" s="5">
        <v>1724</v>
      </c>
      <c r="B140" s="6">
        <v>0.118551</v>
      </c>
      <c r="C140" s="6">
        <f t="shared" si="14"/>
        <v>7.5551000000000007E-2</v>
      </c>
      <c r="D140" s="6">
        <f t="shared" si="15"/>
        <v>130.24992400000002</v>
      </c>
      <c r="E140" s="6">
        <f t="shared" si="19"/>
        <v>-20.319483000000005</v>
      </c>
      <c r="F140" s="6">
        <f t="shared" si="20"/>
        <v>1.6649999999999998E-4</v>
      </c>
      <c r="G140" s="6">
        <f t="shared" si="16"/>
        <v>110.0307106376966</v>
      </c>
      <c r="H140" s="7">
        <f t="shared" si="17"/>
        <v>-6.0784134375930349E-13</v>
      </c>
      <c r="I140" s="8" t="str">
        <f t="shared" si="18"/>
        <v/>
      </c>
    </row>
    <row r="141" spans="1:9" x14ac:dyDescent="0.2">
      <c r="A141" s="5">
        <v>1722</v>
      </c>
      <c r="B141" s="6">
        <v>0.117841</v>
      </c>
      <c r="C141" s="6">
        <f t="shared" si="14"/>
        <v>7.4841000000000005E-2</v>
      </c>
      <c r="D141" s="6">
        <f t="shared" si="15"/>
        <v>128.87620200000001</v>
      </c>
      <c r="E141" s="6">
        <f t="shared" si="19"/>
        <v>-20.469875000000005</v>
      </c>
      <c r="F141" s="6">
        <f t="shared" si="20"/>
        <v>3.4075000000000077E-4</v>
      </c>
      <c r="G141" s="6">
        <f t="shared" si="16"/>
        <v>109.18834812214068</v>
      </c>
      <c r="H141" s="7">
        <f t="shared" si="17"/>
        <v>-2.9473450851593015E-13</v>
      </c>
      <c r="I141" s="8" t="str">
        <f t="shared" si="18"/>
        <v/>
      </c>
    </row>
    <row r="142" spans="1:9" x14ac:dyDescent="0.2">
      <c r="A142" s="5">
        <v>1720</v>
      </c>
      <c r="B142" s="6">
        <v>0.117188</v>
      </c>
      <c r="C142" s="6">
        <f t="shared" si="14"/>
        <v>7.4188000000000004E-2</v>
      </c>
      <c r="D142" s="6">
        <f t="shared" si="15"/>
        <v>127.60336000000001</v>
      </c>
      <c r="E142" s="6">
        <f t="shared" si="19"/>
        <v>-20.618904000000004</v>
      </c>
      <c r="F142" s="6">
        <f t="shared" si="20"/>
        <v>1.5599999999999989E-4</v>
      </c>
      <c r="G142" s="6">
        <f t="shared" si="16"/>
        <v>108.41491789304489</v>
      </c>
      <c r="H142" s="7">
        <f t="shared" si="17"/>
        <v>-6.3922684178744835E-13</v>
      </c>
      <c r="I142" s="8" t="str">
        <f t="shared" si="18"/>
        <v/>
      </c>
    </row>
    <row r="143" spans="1:9" x14ac:dyDescent="0.2">
      <c r="A143" s="5">
        <v>1718</v>
      </c>
      <c r="B143" s="6">
        <v>0.117217</v>
      </c>
      <c r="C143" s="6">
        <f t="shared" si="14"/>
        <v>7.4217000000000005E-2</v>
      </c>
      <c r="D143" s="6">
        <f t="shared" si="15"/>
        <v>127.504806</v>
      </c>
      <c r="E143" s="6">
        <f t="shared" si="19"/>
        <v>-20.767309000000004</v>
      </c>
      <c r="F143" s="6">
        <f t="shared" si="20"/>
        <v>-5.7999999999999025E-5</v>
      </c>
      <c r="G143" s="6">
        <f t="shared" si="16"/>
        <v>108.44920824931407</v>
      </c>
      <c r="H143" s="7">
        <f t="shared" si="17"/>
        <v>1.7198435755454678E-12</v>
      </c>
      <c r="I143" s="8" t="str">
        <f t="shared" si="18"/>
        <v/>
      </c>
    </row>
    <row r="144" spans="1:9" x14ac:dyDescent="0.2">
      <c r="A144" s="5">
        <v>1716</v>
      </c>
      <c r="B144" s="6">
        <v>0.11742</v>
      </c>
      <c r="C144" s="6">
        <f t="shared" si="14"/>
        <v>7.442E-2</v>
      </c>
      <c r="D144" s="6">
        <f t="shared" si="15"/>
        <v>127.70471999999999</v>
      </c>
      <c r="E144" s="6">
        <f t="shared" si="19"/>
        <v>-20.915946000000005</v>
      </c>
      <c r="F144" s="6">
        <f t="shared" si="20"/>
        <v>-1.4500000000000624E-5</v>
      </c>
      <c r="G144" s="6">
        <f t="shared" si="16"/>
        <v>108.68883474319837</v>
      </c>
      <c r="H144" s="7">
        <f t="shared" si="17"/>
        <v>6.8945747851611037E-12</v>
      </c>
      <c r="I144" s="8" t="str">
        <f t="shared" si="18"/>
        <v/>
      </c>
    </row>
    <row r="145" spans="1:9" x14ac:dyDescent="0.2">
      <c r="A145" s="5">
        <v>1714</v>
      </c>
      <c r="B145" s="6">
        <v>0.117275</v>
      </c>
      <c r="C145" s="6">
        <f t="shared" si="14"/>
        <v>7.4275000000000008E-2</v>
      </c>
      <c r="D145" s="6">
        <f t="shared" si="15"/>
        <v>127.30735000000001</v>
      </c>
      <c r="E145" s="6">
        <f t="shared" si="19"/>
        <v>-21.064641000000005</v>
      </c>
      <c r="F145" s="6">
        <f t="shared" si="20"/>
        <v>1.5574999999999964E-4</v>
      </c>
      <c r="G145" s="6">
        <f t="shared" si="16"/>
        <v>108.51796296185246</v>
      </c>
      <c r="H145" s="7">
        <f t="shared" si="17"/>
        <v>-6.4086142890127121E-13</v>
      </c>
      <c r="I145" s="8" t="str">
        <f t="shared" si="18"/>
        <v/>
      </c>
    </row>
    <row r="146" spans="1:9" x14ac:dyDescent="0.2">
      <c r="A146" s="5">
        <v>1712</v>
      </c>
      <c r="B146" s="6">
        <v>0.116797</v>
      </c>
      <c r="C146" s="6">
        <f t="shared" si="14"/>
        <v>7.3797000000000001E-2</v>
      </c>
      <c r="D146" s="6">
        <f t="shared" si="15"/>
        <v>126.340464</v>
      </c>
      <c r="E146" s="6">
        <f t="shared" si="19"/>
        <v>-21.212713000000004</v>
      </c>
      <c r="F146" s="6">
        <f t="shared" si="20"/>
        <v>9.0500000000000302E-5</v>
      </c>
      <c r="G146" s="6">
        <f t="shared" si="16"/>
        <v>107.95563129645002</v>
      </c>
      <c r="H146" s="7">
        <f t="shared" si="17"/>
        <v>-1.0972037378846331E-12</v>
      </c>
      <c r="I146" s="8" t="str">
        <f t="shared" si="18"/>
        <v/>
      </c>
    </row>
    <row r="147" spans="1:9" x14ac:dyDescent="0.2">
      <c r="A147" s="5">
        <v>1710</v>
      </c>
      <c r="B147" s="6">
        <v>0.116913</v>
      </c>
      <c r="C147" s="6">
        <f t="shared" si="14"/>
        <v>7.3913000000000006E-2</v>
      </c>
      <c r="D147" s="6">
        <f t="shared" si="15"/>
        <v>126.39123000000001</v>
      </c>
      <c r="E147" s="6">
        <f t="shared" si="19"/>
        <v>-21.360423000000004</v>
      </c>
      <c r="F147" s="6">
        <f t="shared" si="20"/>
        <v>-1.449999999999993E-4</v>
      </c>
      <c r="G147" s="6">
        <f t="shared" si="16"/>
        <v>108.09186472152675</v>
      </c>
      <c r="H147" s="7">
        <f t="shared" si="17"/>
        <v>6.8567065490299193E-13</v>
      </c>
      <c r="I147" s="8" t="str">
        <f t="shared" si="18"/>
        <v/>
      </c>
    </row>
    <row r="148" spans="1:9" x14ac:dyDescent="0.2">
      <c r="A148" s="5">
        <v>1708</v>
      </c>
      <c r="B148" s="6">
        <v>0.117377</v>
      </c>
      <c r="C148" s="6">
        <f t="shared" si="14"/>
        <v>7.4376999999999999E-2</v>
      </c>
      <c r="D148" s="6">
        <f t="shared" si="15"/>
        <v>127.035916</v>
      </c>
      <c r="E148" s="6">
        <f t="shared" si="19"/>
        <v>-21.508713000000004</v>
      </c>
      <c r="F148" s="6">
        <f t="shared" si="20"/>
        <v>-2.4650000000000019E-4</v>
      </c>
      <c r="G148" s="6">
        <f t="shared" si="16"/>
        <v>108.63587042183372</v>
      </c>
      <c r="H148" s="7">
        <f t="shared" si="17"/>
        <v>4.0536559075711029E-13</v>
      </c>
      <c r="I148" s="8" t="str">
        <f t="shared" si="18"/>
        <v/>
      </c>
    </row>
    <row r="149" spans="1:9" x14ac:dyDescent="0.2">
      <c r="A149" s="5">
        <v>1706</v>
      </c>
      <c r="B149" s="6">
        <v>0.117899</v>
      </c>
      <c r="C149" s="6">
        <f t="shared" si="14"/>
        <v>7.4899000000000007E-2</v>
      </c>
      <c r="D149" s="6">
        <f t="shared" si="15"/>
        <v>127.77769400000001</v>
      </c>
      <c r="E149" s="6">
        <f t="shared" si="19"/>
        <v>-21.657989000000004</v>
      </c>
      <c r="F149" s="6">
        <f t="shared" si="20"/>
        <v>-3.3325000000000021E-4</v>
      </c>
      <c r="G149" s="6">
        <f t="shared" si="16"/>
        <v>109.24683283467905</v>
      </c>
      <c r="H149" s="7">
        <f t="shared" si="17"/>
        <v>3.015291152663414E-13</v>
      </c>
      <c r="I149" s="8" t="str">
        <f t="shared" si="18"/>
        <v/>
      </c>
    </row>
    <row r="150" spans="1:9" x14ac:dyDescent="0.2">
      <c r="A150" s="5">
        <v>1704</v>
      </c>
      <c r="B150" s="6">
        <v>0.11871</v>
      </c>
      <c r="C150" s="6">
        <f t="shared" si="14"/>
        <v>7.571E-2</v>
      </c>
      <c r="D150" s="6">
        <f t="shared" si="15"/>
        <v>129.00984</v>
      </c>
      <c r="E150" s="6">
        <f t="shared" si="19"/>
        <v>-21.808598000000003</v>
      </c>
      <c r="F150" s="6">
        <f t="shared" si="20"/>
        <v>-1.3749999999999873E-4</v>
      </c>
      <c r="G150" s="6">
        <f t="shared" si="16"/>
        <v>110.19442638413798</v>
      </c>
      <c r="H150" s="7">
        <f t="shared" si="17"/>
        <v>7.3713577084847816E-13</v>
      </c>
      <c r="I150" s="8" t="str">
        <f t="shared" si="18"/>
        <v/>
      </c>
    </row>
    <row r="151" spans="1:9" x14ac:dyDescent="0.2">
      <c r="A151" s="5">
        <v>1702</v>
      </c>
      <c r="B151" s="6">
        <v>0.118449</v>
      </c>
      <c r="C151" s="6">
        <f t="shared" si="14"/>
        <v>7.5449000000000002E-2</v>
      </c>
      <c r="D151" s="6">
        <f t="shared" si="15"/>
        <v>128.414198</v>
      </c>
      <c r="E151" s="6">
        <f t="shared" si="19"/>
        <v>-21.959757000000003</v>
      </c>
      <c r="F151" s="6">
        <f t="shared" si="20"/>
        <v>-6.1749999999999305E-5</v>
      </c>
      <c r="G151" s="6">
        <f t="shared" si="16"/>
        <v>109.88998917771531</v>
      </c>
      <c r="H151" s="7">
        <f t="shared" si="17"/>
        <v>1.6368607123259326E-12</v>
      </c>
      <c r="I151" s="8" t="str">
        <f t="shared" si="18"/>
        <v/>
      </c>
    </row>
    <row r="152" spans="1:9" x14ac:dyDescent="0.2">
      <c r="A152" s="5">
        <v>1700</v>
      </c>
      <c r="B152" s="6">
        <v>0.11895699999999999</v>
      </c>
      <c r="C152" s="6">
        <f t="shared" si="14"/>
        <v>7.5956999999999997E-2</v>
      </c>
      <c r="D152" s="6">
        <f t="shared" si="15"/>
        <v>129.12690000000001</v>
      </c>
      <c r="E152" s="6">
        <f t="shared" si="19"/>
        <v>-22.111163000000005</v>
      </c>
      <c r="F152" s="6">
        <f t="shared" si="20"/>
        <v>-1.015000000000009E-4</v>
      </c>
      <c r="G152" s="6">
        <f t="shared" si="16"/>
        <v>110.48151762546517</v>
      </c>
      <c r="H152" s="7">
        <f t="shared" si="17"/>
        <v>1.0011845643662228E-12</v>
      </c>
      <c r="I152" s="8" t="str">
        <f t="shared" si="18"/>
        <v/>
      </c>
    </row>
    <row r="153" spans="1:9" x14ac:dyDescent="0.2">
      <c r="A153" s="5">
        <v>1698</v>
      </c>
      <c r="B153" s="6">
        <v>0.118855</v>
      </c>
      <c r="C153" s="6">
        <f t="shared" si="14"/>
        <v>7.5855000000000006E-2</v>
      </c>
      <c r="D153" s="6">
        <f t="shared" si="15"/>
        <v>128.80179000000001</v>
      </c>
      <c r="E153" s="6">
        <f t="shared" si="19"/>
        <v>-22.262975000000004</v>
      </c>
      <c r="F153" s="6">
        <f t="shared" si="20"/>
        <v>-1.1950000000000155E-4</v>
      </c>
      <c r="G153" s="6">
        <f t="shared" si="16"/>
        <v>110.36295016548391</v>
      </c>
      <c r="H153" s="7">
        <f t="shared" si="17"/>
        <v>8.4946590501170312E-13</v>
      </c>
      <c r="I153" s="8" t="str">
        <f t="shared" si="18"/>
        <v/>
      </c>
    </row>
    <row r="154" spans="1:9" x14ac:dyDescent="0.2">
      <c r="A154" s="5">
        <v>1696</v>
      </c>
      <c r="B154" s="6">
        <v>0.119435</v>
      </c>
      <c r="C154" s="6">
        <f t="shared" si="14"/>
        <v>7.6435000000000003E-2</v>
      </c>
      <c r="D154" s="6">
        <f t="shared" si="15"/>
        <v>129.63376</v>
      </c>
      <c r="E154" s="6">
        <f t="shared" si="19"/>
        <v>-22.415265000000005</v>
      </c>
      <c r="F154" s="6">
        <f t="shared" si="20"/>
        <v>-2.5725000000000053E-4</v>
      </c>
      <c r="G154" s="6">
        <f t="shared" si="16"/>
        <v>111.03599729086761</v>
      </c>
      <c r="H154" s="7">
        <f t="shared" si="17"/>
        <v>3.9700773696312237E-13</v>
      </c>
      <c r="I154" s="8" t="str">
        <f t="shared" si="18"/>
        <v/>
      </c>
    </row>
    <row r="155" spans="1:9" x14ac:dyDescent="0.2">
      <c r="A155" s="5">
        <v>1694</v>
      </c>
      <c r="B155" s="6">
        <v>0.119884</v>
      </c>
      <c r="C155" s="6">
        <f t="shared" si="14"/>
        <v>7.6884000000000008E-2</v>
      </c>
      <c r="D155" s="6">
        <f t="shared" si="15"/>
        <v>130.24149600000001</v>
      </c>
      <c r="E155" s="6">
        <f t="shared" si="19"/>
        <v>-22.568584000000005</v>
      </c>
      <c r="F155" s="6">
        <f t="shared" si="20"/>
        <v>-1.7750000000000057E-4</v>
      </c>
      <c r="G155" s="6">
        <f t="shared" si="16"/>
        <v>111.55613060000086</v>
      </c>
      <c r="H155" s="7">
        <f t="shared" si="17"/>
        <v>5.7807693415830043E-13</v>
      </c>
      <c r="I155" s="8" t="str">
        <f t="shared" si="18"/>
        <v/>
      </c>
    </row>
    <row r="156" spans="1:9" x14ac:dyDescent="0.2">
      <c r="A156" s="5">
        <v>1692</v>
      </c>
      <c r="B156" s="6">
        <v>0.120145</v>
      </c>
      <c r="C156" s="6">
        <f t="shared" si="14"/>
        <v>7.7145000000000005E-2</v>
      </c>
      <c r="D156" s="6">
        <f t="shared" si="15"/>
        <v>130.52934000000002</v>
      </c>
      <c r="E156" s="6">
        <f t="shared" si="19"/>
        <v>-22.722613000000006</v>
      </c>
      <c r="F156" s="6">
        <f t="shared" si="20"/>
        <v>5.0750000000002182E-5</v>
      </c>
      <c r="G156" s="6">
        <f t="shared" si="16"/>
        <v>111.85795780642353</v>
      </c>
      <c r="H156" s="7">
        <f t="shared" si="17"/>
        <v>-2.0273157567760037E-12</v>
      </c>
      <c r="I156" s="8" t="str">
        <f t="shared" si="18"/>
        <v/>
      </c>
    </row>
    <row r="157" spans="1:9" x14ac:dyDescent="0.2">
      <c r="A157" s="5">
        <v>1690</v>
      </c>
      <c r="B157" s="6">
        <v>0.119681</v>
      </c>
      <c r="C157" s="6">
        <f t="shared" si="14"/>
        <v>7.6680999999999999E-2</v>
      </c>
      <c r="D157" s="6">
        <f t="shared" si="15"/>
        <v>129.59089</v>
      </c>
      <c r="E157" s="6">
        <f t="shared" si="19"/>
        <v>-22.876439000000005</v>
      </c>
      <c r="F157" s="6">
        <f t="shared" si="20"/>
        <v>6.8749999999999367E-5</v>
      </c>
      <c r="G157" s="6">
        <f t="shared" si="16"/>
        <v>111.32230410611656</v>
      </c>
      <c r="H157" s="7">
        <f t="shared" si="17"/>
        <v>-1.4893612162167046E-12</v>
      </c>
      <c r="I157" s="8" t="str">
        <f t="shared" si="18"/>
        <v/>
      </c>
    </row>
    <row r="158" spans="1:9" x14ac:dyDescent="0.2">
      <c r="A158" s="5">
        <v>1688</v>
      </c>
      <c r="B158" s="6">
        <v>0.11987</v>
      </c>
      <c r="C158" s="6">
        <f t="shared" si="14"/>
        <v>7.6870000000000008E-2</v>
      </c>
      <c r="D158" s="6">
        <f t="shared" si="15"/>
        <v>129.75656000000001</v>
      </c>
      <c r="E158" s="6">
        <f t="shared" si="19"/>
        <v>-23.029990000000005</v>
      </c>
      <c r="F158" s="6">
        <f t="shared" si="20"/>
        <v>-1.6299999999999995E-4</v>
      </c>
      <c r="G158" s="6">
        <f t="shared" si="16"/>
        <v>111.5401126349054</v>
      </c>
      <c r="H158" s="7">
        <f t="shared" si="17"/>
        <v>6.2941056800891934E-13</v>
      </c>
      <c r="I158" s="8" t="str">
        <f t="shared" si="18"/>
        <v/>
      </c>
    </row>
    <row r="159" spans="1:9" x14ac:dyDescent="0.2">
      <c r="A159" s="5">
        <v>1686</v>
      </c>
      <c r="B159" s="6">
        <v>0.120333</v>
      </c>
      <c r="C159" s="6">
        <f t="shared" si="14"/>
        <v>7.7332999999999999E-2</v>
      </c>
      <c r="D159" s="6">
        <f t="shared" si="15"/>
        <v>130.38343800000001</v>
      </c>
      <c r="E159" s="6">
        <f t="shared" si="19"/>
        <v>-23.184193000000004</v>
      </c>
      <c r="F159" s="6">
        <f t="shared" si="20"/>
        <v>7.6249999999999929E-5</v>
      </c>
      <c r="G159" s="6">
        <f t="shared" si="16"/>
        <v>112.07275990913409</v>
      </c>
      <c r="H159" s="7">
        <f t="shared" si="17"/>
        <v>-1.3519193224180534E-12</v>
      </c>
      <c r="I159" s="8" t="str">
        <f t="shared" si="18"/>
        <v/>
      </c>
    </row>
    <row r="160" spans="1:9" x14ac:dyDescent="0.2">
      <c r="A160" s="5">
        <v>1684</v>
      </c>
      <c r="B160" s="6">
        <v>0.119565</v>
      </c>
      <c r="C160" s="6">
        <f t="shared" si="14"/>
        <v>7.6565000000000008E-2</v>
      </c>
      <c r="D160" s="6">
        <f t="shared" si="15"/>
        <v>128.93546000000001</v>
      </c>
      <c r="E160" s="6">
        <f t="shared" si="19"/>
        <v>-23.338091000000006</v>
      </c>
      <c r="F160" s="6">
        <f t="shared" si="20"/>
        <v>1.6649999999999998E-4</v>
      </c>
      <c r="G160" s="6">
        <f t="shared" si="16"/>
        <v>111.19076868103983</v>
      </c>
      <c r="H160" s="7">
        <f t="shared" si="17"/>
        <v>-6.1424983858604648E-13</v>
      </c>
      <c r="I160" s="8" t="str">
        <f t="shared" si="18"/>
        <v/>
      </c>
    </row>
    <row r="161" spans="1:9" x14ac:dyDescent="0.2">
      <c r="A161" s="5">
        <v>1682</v>
      </c>
      <c r="B161" s="6">
        <v>0.119667</v>
      </c>
      <c r="C161" s="6">
        <f t="shared" si="14"/>
        <v>7.6666999999999999E-2</v>
      </c>
      <c r="D161" s="6">
        <f t="shared" si="15"/>
        <v>128.95389399999999</v>
      </c>
      <c r="E161" s="6">
        <f t="shared" si="19"/>
        <v>-23.491323000000005</v>
      </c>
      <c r="F161" s="6">
        <f t="shared" si="20"/>
        <v>-4.7249999999998682E-5</v>
      </c>
      <c r="G161" s="6">
        <f t="shared" si="16"/>
        <v>111.30770414102109</v>
      </c>
      <c r="H161" s="7">
        <f t="shared" si="17"/>
        <v>2.166775759896286E-12</v>
      </c>
      <c r="I161" s="8" t="str">
        <f t="shared" si="18"/>
        <v/>
      </c>
    </row>
    <row r="162" spans="1:9" x14ac:dyDescent="0.2">
      <c r="A162" s="5">
        <v>1680</v>
      </c>
      <c r="B162" s="6">
        <v>0.119754</v>
      </c>
      <c r="C162" s="6">
        <f t="shared" si="14"/>
        <v>7.6754000000000003E-2</v>
      </c>
      <c r="D162" s="6">
        <f t="shared" si="15"/>
        <v>128.94672</v>
      </c>
      <c r="E162" s="6">
        <f t="shared" si="19"/>
        <v>-23.644744000000006</v>
      </c>
      <c r="F162" s="6">
        <f t="shared" si="20"/>
        <v>2.5499999999997747E-5</v>
      </c>
      <c r="G162" s="6">
        <f t="shared" si="16"/>
        <v>111.40726920982864</v>
      </c>
      <c r="H162" s="7">
        <f t="shared" si="17"/>
        <v>-4.0184993727307592E-12</v>
      </c>
      <c r="I162" s="8" t="str">
        <f t="shared" si="18"/>
        <v/>
      </c>
    </row>
    <row r="163" spans="1:9" x14ac:dyDescent="0.2">
      <c r="A163" s="5">
        <v>1678</v>
      </c>
      <c r="B163" s="6">
        <v>0.119565</v>
      </c>
      <c r="C163" s="6">
        <f t="shared" si="14"/>
        <v>7.6565000000000008E-2</v>
      </c>
      <c r="D163" s="6">
        <f t="shared" si="15"/>
        <v>128.47607000000002</v>
      </c>
      <c r="E163" s="6">
        <f t="shared" si="19"/>
        <v>-23.798063000000006</v>
      </c>
      <c r="F163" s="6">
        <f t="shared" si="20"/>
        <v>3.6250000000001559E-5</v>
      </c>
      <c r="G163" s="6">
        <f t="shared" si="16"/>
        <v>111.19135068103984</v>
      </c>
      <c r="H163" s="7">
        <f t="shared" si="17"/>
        <v>-2.8213278191630525E-12</v>
      </c>
      <c r="I163" s="8" t="str">
        <f t="shared" si="18"/>
        <v/>
      </c>
    </row>
    <row r="164" spans="1:9" x14ac:dyDescent="0.2">
      <c r="A164" s="5">
        <v>1676</v>
      </c>
      <c r="B164" s="6">
        <v>0.11960899999999999</v>
      </c>
      <c r="C164" s="6">
        <f t="shared" si="14"/>
        <v>7.6608999999999997E-2</v>
      </c>
      <c r="D164" s="6">
        <f t="shared" si="15"/>
        <v>128.39668399999999</v>
      </c>
      <c r="E164" s="6">
        <f t="shared" si="19"/>
        <v>-23.951237000000006</v>
      </c>
      <c r="F164" s="6">
        <f t="shared" si="20"/>
        <v>3.6250000000001559E-5</v>
      </c>
      <c r="G164" s="6">
        <f t="shared" si="16"/>
        <v>111.24152942848272</v>
      </c>
      <c r="H164" s="7">
        <f t="shared" si="17"/>
        <v>-2.8226010359665561E-12</v>
      </c>
      <c r="I164" s="8" t="str">
        <f t="shared" si="18"/>
        <v/>
      </c>
    </row>
    <row r="165" spans="1:9" x14ac:dyDescent="0.2">
      <c r="A165" s="5">
        <v>1674</v>
      </c>
      <c r="B165" s="6">
        <v>0.11942</v>
      </c>
      <c r="C165" s="6">
        <f t="shared" si="14"/>
        <v>7.6420000000000002E-2</v>
      </c>
      <c r="D165" s="6">
        <f t="shared" si="15"/>
        <v>127.92708</v>
      </c>
      <c r="E165" s="6">
        <f t="shared" si="19"/>
        <v>-24.104266000000006</v>
      </c>
      <c r="F165" s="6">
        <f t="shared" si="20"/>
        <v>7.2499999999968423E-6</v>
      </c>
      <c r="G165" s="6">
        <f t="shared" si="16"/>
        <v>111.0263668996939</v>
      </c>
      <c r="H165" s="7">
        <f t="shared" si="17"/>
        <v>-1.4085707911464089E-11</v>
      </c>
      <c r="I165" s="8" t="str">
        <f t="shared" si="18"/>
        <v/>
      </c>
    </row>
    <row r="166" spans="1:9" x14ac:dyDescent="0.2">
      <c r="A166" s="5">
        <v>1672</v>
      </c>
      <c r="B166" s="6">
        <v>0.11958000000000001</v>
      </c>
      <c r="C166" s="6">
        <f t="shared" si="14"/>
        <v>7.6580000000000009E-2</v>
      </c>
      <c r="D166" s="6">
        <f t="shared" si="15"/>
        <v>128.04176000000001</v>
      </c>
      <c r="E166" s="6">
        <f t="shared" si="19"/>
        <v>-24.257266000000005</v>
      </c>
      <c r="F166" s="6">
        <f t="shared" si="20"/>
        <v>3.6249999999998089E-5</v>
      </c>
      <c r="G166" s="6">
        <f t="shared" si="16"/>
        <v>111.20819507221354</v>
      </c>
      <c r="H166" s="7">
        <f t="shared" si="17"/>
        <v>-2.8217552224561522E-12</v>
      </c>
      <c r="I166" s="8" t="str">
        <f t="shared" si="18"/>
        <v/>
      </c>
    </row>
    <row r="167" spans="1:9" x14ac:dyDescent="0.2">
      <c r="A167" s="5">
        <v>1670</v>
      </c>
      <c r="B167" s="6">
        <v>0.11927500000000001</v>
      </c>
      <c r="C167" s="6">
        <f t="shared" si="14"/>
        <v>7.6275000000000009E-2</v>
      </c>
      <c r="D167" s="6">
        <f t="shared" si="15"/>
        <v>127.37925000000001</v>
      </c>
      <c r="E167" s="6">
        <f t="shared" si="19"/>
        <v>-24.410121000000004</v>
      </c>
      <c r="F167" s="6">
        <f t="shared" si="20"/>
        <v>9.0750000000000552E-5</v>
      </c>
      <c r="G167" s="6">
        <f t="shared" si="16"/>
        <v>110.86219511834797</v>
      </c>
      <c r="H167" s="7">
        <f t="shared" si="17"/>
        <v>-1.1236405305143274E-12</v>
      </c>
      <c r="I167" s="8" t="str">
        <f t="shared" si="18"/>
        <v/>
      </c>
    </row>
    <row r="168" spans="1:9" x14ac:dyDescent="0.2">
      <c r="A168" s="5">
        <v>1668</v>
      </c>
      <c r="B168" s="6">
        <v>0.119217</v>
      </c>
      <c r="C168" s="6">
        <f t="shared" si="14"/>
        <v>7.6217000000000007E-2</v>
      </c>
      <c r="D168" s="6">
        <f t="shared" si="15"/>
        <v>127.12995600000001</v>
      </c>
      <c r="E168" s="6">
        <f t="shared" si="19"/>
        <v>-24.562613000000002</v>
      </c>
      <c r="F168" s="6">
        <f t="shared" si="20"/>
        <v>4.3500000000001871E-5</v>
      </c>
      <c r="G168" s="6">
        <f t="shared" si="16"/>
        <v>110.7965144058096</v>
      </c>
      <c r="H168" s="7">
        <f t="shared" si="17"/>
        <v>-2.3427578257720947E-12</v>
      </c>
      <c r="I168" s="8" t="str">
        <f t="shared" si="18"/>
        <v/>
      </c>
    </row>
    <row r="169" spans="1:9" x14ac:dyDescent="0.2">
      <c r="A169" s="5">
        <v>1666</v>
      </c>
      <c r="B169" s="6">
        <v>0.119101</v>
      </c>
      <c r="C169" s="6">
        <f t="shared" si="14"/>
        <v>7.6101000000000002E-2</v>
      </c>
      <c r="D169" s="6">
        <f t="shared" si="15"/>
        <v>126.784266</v>
      </c>
      <c r="E169" s="6">
        <f t="shared" si="19"/>
        <v>-24.714931000000004</v>
      </c>
      <c r="F169" s="6">
        <f t="shared" si="20"/>
        <v>-6.1749999999999305E-5</v>
      </c>
      <c r="G169" s="6">
        <f t="shared" si="16"/>
        <v>110.66538498073285</v>
      </c>
      <c r="H169" s="7">
        <f t="shared" si="17"/>
        <v>1.6484105808440671E-12</v>
      </c>
      <c r="I169" s="8" t="str">
        <f t="shared" si="18"/>
        <v/>
      </c>
    </row>
    <row r="170" spans="1:9" x14ac:dyDescent="0.2">
      <c r="A170" s="5">
        <v>1664</v>
      </c>
      <c r="B170" s="6">
        <v>0.119464</v>
      </c>
      <c r="C170" s="6">
        <f t="shared" si="14"/>
        <v>7.6464000000000004E-2</v>
      </c>
      <c r="D170" s="6">
        <f t="shared" si="15"/>
        <v>127.236096</v>
      </c>
      <c r="E170" s="6">
        <f t="shared" si="19"/>
        <v>-24.867496000000003</v>
      </c>
      <c r="F170" s="6">
        <f t="shared" si="20"/>
        <v>-2.5500000000001216E-5</v>
      </c>
      <c r="G170" s="6">
        <f t="shared" si="16"/>
        <v>111.0750036471368</v>
      </c>
      <c r="H170" s="7">
        <f t="shared" si="17"/>
        <v>4.0065144370547658E-12</v>
      </c>
      <c r="I170" s="8" t="str">
        <f t="shared" si="18"/>
        <v/>
      </c>
    </row>
    <row r="171" spans="1:9" x14ac:dyDescent="0.2">
      <c r="A171" s="5">
        <v>1662</v>
      </c>
      <c r="B171" s="6">
        <v>0.119203</v>
      </c>
      <c r="C171" s="6">
        <f t="shared" si="14"/>
        <v>7.6203000000000007E-2</v>
      </c>
      <c r="D171" s="6">
        <f t="shared" si="15"/>
        <v>126.64938600000001</v>
      </c>
      <c r="E171" s="6">
        <f t="shared" si="19"/>
        <v>-25.020163000000004</v>
      </c>
      <c r="F171" s="6">
        <f t="shared" si="20"/>
        <v>2.5500000000001216E-5</v>
      </c>
      <c r="G171" s="6">
        <f t="shared" si="16"/>
        <v>110.78100644071412</v>
      </c>
      <c r="H171" s="7">
        <f t="shared" si="17"/>
        <v>-3.9959098544456289E-12</v>
      </c>
      <c r="I171" s="8" t="str">
        <f t="shared" si="18"/>
        <v/>
      </c>
    </row>
    <row r="172" spans="1:9" x14ac:dyDescent="0.2">
      <c r="A172" s="5">
        <v>1660</v>
      </c>
      <c r="B172" s="6">
        <v>0.119362</v>
      </c>
      <c r="C172" s="6">
        <f t="shared" si="14"/>
        <v>7.6361999999999999E-2</v>
      </c>
      <c r="D172" s="6">
        <f t="shared" si="15"/>
        <v>126.76092</v>
      </c>
      <c r="E172" s="6">
        <f t="shared" si="19"/>
        <v>-25.172728000000003</v>
      </c>
      <c r="F172" s="6">
        <f t="shared" si="20"/>
        <v>5.4250000000002213E-5</v>
      </c>
      <c r="G172" s="6">
        <f t="shared" si="16"/>
        <v>110.95979018715552</v>
      </c>
      <c r="H172" s="7">
        <f t="shared" si="17"/>
        <v>-1.8812930046006821E-12</v>
      </c>
      <c r="I172" s="8" t="str">
        <f t="shared" si="18"/>
        <v/>
      </c>
    </row>
    <row r="173" spans="1:9" x14ac:dyDescent="0.2">
      <c r="A173" s="5">
        <v>1658</v>
      </c>
      <c r="B173" s="6">
        <v>0.11898599999999999</v>
      </c>
      <c r="C173" s="6">
        <f t="shared" si="14"/>
        <v>7.5985999999999998E-2</v>
      </c>
      <c r="D173" s="6">
        <f t="shared" si="15"/>
        <v>125.98478799999999</v>
      </c>
      <c r="E173" s="6">
        <f t="shared" si="19"/>
        <v>-25.325076000000003</v>
      </c>
      <c r="F173" s="6">
        <f t="shared" si="20"/>
        <v>2.3899999999999963E-4</v>
      </c>
      <c r="G173" s="6">
        <f t="shared" si="16"/>
        <v>110.53775798173436</v>
      </c>
      <c r="H173" s="7">
        <f t="shared" si="17"/>
        <v>-4.2540570219047402E-13</v>
      </c>
      <c r="I173" s="8" t="str">
        <f t="shared" si="18"/>
        <v/>
      </c>
    </row>
    <row r="174" spans="1:9" x14ac:dyDescent="0.2">
      <c r="A174" s="5">
        <v>1656</v>
      </c>
      <c r="B174" s="6">
        <v>0.118406</v>
      </c>
      <c r="C174" s="6">
        <f t="shared" si="14"/>
        <v>7.5406000000000001E-2</v>
      </c>
      <c r="D174" s="6">
        <f t="shared" si="15"/>
        <v>124.872336</v>
      </c>
      <c r="E174" s="6">
        <f t="shared" si="19"/>
        <v>-25.476468000000004</v>
      </c>
      <c r="F174" s="6">
        <f t="shared" si="20"/>
        <v>1.4874999999999958E-4</v>
      </c>
      <c r="G174" s="6">
        <f t="shared" si="16"/>
        <v>109.88791085635066</v>
      </c>
      <c r="H174" s="7">
        <f t="shared" si="17"/>
        <v>-6.7949067131882045E-13</v>
      </c>
      <c r="I174" s="8" t="str">
        <f t="shared" si="18"/>
        <v/>
      </c>
    </row>
    <row r="175" spans="1:9" x14ac:dyDescent="0.2">
      <c r="A175" s="5">
        <v>1654</v>
      </c>
      <c r="B175" s="6">
        <v>0.118391</v>
      </c>
      <c r="C175" s="6">
        <f t="shared" si="14"/>
        <v>7.5391E-2</v>
      </c>
      <c r="D175" s="6">
        <f t="shared" si="15"/>
        <v>124.696714</v>
      </c>
      <c r="E175" s="6">
        <f t="shared" si="19"/>
        <v>-25.627265000000005</v>
      </c>
      <c r="F175" s="6">
        <f t="shared" si="20"/>
        <v>-1.1225000000000124E-4</v>
      </c>
      <c r="G175" s="6">
        <f t="shared" si="16"/>
        <v>109.87113446517695</v>
      </c>
      <c r="H175" s="7">
        <f t="shared" si="17"/>
        <v>9.0030117180666165E-13</v>
      </c>
      <c r="I175" s="8" t="str">
        <f t="shared" si="18"/>
        <v/>
      </c>
    </row>
    <row r="176" spans="1:9" x14ac:dyDescent="0.2">
      <c r="A176" s="5">
        <v>1652</v>
      </c>
      <c r="B176" s="6">
        <v>0.118855</v>
      </c>
      <c r="C176" s="6">
        <f t="shared" si="14"/>
        <v>7.5855000000000006E-2</v>
      </c>
      <c r="D176" s="6">
        <f t="shared" si="15"/>
        <v>125.31246000000002</v>
      </c>
      <c r="E176" s="6">
        <f t="shared" si="19"/>
        <v>-25.778511000000005</v>
      </c>
      <c r="F176" s="6">
        <f t="shared" si="20"/>
        <v>-7.974999999999996E-5</v>
      </c>
      <c r="G176" s="6">
        <f t="shared" si="16"/>
        <v>110.38915616548391</v>
      </c>
      <c r="H176" s="7">
        <f t="shared" si="17"/>
        <v>1.2731696522830956E-12</v>
      </c>
      <c r="I176" s="8" t="str">
        <f t="shared" si="18"/>
        <v/>
      </c>
    </row>
    <row r="177" spans="1:9" x14ac:dyDescent="0.2">
      <c r="A177" s="5">
        <v>1650</v>
      </c>
      <c r="B177" s="6">
        <v>0.11871</v>
      </c>
      <c r="C177" s="6">
        <f t="shared" si="14"/>
        <v>7.571E-2</v>
      </c>
      <c r="D177" s="6">
        <f t="shared" si="15"/>
        <v>124.92149999999999</v>
      </c>
      <c r="E177" s="6">
        <f t="shared" si="19"/>
        <v>-25.930076000000007</v>
      </c>
      <c r="F177" s="6">
        <f t="shared" si="20"/>
        <v>-7.2499999999999648E-5</v>
      </c>
      <c r="G177" s="6">
        <f t="shared" si="16"/>
        <v>110.22756438413799</v>
      </c>
      <c r="H177" s="7">
        <f t="shared" si="17"/>
        <v>1.3984365327464225E-12</v>
      </c>
      <c r="I177" s="8" t="str">
        <f t="shared" si="18"/>
        <v/>
      </c>
    </row>
    <row r="178" spans="1:9" x14ac:dyDescent="0.2">
      <c r="A178" s="5">
        <v>1648</v>
      </c>
      <c r="B178" s="6">
        <v>0.119145</v>
      </c>
      <c r="C178" s="6">
        <f t="shared" si="14"/>
        <v>7.6145000000000004E-2</v>
      </c>
      <c r="D178" s="6">
        <f t="shared" si="15"/>
        <v>125.48696000000001</v>
      </c>
      <c r="E178" s="6">
        <f t="shared" si="19"/>
        <v>-26.081931000000008</v>
      </c>
      <c r="F178" s="6">
        <f t="shared" si="20"/>
        <v>-1.7750000000000057E-4</v>
      </c>
      <c r="G178" s="6">
        <f t="shared" si="16"/>
        <v>110.71146972817577</v>
      </c>
      <c r="H178" s="7">
        <f t="shared" si="17"/>
        <v>5.7369995402675646E-13</v>
      </c>
      <c r="I178" s="8" t="str">
        <f t="shared" si="18"/>
        <v/>
      </c>
    </row>
    <row r="179" spans="1:9" x14ac:dyDescent="0.2">
      <c r="A179" s="5">
        <v>1646</v>
      </c>
      <c r="B179" s="6">
        <v>0.11942</v>
      </c>
      <c r="C179" s="6">
        <f t="shared" si="14"/>
        <v>7.6420000000000002E-2</v>
      </c>
      <c r="D179" s="6">
        <f t="shared" si="15"/>
        <v>125.78732000000001</v>
      </c>
      <c r="E179" s="6">
        <f t="shared" si="19"/>
        <v>-26.234496000000007</v>
      </c>
      <c r="F179" s="6">
        <f t="shared" si="20"/>
        <v>-1.4500000000000624E-5</v>
      </c>
      <c r="G179" s="6">
        <f t="shared" si="16"/>
        <v>111.0168368996939</v>
      </c>
      <c r="H179" s="7">
        <f t="shared" si="17"/>
        <v>7.0422494290736806E-12</v>
      </c>
      <c r="I179" s="8" t="str">
        <f t="shared" si="18"/>
        <v/>
      </c>
    </row>
    <row r="180" spans="1:9" x14ac:dyDescent="0.2">
      <c r="A180" s="5">
        <v>1644</v>
      </c>
      <c r="B180" s="6">
        <v>0.119203</v>
      </c>
      <c r="C180" s="6">
        <f t="shared" si="14"/>
        <v>7.6203000000000007E-2</v>
      </c>
      <c r="D180" s="6">
        <f t="shared" si="15"/>
        <v>125.27773200000001</v>
      </c>
      <c r="E180" s="6">
        <f t="shared" si="19"/>
        <v>-26.387119000000006</v>
      </c>
      <c r="F180" s="6">
        <f t="shared" si="20"/>
        <v>5.7999999999999025E-5</v>
      </c>
      <c r="G180" s="6">
        <f t="shared" si="16"/>
        <v>110.77630844071413</v>
      </c>
      <c r="H180" s="7">
        <f t="shared" si="17"/>
        <v>-1.7567479326951229E-12</v>
      </c>
      <c r="I180" s="8" t="str">
        <f t="shared" si="18"/>
        <v/>
      </c>
    </row>
    <row r="181" spans="1:9" x14ac:dyDescent="0.2">
      <c r="A181" s="5">
        <v>1642</v>
      </c>
      <c r="B181" s="6">
        <v>0.119188</v>
      </c>
      <c r="C181" s="6">
        <f t="shared" si="14"/>
        <v>7.6188000000000006E-2</v>
      </c>
      <c r="D181" s="6">
        <f t="shared" si="15"/>
        <v>125.10069600000001</v>
      </c>
      <c r="E181" s="6">
        <f t="shared" si="19"/>
        <v>-26.539510000000007</v>
      </c>
      <c r="F181" s="6">
        <f t="shared" si="20"/>
        <v>3.7500000000002809E-6</v>
      </c>
      <c r="G181" s="6">
        <f t="shared" si="16"/>
        <v>110.75971204954043</v>
      </c>
      <c r="H181" s="7">
        <f t="shared" si="17"/>
        <v>-2.7166963956225686E-11</v>
      </c>
      <c r="I181" s="8" t="str">
        <f t="shared" si="18"/>
        <v/>
      </c>
    </row>
    <row r="182" spans="1:9" x14ac:dyDescent="0.2">
      <c r="A182" s="5">
        <v>1640</v>
      </c>
      <c r="B182" s="6">
        <v>0.119188</v>
      </c>
      <c r="C182" s="6">
        <f t="shared" si="14"/>
        <v>7.6188000000000006E-2</v>
      </c>
      <c r="D182" s="6">
        <f t="shared" si="15"/>
        <v>124.94832000000001</v>
      </c>
      <c r="E182" s="6">
        <f t="shared" si="19"/>
        <v>-26.691886000000007</v>
      </c>
      <c r="F182" s="6">
        <f t="shared" si="20"/>
        <v>-9.4250000000000583E-5</v>
      </c>
      <c r="G182" s="6">
        <f t="shared" si="16"/>
        <v>110.75971204954043</v>
      </c>
      <c r="H182" s="7">
        <f t="shared" si="17"/>
        <v>1.0809136852610432E-12</v>
      </c>
      <c r="I182" s="8" t="str">
        <f t="shared" si="18"/>
        <v/>
      </c>
    </row>
    <row r="183" spans="1:9" x14ac:dyDescent="0.2">
      <c r="A183" s="5">
        <v>1638</v>
      </c>
      <c r="B183" s="6">
        <v>0.119565</v>
      </c>
      <c r="C183" s="6">
        <f t="shared" si="14"/>
        <v>7.6565000000000008E-2</v>
      </c>
      <c r="D183" s="6">
        <f t="shared" si="15"/>
        <v>125.41347000000002</v>
      </c>
      <c r="E183" s="6">
        <f t="shared" si="19"/>
        <v>-26.844639000000008</v>
      </c>
      <c r="F183" s="6">
        <f t="shared" si="20"/>
        <v>-9.0750000000000552E-5</v>
      </c>
      <c r="G183" s="6">
        <f t="shared" si="16"/>
        <v>111.17532668103982</v>
      </c>
      <c r="H183" s="7">
        <f t="shared" si="17"/>
        <v>1.1268142662936726E-12</v>
      </c>
      <c r="I183" s="8" t="str">
        <f t="shared" si="18"/>
        <v/>
      </c>
    </row>
    <row r="184" spans="1:9" x14ac:dyDescent="0.2">
      <c r="A184" s="5">
        <v>1636</v>
      </c>
      <c r="B184" s="6">
        <v>0.119551</v>
      </c>
      <c r="C184" s="6">
        <f t="shared" si="14"/>
        <v>7.6551000000000008E-2</v>
      </c>
      <c r="D184" s="6">
        <f t="shared" si="15"/>
        <v>125.23743600000002</v>
      </c>
      <c r="E184" s="6">
        <f t="shared" si="19"/>
        <v>-26.997755000000009</v>
      </c>
      <c r="F184" s="6">
        <f t="shared" si="20"/>
        <v>2.9000000000001247E-5</v>
      </c>
      <c r="G184" s="6">
        <f t="shared" si="16"/>
        <v>111.15992071594437</v>
      </c>
      <c r="H184" s="7">
        <f t="shared" si="17"/>
        <v>-3.5256629087037752E-12</v>
      </c>
      <c r="I184" s="8" t="str">
        <f t="shared" si="18"/>
        <v/>
      </c>
    </row>
    <row r="185" spans="1:9" x14ac:dyDescent="0.2">
      <c r="A185" s="5">
        <v>1634</v>
      </c>
      <c r="B185" s="6">
        <v>0.119449</v>
      </c>
      <c r="C185" s="6">
        <f t="shared" si="14"/>
        <v>7.6449000000000003E-2</v>
      </c>
      <c r="D185" s="6">
        <f t="shared" si="15"/>
        <v>124.91766600000001</v>
      </c>
      <c r="E185" s="6">
        <f t="shared" si="19"/>
        <v>-27.150755000000007</v>
      </c>
      <c r="F185" s="6">
        <f t="shared" si="20"/>
        <v>-3.6249999999998089E-5</v>
      </c>
      <c r="G185" s="6">
        <f t="shared" si="16"/>
        <v>111.04788125596308</v>
      </c>
      <c r="H185" s="7">
        <f t="shared" si="17"/>
        <v>2.8176874795353817E-12</v>
      </c>
      <c r="I185" s="8" t="str">
        <f t="shared" si="18"/>
        <v/>
      </c>
    </row>
    <row r="186" spans="1:9" x14ac:dyDescent="0.2">
      <c r="A186" s="5">
        <v>1632</v>
      </c>
      <c r="B186" s="6">
        <v>0.119696</v>
      </c>
      <c r="C186" s="6">
        <f t="shared" si="14"/>
        <v>7.6696E-2</v>
      </c>
      <c r="D186" s="6">
        <f t="shared" si="15"/>
        <v>125.167872</v>
      </c>
      <c r="E186" s="6">
        <f t="shared" si="19"/>
        <v>-27.303900000000006</v>
      </c>
      <c r="F186" s="6">
        <f t="shared" si="20"/>
        <v>3.5000000000000309E-6</v>
      </c>
      <c r="G186" s="6">
        <f t="shared" si="16"/>
        <v>111.31869849729028</v>
      </c>
      <c r="H186" s="7">
        <f t="shared" si="17"/>
        <v>-2.9254362056472538E-11</v>
      </c>
      <c r="I186" s="8" t="str">
        <f t="shared" si="18"/>
        <v/>
      </c>
    </row>
    <row r="187" spans="1:9" x14ac:dyDescent="0.2">
      <c r="A187" s="5">
        <v>1630</v>
      </c>
      <c r="B187" s="6">
        <v>0.119435</v>
      </c>
      <c r="C187" s="6">
        <f t="shared" si="14"/>
        <v>7.6435000000000003E-2</v>
      </c>
      <c r="D187" s="6">
        <f t="shared" si="15"/>
        <v>124.58905</v>
      </c>
      <c r="E187" s="6">
        <f t="shared" si="19"/>
        <v>-27.457031000000004</v>
      </c>
      <c r="F187" s="6">
        <f t="shared" si="20"/>
        <v>1.4500000000000624E-5</v>
      </c>
      <c r="G187" s="6">
        <f t="shared" si="16"/>
        <v>111.0330532908676</v>
      </c>
      <c r="H187" s="7">
        <f t="shared" si="17"/>
        <v>-7.0432781007119096E-12</v>
      </c>
      <c r="I187" s="8" t="str">
        <f t="shared" si="18"/>
        <v/>
      </c>
    </row>
    <row r="188" spans="1:9" x14ac:dyDescent="0.2">
      <c r="A188" s="5">
        <v>1628</v>
      </c>
      <c r="B188" s="6">
        <v>0.11963799999999999</v>
      </c>
      <c r="C188" s="6">
        <f t="shared" si="14"/>
        <v>7.6637999999999998E-2</v>
      </c>
      <c r="D188" s="6">
        <f t="shared" si="15"/>
        <v>124.76666399999999</v>
      </c>
      <c r="E188" s="6">
        <f t="shared" si="19"/>
        <v>-27.610104000000003</v>
      </c>
      <c r="F188" s="6">
        <f t="shared" si="20"/>
        <v>1.0525000000000118E-4</v>
      </c>
      <c r="G188" s="6">
        <f t="shared" si="16"/>
        <v>111.2548157847519</v>
      </c>
      <c r="H188" s="7">
        <f t="shared" si="17"/>
        <v>-9.722708623669305E-13</v>
      </c>
      <c r="I188" s="8" t="str">
        <f t="shared" si="18"/>
        <v/>
      </c>
    </row>
    <row r="189" spans="1:9" x14ac:dyDescent="0.2">
      <c r="A189" s="5">
        <v>1626</v>
      </c>
      <c r="B189" s="6">
        <v>0.11901399999999999</v>
      </c>
      <c r="C189" s="6">
        <f t="shared" si="14"/>
        <v>7.6013999999999998E-2</v>
      </c>
      <c r="D189" s="6">
        <f t="shared" si="15"/>
        <v>123.598764</v>
      </c>
      <c r="E189" s="6">
        <f t="shared" si="19"/>
        <v>-27.762756000000003</v>
      </c>
      <c r="F189" s="6">
        <f t="shared" si="20"/>
        <v>1.5224999999999961E-4</v>
      </c>
      <c r="G189" s="6">
        <f t="shared" si="16"/>
        <v>110.57438991192529</v>
      </c>
      <c r="H189" s="7">
        <f t="shared" si="17"/>
        <v>-6.6801744927344185E-13</v>
      </c>
      <c r="I189" s="8" t="str">
        <f t="shared" si="18"/>
        <v/>
      </c>
    </row>
    <row r="190" spans="1:9" x14ac:dyDescent="0.2">
      <c r="A190" s="5">
        <v>1624</v>
      </c>
      <c r="B190" s="6">
        <v>0.119029</v>
      </c>
      <c r="C190" s="6">
        <f t="shared" si="14"/>
        <v>7.6028999999999999E-2</v>
      </c>
      <c r="D190" s="6">
        <f t="shared" si="15"/>
        <v>123.471096</v>
      </c>
      <c r="E190" s="6">
        <f t="shared" si="19"/>
        <v>-27.914799000000002</v>
      </c>
      <c r="F190" s="6">
        <f t="shared" si="20"/>
        <v>-1.5224999999999961E-4</v>
      </c>
      <c r="G190" s="6">
        <f t="shared" si="16"/>
        <v>110.59071630309901</v>
      </c>
      <c r="H190" s="7">
        <f t="shared" si="17"/>
        <v>6.6811608254825709E-13</v>
      </c>
      <c r="I190" s="8" t="str">
        <f t="shared" si="18"/>
        <v/>
      </c>
    </row>
    <row r="191" spans="1:9" x14ac:dyDescent="0.2">
      <c r="A191" s="5">
        <v>1622</v>
      </c>
      <c r="B191" s="6">
        <v>0.11962299999999999</v>
      </c>
      <c r="C191" s="6">
        <f t="shared" si="14"/>
        <v>7.6622999999999997E-2</v>
      </c>
      <c r="D191" s="6">
        <f t="shared" si="15"/>
        <v>124.282506</v>
      </c>
      <c r="E191" s="6">
        <f t="shared" si="19"/>
        <v>-28.067451000000002</v>
      </c>
      <c r="F191" s="6">
        <f t="shared" si="20"/>
        <v>-7.5999999999999679E-5</v>
      </c>
      <c r="G191" s="6">
        <f t="shared" si="16"/>
        <v>111.23605339357819</v>
      </c>
      <c r="H191" s="7">
        <f t="shared" si="17"/>
        <v>1.3462401411832745E-12</v>
      </c>
      <c r="I191" s="8" t="str">
        <f t="shared" si="18"/>
        <v/>
      </c>
    </row>
    <row r="192" spans="1:9" x14ac:dyDescent="0.2">
      <c r="A192" s="5">
        <v>1620</v>
      </c>
      <c r="B192" s="6">
        <v>0.11933299999999999</v>
      </c>
      <c r="C192" s="6">
        <f t="shared" si="14"/>
        <v>7.6332999999999998E-2</v>
      </c>
      <c r="D192" s="6">
        <f t="shared" si="15"/>
        <v>123.65946</v>
      </c>
      <c r="E192" s="6">
        <f t="shared" si="19"/>
        <v>-28.220407000000002</v>
      </c>
      <c r="F192" s="6">
        <f t="shared" si="20"/>
        <v>1.7999999999997185E-5</v>
      </c>
      <c r="G192" s="6">
        <f t="shared" si="16"/>
        <v>110.92156983088634</v>
      </c>
      <c r="H192" s="7">
        <f t="shared" si="17"/>
        <v>-5.6680550359181426E-12</v>
      </c>
      <c r="I192" s="8" t="str">
        <f t="shared" si="18"/>
        <v/>
      </c>
    </row>
    <row r="193" spans="1:9" x14ac:dyDescent="0.2">
      <c r="A193" s="5">
        <v>1618</v>
      </c>
      <c r="B193" s="6">
        <v>0.119551</v>
      </c>
      <c r="C193" s="6">
        <f t="shared" si="14"/>
        <v>7.6551000000000008E-2</v>
      </c>
      <c r="D193" s="6">
        <f t="shared" si="15"/>
        <v>123.85951800000001</v>
      </c>
      <c r="E193" s="6">
        <f t="shared" si="19"/>
        <v>-28.373291000000002</v>
      </c>
      <c r="F193" s="6">
        <f t="shared" si="20"/>
        <v>7.974999999999996E-5</v>
      </c>
      <c r="G193" s="6">
        <f t="shared" si="16"/>
        <v>111.15753871594436</v>
      </c>
      <c r="H193" s="7">
        <f t="shared" si="17"/>
        <v>-1.2820317668111165E-12</v>
      </c>
      <c r="I193" s="8" t="str">
        <f t="shared" si="18"/>
        <v/>
      </c>
    </row>
    <row r="194" spans="1:9" x14ac:dyDescent="0.2">
      <c r="A194" s="5">
        <v>1616</v>
      </c>
      <c r="B194" s="6">
        <v>0.11901399999999999</v>
      </c>
      <c r="C194" s="6">
        <f t="shared" ref="C194:C257" si="21">B194-$B$2</f>
        <v>7.6013999999999998E-2</v>
      </c>
      <c r="D194" s="6">
        <f t="shared" ref="D194:D257" si="22">A194*C194</f>
        <v>122.838624</v>
      </c>
      <c r="E194" s="6">
        <f t="shared" si="19"/>
        <v>-28.525856000000001</v>
      </c>
      <c r="F194" s="6">
        <f t="shared" si="20"/>
        <v>-5.4249999999998744E-5</v>
      </c>
      <c r="G194" s="6">
        <f t="shared" ref="G194:G257" si="23">(A194-$L$5)*C194-E194</f>
        <v>110.5773499119253</v>
      </c>
      <c r="H194" s="7">
        <f t="shared" ref="H194:H257" si="24">IF(ABS(F194)&lt;0.000000001,"",-(G194)/(2*$L$4*F194)*0.000000000001)</f>
        <v>1.8748088339543488E-12</v>
      </c>
      <c r="I194" s="8" t="str">
        <f t="shared" ref="I194:I257" si="25">IF(AND(B194&gt;=0.5,B194&lt;=2.5,ISNUMBER(H194),H194&gt;0),H194,"")</f>
        <v/>
      </c>
    </row>
    <row r="195" spans="1:9" x14ac:dyDescent="0.2">
      <c r="A195" s="5">
        <v>1614</v>
      </c>
      <c r="B195" s="6">
        <v>0.119768</v>
      </c>
      <c r="C195" s="6">
        <f t="shared" si="21"/>
        <v>7.6768000000000003E-2</v>
      </c>
      <c r="D195" s="6">
        <f t="shared" si="22"/>
        <v>123.903552</v>
      </c>
      <c r="E195" s="6">
        <f t="shared" ref="E195:E258" si="26">E194+(C194+C195)/2*(A195-A194)</f>
        <v>-28.678637999999999</v>
      </c>
      <c r="F195" s="6">
        <f t="shared" ref="F195:F258" si="27">(B196-B194)/(A196-A194)</f>
        <v>-2.5725000000000053E-4</v>
      </c>
      <c r="G195" s="6">
        <f t="shared" si="23"/>
        <v>111.3904831749241</v>
      </c>
      <c r="H195" s="7">
        <f t="shared" si="24"/>
        <v>3.9827519654423438E-13</v>
      </c>
      <c r="I195" s="8" t="str">
        <f t="shared" si="25"/>
        <v/>
      </c>
    </row>
    <row r="196" spans="1:9" x14ac:dyDescent="0.2">
      <c r="A196" s="5">
        <v>1612</v>
      </c>
      <c r="B196" s="6">
        <v>0.120043</v>
      </c>
      <c r="C196" s="6">
        <f t="shared" si="21"/>
        <v>7.7043E-2</v>
      </c>
      <c r="D196" s="6">
        <f t="shared" si="22"/>
        <v>124.193316</v>
      </c>
      <c r="E196" s="6">
        <f t="shared" si="26"/>
        <v>-28.832449</v>
      </c>
      <c r="F196" s="6">
        <f t="shared" si="27"/>
        <v>-6.5249999999999336E-5</v>
      </c>
      <c r="G196" s="6">
        <f t="shared" si="23"/>
        <v>111.68650034644224</v>
      </c>
      <c r="H196" s="7">
        <f t="shared" si="24"/>
        <v>1.5743842010612289E-12</v>
      </c>
      <c r="I196" s="8" t="str">
        <f t="shared" si="25"/>
        <v/>
      </c>
    </row>
    <row r="197" spans="1:9" x14ac:dyDescent="0.2">
      <c r="A197" s="5">
        <v>1610</v>
      </c>
      <c r="B197" s="6">
        <v>0.120029</v>
      </c>
      <c r="C197" s="6">
        <f t="shared" si="21"/>
        <v>7.7029E-2</v>
      </c>
      <c r="D197" s="6">
        <f t="shared" si="22"/>
        <v>124.01669</v>
      </c>
      <c r="E197" s="6">
        <f t="shared" si="26"/>
        <v>-28.986521</v>
      </c>
      <c r="F197" s="6">
        <f t="shared" si="27"/>
        <v>-7.2500000000003118E-6</v>
      </c>
      <c r="G197" s="6">
        <f t="shared" si="23"/>
        <v>111.67145838134677</v>
      </c>
      <c r="H197" s="7">
        <f t="shared" si="24"/>
        <v>1.4167549463518049E-11</v>
      </c>
      <c r="I197" s="8" t="str">
        <f t="shared" si="25"/>
        <v/>
      </c>
    </row>
    <row r="198" spans="1:9" x14ac:dyDescent="0.2">
      <c r="A198" s="5">
        <v>1608</v>
      </c>
      <c r="B198" s="6">
        <v>0.120072</v>
      </c>
      <c r="C198" s="6">
        <f t="shared" si="21"/>
        <v>7.7072000000000002E-2</v>
      </c>
      <c r="D198" s="6">
        <f t="shared" si="22"/>
        <v>123.931776</v>
      </c>
      <c r="E198" s="6">
        <f t="shared" si="26"/>
        <v>-29.140622</v>
      </c>
      <c r="F198" s="6">
        <f t="shared" si="27"/>
        <v>3.974999999999812E-5</v>
      </c>
      <c r="G198" s="6">
        <f t="shared" si="23"/>
        <v>111.71757270271144</v>
      </c>
      <c r="H198" s="7">
        <f t="shared" si="24"/>
        <v>-2.5850855166052712E-12</v>
      </c>
      <c r="I198" s="8" t="str">
        <f t="shared" si="25"/>
        <v/>
      </c>
    </row>
    <row r="199" spans="1:9" x14ac:dyDescent="0.2">
      <c r="A199" s="5">
        <v>1606</v>
      </c>
      <c r="B199" s="6">
        <v>0.11987</v>
      </c>
      <c r="C199" s="6">
        <f t="shared" si="21"/>
        <v>7.6870000000000008E-2</v>
      </c>
      <c r="D199" s="6">
        <f t="shared" si="22"/>
        <v>123.45322000000002</v>
      </c>
      <c r="E199" s="6">
        <f t="shared" si="26"/>
        <v>-29.294564000000001</v>
      </c>
      <c r="F199" s="6">
        <f t="shared" si="27"/>
        <v>1.5199999999999936E-4</v>
      </c>
      <c r="G199" s="6">
        <f t="shared" si="23"/>
        <v>111.50134663490539</v>
      </c>
      <c r="H199" s="7">
        <f t="shared" si="24"/>
        <v>-6.7472543324054227E-13</v>
      </c>
      <c r="I199" s="8" t="str">
        <f t="shared" si="25"/>
        <v/>
      </c>
    </row>
    <row r="200" spans="1:9" x14ac:dyDescent="0.2">
      <c r="A200" s="5">
        <v>1604</v>
      </c>
      <c r="B200" s="6">
        <v>0.119464</v>
      </c>
      <c r="C200" s="6">
        <f t="shared" si="21"/>
        <v>7.6464000000000004E-2</v>
      </c>
      <c r="D200" s="6">
        <f t="shared" si="22"/>
        <v>122.648256</v>
      </c>
      <c r="E200" s="6">
        <f t="shared" si="26"/>
        <v>-29.447898000000002</v>
      </c>
      <c r="F200" s="6">
        <f t="shared" si="27"/>
        <v>1.7775000000000082E-4</v>
      </c>
      <c r="G200" s="6">
        <f t="shared" si="23"/>
        <v>111.0675656471368</v>
      </c>
      <c r="H200" s="7">
        <f t="shared" si="24"/>
        <v>-5.7473573399370295E-13</v>
      </c>
      <c r="I200" s="8" t="str">
        <f t="shared" si="25"/>
        <v/>
      </c>
    </row>
    <row r="201" spans="1:9" x14ac:dyDescent="0.2">
      <c r="A201" s="5">
        <v>1602</v>
      </c>
      <c r="B201" s="6">
        <v>0.119159</v>
      </c>
      <c r="C201" s="6">
        <f t="shared" si="21"/>
        <v>7.6159000000000004E-2</v>
      </c>
      <c r="D201" s="6">
        <f t="shared" si="22"/>
        <v>122.00671800000001</v>
      </c>
      <c r="E201" s="6">
        <f t="shared" si="26"/>
        <v>-29.600521000000001</v>
      </c>
      <c r="F201" s="6">
        <f t="shared" si="27"/>
        <v>2.1374999999999866E-4</v>
      </c>
      <c r="G201" s="6">
        <f t="shared" si="23"/>
        <v>110.74230569327122</v>
      </c>
      <c r="H201" s="7">
        <f t="shared" si="24"/>
        <v>-4.7653850093279755E-13</v>
      </c>
      <c r="I201" s="8" t="str">
        <f t="shared" si="25"/>
        <v/>
      </c>
    </row>
    <row r="202" spans="1:9" x14ac:dyDescent="0.2">
      <c r="A202" s="5">
        <v>1600</v>
      </c>
      <c r="B202" s="6">
        <v>0.11860900000000001</v>
      </c>
      <c r="C202" s="6">
        <f t="shared" si="21"/>
        <v>7.560900000000001E-2</v>
      </c>
      <c r="D202" s="6">
        <f t="shared" si="22"/>
        <v>120.97440000000002</v>
      </c>
      <c r="E202" s="6">
        <f t="shared" si="26"/>
        <v>-29.752289000000001</v>
      </c>
      <c r="F202" s="6">
        <f t="shared" si="27"/>
        <v>1.5574999999999964E-4</v>
      </c>
      <c r="G202" s="6">
        <f t="shared" si="23"/>
        <v>110.15687135023497</v>
      </c>
      <c r="H202" s="7">
        <f t="shared" si="24"/>
        <v>-6.5054013225093049E-13</v>
      </c>
      <c r="I202" s="8" t="str">
        <f t="shared" si="25"/>
        <v/>
      </c>
    </row>
    <row r="203" spans="1:9" x14ac:dyDescent="0.2">
      <c r="A203" s="5">
        <v>1598</v>
      </c>
      <c r="B203" s="6">
        <v>0.118536</v>
      </c>
      <c r="C203" s="6">
        <f t="shared" si="21"/>
        <v>7.5536000000000006E-2</v>
      </c>
      <c r="D203" s="6">
        <f t="shared" si="22"/>
        <v>120.70652800000001</v>
      </c>
      <c r="E203" s="6">
        <f t="shared" si="26"/>
        <v>-29.903434000000001</v>
      </c>
      <c r="F203" s="6">
        <f t="shared" si="27"/>
        <v>1.015000000000009E-4</v>
      </c>
      <c r="G203" s="6">
        <f t="shared" si="23"/>
        <v>110.07931424652287</v>
      </c>
      <c r="H203" s="7">
        <f t="shared" si="24"/>
        <v>-9.9753979351778044E-13</v>
      </c>
      <c r="I203" s="8" t="str">
        <f t="shared" si="25"/>
        <v/>
      </c>
    </row>
    <row r="204" spans="1:9" x14ac:dyDescent="0.2">
      <c r="A204" s="5">
        <v>1596</v>
      </c>
      <c r="B204" s="6">
        <v>0.118203</v>
      </c>
      <c r="C204" s="6">
        <f t="shared" si="21"/>
        <v>7.5203000000000006E-2</v>
      </c>
      <c r="D204" s="6">
        <f t="shared" si="22"/>
        <v>120.023988</v>
      </c>
      <c r="E204" s="6">
        <f t="shared" si="26"/>
        <v>-30.054173000000002</v>
      </c>
      <c r="F204" s="6">
        <f t="shared" si="27"/>
        <v>3.2500000000001278E-5</v>
      </c>
      <c r="G204" s="6">
        <f t="shared" si="23"/>
        <v>109.72619236246638</v>
      </c>
      <c r="H204" s="7">
        <f t="shared" si="24"/>
        <v>-3.1053996819624744E-12</v>
      </c>
      <c r="I204" s="8" t="str">
        <f t="shared" si="25"/>
        <v/>
      </c>
    </row>
    <row r="205" spans="1:9" x14ac:dyDescent="0.2">
      <c r="A205" s="5">
        <v>1594</v>
      </c>
      <c r="B205" s="6">
        <v>0.118406</v>
      </c>
      <c r="C205" s="6">
        <f t="shared" si="21"/>
        <v>7.5406000000000001E-2</v>
      </c>
      <c r="D205" s="6">
        <f t="shared" si="22"/>
        <v>120.197164</v>
      </c>
      <c r="E205" s="6">
        <f t="shared" si="26"/>
        <v>-30.204782000000002</v>
      </c>
      <c r="F205" s="6">
        <f t="shared" si="27"/>
        <v>-7.5999999999999679E-5</v>
      </c>
      <c r="G205" s="6">
        <f t="shared" si="23"/>
        <v>109.94105285635067</v>
      </c>
      <c r="H205" s="7">
        <f t="shared" si="24"/>
        <v>1.3305673296003148E-12</v>
      </c>
      <c r="I205" s="8" t="str">
        <f t="shared" si="25"/>
        <v/>
      </c>
    </row>
    <row r="206" spans="1:9" x14ac:dyDescent="0.2">
      <c r="A206" s="5">
        <v>1592</v>
      </c>
      <c r="B206" s="6">
        <v>0.118507</v>
      </c>
      <c r="C206" s="6">
        <f t="shared" si="21"/>
        <v>7.5507000000000005E-2</v>
      </c>
      <c r="D206" s="6">
        <f t="shared" si="22"/>
        <v>120.20714400000001</v>
      </c>
      <c r="E206" s="6">
        <f t="shared" si="26"/>
        <v>-30.355695000000001</v>
      </c>
      <c r="F206" s="6">
        <f t="shared" si="27"/>
        <v>6.5249999999999336E-5</v>
      </c>
      <c r="G206" s="6">
        <f t="shared" si="23"/>
        <v>110.04775189025368</v>
      </c>
      <c r="H206" s="7">
        <f t="shared" si="24"/>
        <v>-1.5512836502253291E-12</v>
      </c>
      <c r="I206" s="8" t="str">
        <f t="shared" si="25"/>
        <v/>
      </c>
    </row>
    <row r="207" spans="1:9" x14ac:dyDescent="0.2">
      <c r="A207" s="5">
        <v>1590</v>
      </c>
      <c r="B207" s="6">
        <v>0.118145</v>
      </c>
      <c r="C207" s="6">
        <f t="shared" si="21"/>
        <v>7.5145000000000003E-2</v>
      </c>
      <c r="D207" s="6">
        <f t="shared" si="22"/>
        <v>119.48055000000001</v>
      </c>
      <c r="E207" s="6">
        <f t="shared" si="26"/>
        <v>-30.506347000000002</v>
      </c>
      <c r="F207" s="6">
        <f t="shared" si="27"/>
        <v>8.7000000000000272E-5</v>
      </c>
      <c r="G207" s="6">
        <f t="shared" si="23"/>
        <v>109.666049649928</v>
      </c>
      <c r="H207" s="7">
        <f t="shared" si="24"/>
        <v>-1.1594272501113021E-12</v>
      </c>
      <c r="I207" s="8" t="str">
        <f t="shared" si="25"/>
        <v/>
      </c>
    </row>
    <row r="208" spans="1:9" x14ac:dyDescent="0.2">
      <c r="A208" s="5">
        <v>1588</v>
      </c>
      <c r="B208" s="6">
        <v>0.118159</v>
      </c>
      <c r="C208" s="6">
        <f t="shared" si="21"/>
        <v>7.5159000000000004E-2</v>
      </c>
      <c r="D208" s="6">
        <f t="shared" si="22"/>
        <v>119.35249200000001</v>
      </c>
      <c r="E208" s="6">
        <f t="shared" si="26"/>
        <v>-30.656651</v>
      </c>
      <c r="F208" s="6">
        <f t="shared" si="27"/>
        <v>-1.4500000000000624E-5</v>
      </c>
      <c r="G208" s="6">
        <f t="shared" si="23"/>
        <v>109.68078361502346</v>
      </c>
      <c r="H208" s="7">
        <f t="shared" si="24"/>
        <v>6.9574981359911409E-12</v>
      </c>
      <c r="I208" s="8" t="str">
        <f t="shared" si="25"/>
        <v/>
      </c>
    </row>
    <row r="209" spans="1:9" x14ac:dyDescent="0.2">
      <c r="A209" s="5">
        <v>1586</v>
      </c>
      <c r="B209" s="6">
        <v>0.118203</v>
      </c>
      <c r="C209" s="6">
        <f t="shared" si="21"/>
        <v>7.5203000000000006E-2</v>
      </c>
      <c r="D209" s="6">
        <f t="shared" si="22"/>
        <v>119.27195800000001</v>
      </c>
      <c r="E209" s="6">
        <f t="shared" si="26"/>
        <v>-30.807013000000001</v>
      </c>
      <c r="F209" s="6">
        <f t="shared" si="27"/>
        <v>-3.6250000000001559E-5</v>
      </c>
      <c r="G209" s="6">
        <f t="shared" si="23"/>
        <v>109.72700236246637</v>
      </c>
      <c r="H209" s="7">
        <f t="shared" si="24"/>
        <v>2.7841719916384167E-12</v>
      </c>
      <c r="I209" s="8" t="str">
        <f t="shared" si="25"/>
        <v/>
      </c>
    </row>
    <row r="210" spans="1:9" x14ac:dyDescent="0.2">
      <c r="A210" s="5">
        <v>1584</v>
      </c>
      <c r="B210" s="6">
        <v>0.11830400000000001</v>
      </c>
      <c r="C210" s="6">
        <f t="shared" si="21"/>
        <v>7.530400000000001E-2</v>
      </c>
      <c r="D210" s="6">
        <f t="shared" si="22"/>
        <v>119.28153600000002</v>
      </c>
      <c r="E210" s="6">
        <f t="shared" si="26"/>
        <v>-30.957520000000002</v>
      </c>
      <c r="F210" s="6">
        <f t="shared" si="27"/>
        <v>-2.2099999999999898E-4</v>
      </c>
      <c r="G210" s="6">
        <f t="shared" si="23"/>
        <v>109.8328933963694</v>
      </c>
      <c r="H210" s="7">
        <f t="shared" si="24"/>
        <v>4.5712050964231219E-13</v>
      </c>
      <c r="I210" s="8" t="str">
        <f t="shared" si="25"/>
        <v/>
      </c>
    </row>
    <row r="211" spans="1:9" x14ac:dyDescent="0.2">
      <c r="A211" s="5">
        <v>1582</v>
      </c>
      <c r="B211" s="6">
        <v>0.119087</v>
      </c>
      <c r="C211" s="6">
        <f t="shared" si="21"/>
        <v>7.6087000000000002E-2</v>
      </c>
      <c r="D211" s="6">
        <f t="shared" si="22"/>
        <v>120.369634</v>
      </c>
      <c r="E211" s="6">
        <f t="shared" si="26"/>
        <v>-31.108911000000003</v>
      </c>
      <c r="F211" s="6">
        <f t="shared" si="27"/>
        <v>-1.774999999999971E-4</v>
      </c>
      <c r="G211" s="6">
        <f t="shared" si="23"/>
        <v>110.65224501563739</v>
      </c>
      <c r="H211" s="7">
        <f t="shared" si="24"/>
        <v>5.7339305524795156E-13</v>
      </c>
      <c r="I211" s="8" t="str">
        <f t="shared" si="25"/>
        <v/>
      </c>
    </row>
    <row r="212" spans="1:9" x14ac:dyDescent="0.2">
      <c r="A212" s="5">
        <v>1580</v>
      </c>
      <c r="B212" s="6">
        <v>0.11901399999999999</v>
      </c>
      <c r="C212" s="6">
        <f t="shared" si="21"/>
        <v>7.6013999999999998E-2</v>
      </c>
      <c r="D212" s="6">
        <f t="shared" si="22"/>
        <v>120.10212</v>
      </c>
      <c r="E212" s="6">
        <f t="shared" si="26"/>
        <v>-31.261012000000001</v>
      </c>
      <c r="F212" s="6">
        <f t="shared" si="27"/>
        <v>4.3499999999998401E-5</v>
      </c>
      <c r="G212" s="6">
        <f t="shared" si="23"/>
        <v>110.57600191192529</v>
      </c>
      <c r="H212" s="7">
        <f t="shared" si="24"/>
        <v>-2.3380951576955956E-12</v>
      </c>
      <c r="I212" s="8" t="str">
        <f t="shared" si="25"/>
        <v/>
      </c>
    </row>
    <row r="213" spans="1:9" x14ac:dyDescent="0.2">
      <c r="A213" s="5">
        <v>1578</v>
      </c>
      <c r="B213" s="6">
        <v>0.118913</v>
      </c>
      <c r="C213" s="6">
        <f t="shared" si="21"/>
        <v>7.5913000000000008E-2</v>
      </c>
      <c r="D213" s="6">
        <f t="shared" si="22"/>
        <v>119.79071400000001</v>
      </c>
      <c r="E213" s="6">
        <f t="shared" si="26"/>
        <v>-31.412939000000001</v>
      </c>
      <c r="F213" s="6">
        <f t="shared" si="27"/>
        <v>-2.5500000000001216E-5</v>
      </c>
      <c r="G213" s="6">
        <f t="shared" si="23"/>
        <v>110.47071687802227</v>
      </c>
      <c r="H213" s="7">
        <f t="shared" si="24"/>
        <v>3.9847176008172462E-12</v>
      </c>
      <c r="I213" s="8" t="str">
        <f t="shared" si="25"/>
        <v/>
      </c>
    </row>
    <row r="214" spans="1:9" x14ac:dyDescent="0.2">
      <c r="A214" s="5">
        <v>1576</v>
      </c>
      <c r="B214" s="6">
        <v>0.119116</v>
      </c>
      <c r="C214" s="6">
        <f t="shared" si="21"/>
        <v>7.6116000000000003E-2</v>
      </c>
      <c r="D214" s="6">
        <f t="shared" si="22"/>
        <v>119.958816</v>
      </c>
      <c r="E214" s="6">
        <f t="shared" si="26"/>
        <v>-31.564968</v>
      </c>
      <c r="F214" s="6">
        <f t="shared" si="27"/>
        <v>-6.1499999999999055E-5</v>
      </c>
      <c r="G214" s="6">
        <f t="shared" si="23"/>
        <v>110.68192337190658</v>
      </c>
      <c r="H214" s="7">
        <f t="shared" si="24"/>
        <v>1.6553587850330568E-12</v>
      </c>
      <c r="I214" s="8" t="str">
        <f t="shared" si="25"/>
        <v/>
      </c>
    </row>
    <row r="215" spans="1:9" x14ac:dyDescent="0.2">
      <c r="A215" s="5">
        <v>1574</v>
      </c>
      <c r="B215" s="6">
        <v>0.119159</v>
      </c>
      <c r="C215" s="6">
        <f t="shared" si="21"/>
        <v>7.6159000000000004E-2</v>
      </c>
      <c r="D215" s="6">
        <f t="shared" si="22"/>
        <v>119.87426600000001</v>
      </c>
      <c r="E215" s="6">
        <f t="shared" si="26"/>
        <v>-31.717243</v>
      </c>
      <c r="F215" s="6">
        <f t="shared" si="27"/>
        <v>-1.0875000000000121E-4</v>
      </c>
      <c r="G215" s="6">
        <f t="shared" si="23"/>
        <v>110.72657569327122</v>
      </c>
      <c r="H215" s="7">
        <f t="shared" si="24"/>
        <v>9.3651159738203367E-13</v>
      </c>
      <c r="I215" s="8" t="str">
        <f t="shared" si="25"/>
        <v/>
      </c>
    </row>
    <row r="216" spans="1:9" x14ac:dyDescent="0.2">
      <c r="A216" s="5">
        <v>1572</v>
      </c>
      <c r="B216" s="6">
        <v>0.119551</v>
      </c>
      <c r="C216" s="6">
        <f t="shared" si="21"/>
        <v>7.6551000000000008E-2</v>
      </c>
      <c r="D216" s="6">
        <f t="shared" si="22"/>
        <v>120.33817200000001</v>
      </c>
      <c r="E216" s="6">
        <f t="shared" si="26"/>
        <v>-31.869952999999999</v>
      </c>
      <c r="F216" s="6">
        <f t="shared" si="27"/>
        <v>-4.7249999999998682E-5</v>
      </c>
      <c r="G216" s="6">
        <f t="shared" si="23"/>
        <v>111.13285471594435</v>
      </c>
      <c r="H216" s="7">
        <f t="shared" si="24"/>
        <v>2.1633720467498166E-12</v>
      </c>
      <c r="I216" s="8" t="str">
        <f t="shared" si="25"/>
        <v/>
      </c>
    </row>
    <row r="217" spans="1:9" x14ac:dyDescent="0.2">
      <c r="A217" s="5">
        <v>1570</v>
      </c>
      <c r="B217" s="6">
        <v>0.119348</v>
      </c>
      <c r="C217" s="6">
        <f t="shared" si="21"/>
        <v>7.6347999999999999E-2</v>
      </c>
      <c r="D217" s="6">
        <f t="shared" si="22"/>
        <v>119.86636</v>
      </c>
      <c r="E217" s="6">
        <f t="shared" si="26"/>
        <v>-32.022852</v>
      </c>
      <c r="F217" s="6">
        <f t="shared" si="27"/>
        <v>1.5224999999999961E-4</v>
      </c>
      <c r="G217" s="6">
        <f t="shared" si="23"/>
        <v>110.92286622206005</v>
      </c>
      <c r="H217" s="7">
        <f t="shared" si="24"/>
        <v>-6.7012271303310501E-13</v>
      </c>
      <c r="I217" s="8" t="str">
        <f t="shared" si="25"/>
        <v/>
      </c>
    </row>
    <row r="218" spans="1:9" x14ac:dyDescent="0.2">
      <c r="A218" s="5">
        <v>1568</v>
      </c>
      <c r="B218" s="6">
        <v>0.11894200000000001</v>
      </c>
      <c r="C218" s="6">
        <f t="shared" si="21"/>
        <v>7.5942000000000009E-2</v>
      </c>
      <c r="D218" s="6">
        <f t="shared" si="22"/>
        <v>119.07705600000001</v>
      </c>
      <c r="E218" s="6">
        <f t="shared" si="26"/>
        <v>-32.175142000000001</v>
      </c>
      <c r="F218" s="6">
        <f t="shared" si="27"/>
        <v>2.8274999999999828E-4</v>
      </c>
      <c r="G218" s="6">
        <f t="shared" si="23"/>
        <v>110.50370123429147</v>
      </c>
      <c r="H218" s="7">
        <f t="shared" si="24"/>
        <v>-3.5947175113251652E-13</v>
      </c>
      <c r="I218" s="8" t="str">
        <f t="shared" si="25"/>
        <v/>
      </c>
    </row>
    <row r="219" spans="1:9" x14ac:dyDescent="0.2">
      <c r="A219" s="5">
        <v>1566</v>
      </c>
      <c r="B219" s="6">
        <v>0.118217</v>
      </c>
      <c r="C219" s="6">
        <f t="shared" si="21"/>
        <v>7.5217000000000006E-2</v>
      </c>
      <c r="D219" s="6">
        <f t="shared" si="22"/>
        <v>117.78982200000002</v>
      </c>
      <c r="E219" s="6">
        <f t="shared" si="26"/>
        <v>-32.326301000000001</v>
      </c>
      <c r="F219" s="6">
        <f t="shared" si="27"/>
        <v>2.6450000000000085E-4</v>
      </c>
      <c r="G219" s="6">
        <f t="shared" si="23"/>
        <v>109.75664232756183</v>
      </c>
      <c r="H219" s="7">
        <f t="shared" si="24"/>
        <v>-3.8167673859337755E-13</v>
      </c>
      <c r="I219" s="8" t="str">
        <f t="shared" si="25"/>
        <v/>
      </c>
    </row>
    <row r="220" spans="1:9" x14ac:dyDescent="0.2">
      <c r="A220" s="5">
        <v>1564</v>
      </c>
      <c r="B220" s="6">
        <v>0.117884</v>
      </c>
      <c r="C220" s="6">
        <f t="shared" si="21"/>
        <v>7.4884000000000006E-2</v>
      </c>
      <c r="D220" s="6">
        <f t="shared" si="22"/>
        <v>117.118576</v>
      </c>
      <c r="E220" s="6">
        <f t="shared" si="26"/>
        <v>-32.476402</v>
      </c>
      <c r="F220" s="6">
        <f t="shared" si="27"/>
        <v>1.9550000000000123E-4</v>
      </c>
      <c r="G220" s="6">
        <f t="shared" si="23"/>
        <v>109.41417644350534</v>
      </c>
      <c r="H220" s="7">
        <f t="shared" si="24"/>
        <v>-5.1477493250220024E-13</v>
      </c>
      <c r="I220" s="8" t="str">
        <f t="shared" si="25"/>
        <v/>
      </c>
    </row>
    <row r="221" spans="1:9" x14ac:dyDescent="0.2">
      <c r="A221" s="5">
        <v>1562</v>
      </c>
      <c r="B221" s="6">
        <v>0.117435</v>
      </c>
      <c r="C221" s="6">
        <f t="shared" si="21"/>
        <v>7.4435000000000001E-2</v>
      </c>
      <c r="D221" s="6">
        <f t="shared" si="22"/>
        <v>116.26747</v>
      </c>
      <c r="E221" s="6">
        <f t="shared" si="26"/>
        <v>-32.625720999999999</v>
      </c>
      <c r="F221" s="6">
        <f t="shared" si="27"/>
        <v>-3.7500000000002809E-6</v>
      </c>
      <c r="G221" s="6">
        <f t="shared" si="23"/>
        <v>108.95331113437209</v>
      </c>
      <c r="H221" s="7">
        <f t="shared" si="24"/>
        <v>2.6723892846299713E-11</v>
      </c>
      <c r="I221" s="8" t="str">
        <f t="shared" si="25"/>
        <v/>
      </c>
    </row>
    <row r="222" spans="1:9" x14ac:dyDescent="0.2">
      <c r="A222" s="5">
        <v>1560</v>
      </c>
      <c r="B222" s="6">
        <v>0.117899</v>
      </c>
      <c r="C222" s="6">
        <f t="shared" si="21"/>
        <v>7.4899000000000007E-2</v>
      </c>
      <c r="D222" s="6">
        <f t="shared" si="22"/>
        <v>116.84244000000001</v>
      </c>
      <c r="E222" s="6">
        <f t="shared" si="26"/>
        <v>-32.775055000000002</v>
      </c>
      <c r="F222" s="6">
        <f t="shared" si="27"/>
        <v>-1.3050000000000214E-4</v>
      </c>
      <c r="G222" s="6">
        <f t="shared" si="23"/>
        <v>109.42864483467906</v>
      </c>
      <c r="H222" s="7">
        <f t="shared" si="24"/>
        <v>7.7127821642207374E-13</v>
      </c>
      <c r="I222" s="8" t="str">
        <f t="shared" si="25"/>
        <v/>
      </c>
    </row>
    <row r="223" spans="1:9" x14ac:dyDescent="0.2">
      <c r="A223" s="5">
        <v>1558</v>
      </c>
      <c r="B223" s="6">
        <v>0.11795700000000001</v>
      </c>
      <c r="C223" s="6">
        <f t="shared" si="21"/>
        <v>7.495700000000001E-2</v>
      </c>
      <c r="D223" s="6">
        <f t="shared" si="22"/>
        <v>116.78300600000001</v>
      </c>
      <c r="E223" s="6">
        <f t="shared" si="26"/>
        <v>-32.924911000000002</v>
      </c>
      <c r="F223" s="6">
        <f t="shared" si="27"/>
        <v>1.015000000000009E-4</v>
      </c>
      <c r="G223" s="6">
        <f t="shared" si="23"/>
        <v>109.48794554721744</v>
      </c>
      <c r="H223" s="7">
        <f t="shared" si="24"/>
        <v>-9.9218080473559303E-13</v>
      </c>
      <c r="I223" s="8" t="str">
        <f t="shared" si="25"/>
        <v/>
      </c>
    </row>
    <row r="224" spans="1:9" x14ac:dyDescent="0.2">
      <c r="A224" s="5">
        <v>1556</v>
      </c>
      <c r="B224" s="6">
        <v>0.117493</v>
      </c>
      <c r="C224" s="6">
        <f t="shared" si="21"/>
        <v>7.4493000000000004E-2</v>
      </c>
      <c r="D224" s="6">
        <f t="shared" si="22"/>
        <v>115.911108</v>
      </c>
      <c r="E224" s="6">
        <f t="shared" si="26"/>
        <v>-33.074361000000003</v>
      </c>
      <c r="F224" s="6">
        <f t="shared" si="27"/>
        <v>2.2850000000000301E-4</v>
      </c>
      <c r="G224" s="6">
        <f t="shared" si="23"/>
        <v>109.01446784691046</v>
      </c>
      <c r="H224" s="7">
        <f t="shared" si="24"/>
        <v>-4.388220995571666E-13</v>
      </c>
      <c r="I224" s="8" t="str">
        <f t="shared" si="25"/>
        <v/>
      </c>
    </row>
    <row r="225" spans="1:9" x14ac:dyDescent="0.2">
      <c r="A225" s="5">
        <v>1554</v>
      </c>
      <c r="B225" s="6">
        <v>0.11704299999999999</v>
      </c>
      <c r="C225" s="6">
        <f t="shared" si="21"/>
        <v>7.4042999999999998E-2</v>
      </c>
      <c r="D225" s="6">
        <f t="shared" si="22"/>
        <v>115.062822</v>
      </c>
      <c r="E225" s="6">
        <f t="shared" si="26"/>
        <v>-33.222897000000003</v>
      </c>
      <c r="F225" s="6">
        <f t="shared" si="27"/>
        <v>-4.6999999999998432E-5</v>
      </c>
      <c r="G225" s="6">
        <f t="shared" si="23"/>
        <v>108.55617611169896</v>
      </c>
      <c r="H225" s="7">
        <f t="shared" si="24"/>
        <v>2.1244535271496287E-12</v>
      </c>
      <c r="I225" s="8" t="str">
        <f t="shared" si="25"/>
        <v/>
      </c>
    </row>
    <row r="226" spans="1:9" x14ac:dyDescent="0.2">
      <c r="A226" s="5">
        <v>1552</v>
      </c>
      <c r="B226" s="6">
        <v>0.11768099999999999</v>
      </c>
      <c r="C226" s="6">
        <f t="shared" si="21"/>
        <v>7.4680999999999997E-2</v>
      </c>
      <c r="D226" s="6">
        <f t="shared" si="22"/>
        <v>115.904912</v>
      </c>
      <c r="E226" s="6">
        <f t="shared" si="26"/>
        <v>-33.371621000000005</v>
      </c>
      <c r="F226" s="6">
        <f t="shared" si="27"/>
        <v>-1.9225000000000145E-4</v>
      </c>
      <c r="G226" s="6">
        <f t="shared" si="23"/>
        <v>109.20465594962103</v>
      </c>
      <c r="H226" s="7">
        <f t="shared" si="24"/>
        <v>5.2247481725940251E-13</v>
      </c>
      <c r="I226" s="8" t="str">
        <f t="shared" si="25"/>
        <v/>
      </c>
    </row>
    <row r="227" spans="1:9" x14ac:dyDescent="0.2">
      <c r="A227" s="5">
        <v>1550</v>
      </c>
      <c r="B227" s="6">
        <v>0.117812</v>
      </c>
      <c r="C227" s="6">
        <f t="shared" si="21"/>
        <v>7.4812000000000003E-2</v>
      </c>
      <c r="D227" s="6">
        <f t="shared" si="22"/>
        <v>115.9586</v>
      </c>
      <c r="E227" s="6">
        <f t="shared" si="26"/>
        <v>-33.521114000000004</v>
      </c>
      <c r="F227" s="6">
        <f t="shared" si="27"/>
        <v>6.5249999999999336E-5</v>
      </c>
      <c r="G227" s="6">
        <f t="shared" si="23"/>
        <v>109.33754576587148</v>
      </c>
      <c r="H227" s="7">
        <f t="shared" si="24"/>
        <v>-1.5412722585329052E-12</v>
      </c>
      <c r="I227" s="8" t="str">
        <f t="shared" si="25"/>
        <v/>
      </c>
    </row>
    <row r="228" spans="1:9" x14ac:dyDescent="0.2">
      <c r="A228" s="5">
        <v>1548</v>
      </c>
      <c r="B228" s="6">
        <v>0.11742</v>
      </c>
      <c r="C228" s="6">
        <f t="shared" si="21"/>
        <v>7.442E-2</v>
      </c>
      <c r="D228" s="6">
        <f t="shared" si="22"/>
        <v>115.20216000000001</v>
      </c>
      <c r="E228" s="6">
        <f t="shared" si="26"/>
        <v>-33.670346000000002</v>
      </c>
      <c r="F228" s="6">
        <f t="shared" si="27"/>
        <v>-6.4999999999999086E-5</v>
      </c>
      <c r="G228" s="6">
        <f t="shared" si="23"/>
        <v>108.94067474319837</v>
      </c>
      <c r="H228" s="7">
        <f t="shared" si="24"/>
        <v>1.5415842353427277E-12</v>
      </c>
      <c r="I228" s="8" t="str">
        <f t="shared" si="25"/>
        <v/>
      </c>
    </row>
    <row r="229" spans="1:9" x14ac:dyDescent="0.2">
      <c r="A229" s="5">
        <v>1546</v>
      </c>
      <c r="B229" s="6">
        <v>0.118072</v>
      </c>
      <c r="C229" s="6">
        <f t="shared" si="21"/>
        <v>7.5072E-2</v>
      </c>
      <c r="D229" s="6">
        <f t="shared" si="22"/>
        <v>116.061312</v>
      </c>
      <c r="E229" s="6">
        <f t="shared" si="26"/>
        <v>-33.819838000000004</v>
      </c>
      <c r="F229" s="6">
        <f t="shared" si="27"/>
        <v>-6.8999999999999617E-5</v>
      </c>
      <c r="G229" s="6">
        <f t="shared" si="23"/>
        <v>109.59947254621591</v>
      </c>
      <c r="H229" s="7">
        <f t="shared" si="24"/>
        <v>1.4609990368319699E-12</v>
      </c>
      <c r="I229" s="8" t="str">
        <f t="shared" si="25"/>
        <v/>
      </c>
    </row>
    <row r="230" spans="1:9" x14ac:dyDescent="0.2">
      <c r="A230" s="5">
        <v>1544</v>
      </c>
      <c r="B230" s="6">
        <v>0.117696</v>
      </c>
      <c r="C230" s="6">
        <f t="shared" si="21"/>
        <v>7.4695999999999999E-2</v>
      </c>
      <c r="D230" s="6">
        <f t="shared" si="22"/>
        <v>115.330624</v>
      </c>
      <c r="E230" s="6">
        <f t="shared" si="26"/>
        <v>-33.969606000000006</v>
      </c>
      <c r="F230" s="6">
        <f t="shared" si="27"/>
        <v>1.8474999999999742E-4</v>
      </c>
      <c r="G230" s="6">
        <f t="shared" si="23"/>
        <v>109.22030434079474</v>
      </c>
      <c r="H230" s="7">
        <f t="shared" si="24"/>
        <v>-5.4376279791016968E-13</v>
      </c>
      <c r="I230" s="8" t="str">
        <f t="shared" si="25"/>
        <v/>
      </c>
    </row>
    <row r="231" spans="1:9" x14ac:dyDescent="0.2">
      <c r="A231" s="5">
        <v>1542</v>
      </c>
      <c r="B231" s="6">
        <v>0.11733300000000001</v>
      </c>
      <c r="C231" s="6">
        <f t="shared" si="21"/>
        <v>7.433300000000001E-2</v>
      </c>
      <c r="D231" s="6">
        <f t="shared" si="22"/>
        <v>114.62148600000002</v>
      </c>
      <c r="E231" s="6">
        <f t="shared" si="26"/>
        <v>-34.118635000000005</v>
      </c>
      <c r="F231" s="6">
        <f t="shared" si="27"/>
        <v>8.3500000000000241E-5</v>
      </c>
      <c r="G231" s="6">
        <f t="shared" si="23"/>
        <v>108.85497167439081</v>
      </c>
      <c r="H231" s="7">
        <f t="shared" si="24"/>
        <v>-1.1990915704395897E-12</v>
      </c>
      <c r="I231" s="8" t="str">
        <f t="shared" si="25"/>
        <v/>
      </c>
    </row>
    <row r="232" spans="1:9" x14ac:dyDescent="0.2">
      <c r="A232" s="5">
        <v>1540</v>
      </c>
      <c r="B232" s="6">
        <v>0.11736199999999999</v>
      </c>
      <c r="C232" s="6">
        <f t="shared" si="21"/>
        <v>7.4361999999999998E-2</v>
      </c>
      <c r="D232" s="6">
        <f t="shared" si="22"/>
        <v>114.51747999999999</v>
      </c>
      <c r="E232" s="6">
        <f t="shared" si="26"/>
        <v>-34.267330000000001</v>
      </c>
      <c r="F232" s="6">
        <f t="shared" si="27"/>
        <v>-7.2499999999968423E-6</v>
      </c>
      <c r="G232" s="6">
        <f t="shared" si="23"/>
        <v>108.88410003065999</v>
      </c>
      <c r="H232" s="7">
        <f t="shared" si="24"/>
        <v>1.3813922512839996E-11</v>
      </c>
      <c r="I232" s="8" t="str">
        <f t="shared" si="25"/>
        <v/>
      </c>
    </row>
    <row r="233" spans="1:9" x14ac:dyDescent="0.2">
      <c r="A233" s="5">
        <v>1538</v>
      </c>
      <c r="B233" s="6">
        <v>0.11736199999999999</v>
      </c>
      <c r="C233" s="6">
        <f t="shared" si="21"/>
        <v>7.4361999999999998E-2</v>
      </c>
      <c r="D233" s="6">
        <f t="shared" si="22"/>
        <v>114.36875599999999</v>
      </c>
      <c r="E233" s="6">
        <f t="shared" si="26"/>
        <v>-34.416054000000003</v>
      </c>
      <c r="F233" s="6">
        <f t="shared" si="27"/>
        <v>-9.4250000000000583E-5</v>
      </c>
      <c r="G233" s="6">
        <f t="shared" si="23"/>
        <v>108.88410003065999</v>
      </c>
      <c r="H233" s="7">
        <f t="shared" si="24"/>
        <v>1.0626094240641456E-12</v>
      </c>
      <c r="I233" s="8" t="str">
        <f t="shared" si="25"/>
        <v/>
      </c>
    </row>
    <row r="234" spans="1:9" x14ac:dyDescent="0.2">
      <c r="A234" s="5">
        <v>1536</v>
      </c>
      <c r="B234" s="6">
        <v>0.117739</v>
      </c>
      <c r="C234" s="6">
        <f t="shared" si="21"/>
        <v>7.4739E-2</v>
      </c>
      <c r="D234" s="6">
        <f t="shared" si="22"/>
        <v>114.799104</v>
      </c>
      <c r="E234" s="6">
        <f t="shared" si="26"/>
        <v>-34.565155000000004</v>
      </c>
      <c r="F234" s="6">
        <f t="shared" si="27"/>
        <v>-1.7025000000000026E-4</v>
      </c>
      <c r="G234" s="6">
        <f t="shared" si="23"/>
        <v>109.2612606621594</v>
      </c>
      <c r="H234" s="7">
        <f t="shared" si="24"/>
        <v>5.9029573151934966E-13</v>
      </c>
      <c r="I234" s="8" t="str">
        <f t="shared" si="25"/>
        <v/>
      </c>
    </row>
    <row r="235" spans="1:9" x14ac:dyDescent="0.2">
      <c r="A235" s="5">
        <v>1534</v>
      </c>
      <c r="B235" s="6">
        <v>0.118043</v>
      </c>
      <c r="C235" s="6">
        <f t="shared" si="21"/>
        <v>7.5042999999999999E-2</v>
      </c>
      <c r="D235" s="6">
        <f t="shared" si="22"/>
        <v>115.115962</v>
      </c>
      <c r="E235" s="6">
        <f t="shared" si="26"/>
        <v>-34.714937000000006</v>
      </c>
      <c r="F235" s="6">
        <f t="shared" si="27"/>
        <v>-2.6825000000000113E-4</v>
      </c>
      <c r="G235" s="6">
        <f t="shared" si="23"/>
        <v>109.56478218994673</v>
      </c>
      <c r="H235" s="7">
        <f t="shared" si="24"/>
        <v>3.7568322669533975E-13</v>
      </c>
      <c r="I235" s="8" t="str">
        <f t="shared" si="25"/>
        <v/>
      </c>
    </row>
    <row r="236" spans="1:9" x14ac:dyDescent="0.2">
      <c r="A236" s="5">
        <v>1532</v>
      </c>
      <c r="B236" s="6">
        <v>0.118812</v>
      </c>
      <c r="C236" s="6">
        <f t="shared" si="21"/>
        <v>7.5812000000000004E-2</v>
      </c>
      <c r="D236" s="6">
        <f t="shared" si="22"/>
        <v>116.143984</v>
      </c>
      <c r="E236" s="6">
        <f t="shared" si="26"/>
        <v>-34.865792000000006</v>
      </c>
      <c r="F236" s="6">
        <f t="shared" si="27"/>
        <v>-5.4500000000002463E-5</v>
      </c>
      <c r="G236" s="6">
        <f t="shared" si="23"/>
        <v>110.33103384411925</v>
      </c>
      <c r="H236" s="7">
        <f t="shared" si="24"/>
        <v>1.8620517286070143E-12</v>
      </c>
      <c r="I236" s="8" t="str">
        <f t="shared" si="25"/>
        <v/>
      </c>
    </row>
    <row r="237" spans="1:9" x14ac:dyDescent="0.2">
      <c r="A237" s="5">
        <v>1530</v>
      </c>
      <c r="B237" s="6">
        <v>0.11826100000000001</v>
      </c>
      <c r="C237" s="6">
        <f t="shared" si="21"/>
        <v>7.5261000000000008E-2</v>
      </c>
      <c r="D237" s="6">
        <f t="shared" si="22"/>
        <v>115.14933000000001</v>
      </c>
      <c r="E237" s="6">
        <f t="shared" si="26"/>
        <v>-35.016865000000003</v>
      </c>
      <c r="F237" s="6">
        <f t="shared" si="27"/>
        <v>6.5249999999999336E-5</v>
      </c>
      <c r="G237" s="6">
        <f t="shared" si="23"/>
        <v>109.78310507500476</v>
      </c>
      <c r="H237" s="7">
        <f t="shared" si="24"/>
        <v>-1.547553067178169E-12</v>
      </c>
      <c r="I237" s="8" t="str">
        <f t="shared" si="25"/>
        <v/>
      </c>
    </row>
    <row r="238" spans="1:9" x14ac:dyDescent="0.2">
      <c r="A238" s="5">
        <v>1528</v>
      </c>
      <c r="B238" s="6">
        <v>0.118551</v>
      </c>
      <c r="C238" s="6">
        <f t="shared" si="21"/>
        <v>7.5551000000000007E-2</v>
      </c>
      <c r="D238" s="6">
        <f t="shared" si="22"/>
        <v>115.441928</v>
      </c>
      <c r="E238" s="6">
        <f t="shared" si="26"/>
        <v>-35.167677000000005</v>
      </c>
      <c r="F238" s="6">
        <f t="shared" si="27"/>
        <v>-6.8749999999999367E-5</v>
      </c>
      <c r="G238" s="6">
        <f t="shared" si="23"/>
        <v>110.07090863769659</v>
      </c>
      <c r="H238" s="7">
        <f t="shared" si="24"/>
        <v>1.4726190198367464E-12</v>
      </c>
      <c r="I238" s="8" t="str">
        <f t="shared" si="25"/>
        <v/>
      </c>
    </row>
    <row r="239" spans="1:9" x14ac:dyDescent="0.2">
      <c r="A239" s="5">
        <v>1526</v>
      </c>
      <c r="B239" s="6">
        <v>0.118536</v>
      </c>
      <c r="C239" s="6">
        <f t="shared" si="21"/>
        <v>7.5536000000000006E-2</v>
      </c>
      <c r="D239" s="6">
        <f t="shared" si="22"/>
        <v>115.26793600000001</v>
      </c>
      <c r="E239" s="6">
        <f t="shared" si="26"/>
        <v>-35.318764000000002</v>
      </c>
      <c r="F239" s="6">
        <f t="shared" si="27"/>
        <v>-1.7750000000000057E-4</v>
      </c>
      <c r="G239" s="6">
        <f t="shared" si="23"/>
        <v>110.05605224652287</v>
      </c>
      <c r="H239" s="7">
        <f t="shared" si="24"/>
        <v>5.7030362137923747E-13</v>
      </c>
      <c r="I239" s="8" t="str">
        <f t="shared" si="25"/>
        <v/>
      </c>
    </row>
    <row r="240" spans="1:9" x14ac:dyDescent="0.2">
      <c r="A240" s="5">
        <v>1524</v>
      </c>
      <c r="B240" s="6">
        <v>0.11926100000000001</v>
      </c>
      <c r="C240" s="6">
        <f t="shared" si="21"/>
        <v>7.6261000000000009E-2</v>
      </c>
      <c r="D240" s="6">
        <f t="shared" si="22"/>
        <v>116.22176400000001</v>
      </c>
      <c r="E240" s="6">
        <f t="shared" si="26"/>
        <v>-35.470561000000004</v>
      </c>
      <c r="F240" s="6">
        <f t="shared" si="27"/>
        <v>-1.2324999999999836E-4</v>
      </c>
      <c r="G240" s="6">
        <f t="shared" si="23"/>
        <v>110.7726611532525</v>
      </c>
      <c r="H240" s="7">
        <f t="shared" si="24"/>
        <v>8.2667769041230628E-13</v>
      </c>
      <c r="I240" s="8" t="str">
        <f t="shared" si="25"/>
        <v/>
      </c>
    </row>
    <row r="241" spans="1:9" x14ac:dyDescent="0.2">
      <c r="A241" s="5">
        <v>1522</v>
      </c>
      <c r="B241" s="6">
        <v>0.119029</v>
      </c>
      <c r="C241" s="6">
        <f t="shared" si="21"/>
        <v>7.6028999999999999E-2</v>
      </c>
      <c r="D241" s="6">
        <f t="shared" si="22"/>
        <v>115.716138</v>
      </c>
      <c r="E241" s="6">
        <f t="shared" si="26"/>
        <v>-35.622851000000004</v>
      </c>
      <c r="F241" s="6">
        <f t="shared" si="27"/>
        <v>-1.3049999999999867E-4</v>
      </c>
      <c r="G241" s="6">
        <f t="shared" si="23"/>
        <v>110.54381030309901</v>
      </c>
      <c r="H241" s="7">
        <f t="shared" si="24"/>
        <v>7.7913815871415004E-13</v>
      </c>
      <c r="I241" s="8" t="str">
        <f t="shared" si="25"/>
        <v/>
      </c>
    </row>
    <row r="242" spans="1:9" x14ac:dyDescent="0.2">
      <c r="A242" s="5">
        <v>1520</v>
      </c>
      <c r="B242" s="6">
        <v>0.119783</v>
      </c>
      <c r="C242" s="6">
        <f t="shared" si="21"/>
        <v>7.6783000000000004E-2</v>
      </c>
      <c r="D242" s="6">
        <f t="shared" si="22"/>
        <v>116.71016</v>
      </c>
      <c r="E242" s="6">
        <f t="shared" si="26"/>
        <v>-35.775663000000002</v>
      </c>
      <c r="F242" s="6">
        <f t="shared" si="27"/>
        <v>-2.825000000000015E-4</v>
      </c>
      <c r="G242" s="6">
        <f t="shared" si="23"/>
        <v>111.28606756609784</v>
      </c>
      <c r="H242" s="7">
        <f t="shared" si="24"/>
        <v>3.6233718040365851E-13</v>
      </c>
      <c r="I242" s="8" t="str">
        <f t="shared" si="25"/>
        <v/>
      </c>
    </row>
    <row r="243" spans="1:9" x14ac:dyDescent="0.2">
      <c r="A243" s="5">
        <v>1518</v>
      </c>
      <c r="B243" s="6">
        <v>0.120159</v>
      </c>
      <c r="C243" s="6">
        <f t="shared" si="21"/>
        <v>7.7159000000000005E-2</v>
      </c>
      <c r="D243" s="6">
        <f t="shared" si="22"/>
        <v>117.12736200000001</v>
      </c>
      <c r="E243" s="6">
        <f t="shared" si="26"/>
        <v>-35.929605000000002</v>
      </c>
      <c r="F243" s="6">
        <f t="shared" si="27"/>
        <v>-2.5350000000000025E-4</v>
      </c>
      <c r="G243" s="6">
        <f t="shared" si="23"/>
        <v>111.65545977151899</v>
      </c>
      <c r="H243" s="7">
        <f t="shared" si="24"/>
        <v>4.0512827686676042E-13</v>
      </c>
      <c r="I243" s="8" t="str">
        <f t="shared" si="25"/>
        <v/>
      </c>
    </row>
    <row r="244" spans="1:9" x14ac:dyDescent="0.2">
      <c r="A244" s="5">
        <v>1516</v>
      </c>
      <c r="B244" s="6">
        <v>0.120797</v>
      </c>
      <c r="C244" s="6">
        <f t="shared" si="21"/>
        <v>7.7797000000000005E-2</v>
      </c>
      <c r="D244" s="6">
        <f t="shared" si="22"/>
        <v>117.940252</v>
      </c>
      <c r="E244" s="6">
        <f t="shared" si="26"/>
        <v>-36.084561000000001</v>
      </c>
      <c r="F244" s="6">
        <f t="shared" si="27"/>
        <v>-5.0749999999998713E-5</v>
      </c>
      <c r="G244" s="6">
        <f t="shared" si="23"/>
        <v>112.28097160944105</v>
      </c>
      <c r="H244" s="7">
        <f t="shared" si="24"/>
        <v>2.0349824669951447E-12</v>
      </c>
      <c r="I244" s="8" t="str">
        <f t="shared" si="25"/>
        <v/>
      </c>
    </row>
    <row r="245" spans="1:9" x14ac:dyDescent="0.2">
      <c r="A245" s="5">
        <v>1514</v>
      </c>
      <c r="B245" s="6">
        <v>0.120362</v>
      </c>
      <c r="C245" s="6">
        <f t="shared" si="21"/>
        <v>7.7362E-2</v>
      </c>
      <c r="D245" s="6">
        <f t="shared" si="22"/>
        <v>117.126068</v>
      </c>
      <c r="E245" s="6">
        <f t="shared" si="26"/>
        <v>-36.239719999999998</v>
      </c>
      <c r="F245" s="6">
        <f t="shared" si="27"/>
        <v>8.3249999999999991E-5</v>
      </c>
      <c r="G245" s="6">
        <f t="shared" si="23"/>
        <v>111.85535626540329</v>
      </c>
      <c r="H245" s="7">
        <f t="shared" si="24"/>
        <v>-1.2358424237195617E-12</v>
      </c>
      <c r="I245" s="8" t="str">
        <f t="shared" si="25"/>
        <v/>
      </c>
    </row>
    <row r="246" spans="1:9" x14ac:dyDescent="0.2">
      <c r="A246" s="5">
        <v>1512</v>
      </c>
      <c r="B246" s="6">
        <v>0.120464</v>
      </c>
      <c r="C246" s="6">
        <f t="shared" si="21"/>
        <v>7.7464000000000005E-2</v>
      </c>
      <c r="D246" s="6">
        <f t="shared" si="22"/>
        <v>117.125568</v>
      </c>
      <c r="E246" s="6">
        <f t="shared" si="26"/>
        <v>-36.394545999999998</v>
      </c>
      <c r="F246" s="6">
        <f t="shared" si="27"/>
        <v>1.6299999999999995E-4</v>
      </c>
      <c r="G246" s="6">
        <f t="shared" si="23"/>
        <v>111.95495172538455</v>
      </c>
      <c r="H246" s="7">
        <f t="shared" si="24"/>
        <v>-6.3175146673497162E-13</v>
      </c>
      <c r="I246" s="8" t="str">
        <f t="shared" si="25"/>
        <v/>
      </c>
    </row>
    <row r="247" spans="1:9" x14ac:dyDescent="0.2">
      <c r="A247" s="5">
        <v>1510</v>
      </c>
      <c r="B247" s="6">
        <v>0.11971</v>
      </c>
      <c r="C247" s="6">
        <f t="shared" si="21"/>
        <v>7.671E-2</v>
      </c>
      <c r="D247" s="6">
        <f t="shared" si="22"/>
        <v>115.8321</v>
      </c>
      <c r="E247" s="6">
        <f t="shared" si="26"/>
        <v>-36.548719999999996</v>
      </c>
      <c r="F247" s="6">
        <f t="shared" si="27"/>
        <v>1.339999999999987E-4</v>
      </c>
      <c r="G247" s="6">
        <f t="shared" si="23"/>
        <v>111.22023446238572</v>
      </c>
      <c r="H247" s="7">
        <f t="shared" si="24"/>
        <v>-7.6343060128707168E-13</v>
      </c>
      <c r="I247" s="8" t="str">
        <f t="shared" si="25"/>
        <v/>
      </c>
    </row>
    <row r="248" spans="1:9" x14ac:dyDescent="0.2">
      <c r="A248" s="5">
        <v>1508</v>
      </c>
      <c r="B248" s="6">
        <v>0.11992800000000001</v>
      </c>
      <c r="C248" s="6">
        <f t="shared" si="21"/>
        <v>7.692800000000001E-2</v>
      </c>
      <c r="D248" s="6">
        <f t="shared" si="22"/>
        <v>116.00742400000001</v>
      </c>
      <c r="E248" s="6">
        <f t="shared" si="26"/>
        <v>-36.702357999999997</v>
      </c>
      <c r="F248" s="6">
        <f t="shared" si="27"/>
        <v>4.3499999999998401E-5</v>
      </c>
      <c r="G248" s="6">
        <f t="shared" si="23"/>
        <v>111.43222334744377</v>
      </c>
      <c r="H248" s="7">
        <f t="shared" si="24"/>
        <v>-2.356199693559494E-12</v>
      </c>
      <c r="I248" s="8" t="str">
        <f t="shared" si="25"/>
        <v/>
      </c>
    </row>
    <row r="249" spans="1:9" x14ac:dyDescent="0.2">
      <c r="A249" s="5">
        <v>1506</v>
      </c>
      <c r="B249" s="6">
        <v>0.119536</v>
      </c>
      <c r="C249" s="6">
        <f t="shared" si="21"/>
        <v>7.6536000000000007E-2</v>
      </c>
      <c r="D249" s="6">
        <f t="shared" si="22"/>
        <v>115.26321600000001</v>
      </c>
      <c r="E249" s="6">
        <f t="shared" si="26"/>
        <v>-36.855821999999996</v>
      </c>
      <c r="F249" s="6">
        <f t="shared" si="27"/>
        <v>9.0750000000000552E-5</v>
      </c>
      <c r="G249" s="6">
        <f t="shared" si="23"/>
        <v>111.05181632477064</v>
      </c>
      <c r="H249" s="7">
        <f t="shared" si="24"/>
        <v>-1.1255624306963875E-12</v>
      </c>
      <c r="I249" s="8" t="str">
        <f t="shared" si="25"/>
        <v/>
      </c>
    </row>
    <row r="250" spans="1:9" x14ac:dyDescent="0.2">
      <c r="A250" s="5">
        <v>1504</v>
      </c>
      <c r="B250" s="6">
        <v>0.119565</v>
      </c>
      <c r="C250" s="6">
        <f t="shared" si="21"/>
        <v>7.6565000000000008E-2</v>
      </c>
      <c r="D250" s="6">
        <f t="shared" si="22"/>
        <v>115.15376000000001</v>
      </c>
      <c r="E250" s="6">
        <f t="shared" si="26"/>
        <v>-37.008922999999996</v>
      </c>
      <c r="F250" s="6">
        <f t="shared" si="27"/>
        <v>7.2500000000003118E-6</v>
      </c>
      <c r="G250" s="6">
        <f t="shared" si="23"/>
        <v>111.07990068103982</v>
      </c>
      <c r="H250" s="7">
        <f t="shared" si="24"/>
        <v>-1.4092499642363178E-11</v>
      </c>
      <c r="I250" s="8" t="str">
        <f t="shared" si="25"/>
        <v/>
      </c>
    </row>
    <row r="251" spans="1:9" x14ac:dyDescent="0.2">
      <c r="A251" s="5">
        <v>1502</v>
      </c>
      <c r="B251" s="6">
        <v>0.119507</v>
      </c>
      <c r="C251" s="6">
        <f t="shared" si="21"/>
        <v>7.6507000000000006E-2</v>
      </c>
      <c r="D251" s="6">
        <f t="shared" si="22"/>
        <v>114.91351400000001</v>
      </c>
      <c r="E251" s="6">
        <f t="shared" si="26"/>
        <v>-37.161994999999997</v>
      </c>
      <c r="F251" s="6">
        <f t="shared" si="27"/>
        <v>-9.4249999999997114E-5</v>
      </c>
      <c r="G251" s="6">
        <f t="shared" si="23"/>
        <v>111.02384796850146</v>
      </c>
      <c r="H251" s="7">
        <f t="shared" si="24"/>
        <v>1.0834914107200142E-12</v>
      </c>
      <c r="I251" s="8" t="str">
        <f t="shared" si="25"/>
        <v/>
      </c>
    </row>
    <row r="252" spans="1:9" x14ac:dyDescent="0.2">
      <c r="A252" s="5">
        <v>1500</v>
      </c>
      <c r="B252" s="6">
        <v>0.11994199999999999</v>
      </c>
      <c r="C252" s="6">
        <f t="shared" si="21"/>
        <v>7.6941999999999997E-2</v>
      </c>
      <c r="D252" s="6">
        <f t="shared" si="22"/>
        <v>115.413</v>
      </c>
      <c r="E252" s="6">
        <f t="shared" si="26"/>
        <v>-37.315443999999999</v>
      </c>
      <c r="F252" s="6">
        <f t="shared" si="27"/>
        <v>-2.2824999999999929E-4</v>
      </c>
      <c r="G252" s="6">
        <f t="shared" si="23"/>
        <v>111.44337331253921</v>
      </c>
      <c r="H252" s="7">
        <f t="shared" si="24"/>
        <v>4.4909065647514624E-13</v>
      </c>
      <c r="I252" s="8" t="str">
        <f t="shared" si="25"/>
        <v/>
      </c>
    </row>
    <row r="253" spans="1:9" x14ac:dyDescent="0.2">
      <c r="A253" s="5">
        <v>1498</v>
      </c>
      <c r="B253" s="6">
        <v>0.12042</v>
      </c>
      <c r="C253" s="6">
        <f t="shared" si="21"/>
        <v>7.7420000000000003E-2</v>
      </c>
      <c r="D253" s="6">
        <f t="shared" si="22"/>
        <v>115.97516</v>
      </c>
      <c r="E253" s="6">
        <f t="shared" si="26"/>
        <v>-37.469805999999998</v>
      </c>
      <c r="F253" s="6">
        <f t="shared" si="27"/>
        <v>-1.1600000000000152E-4</v>
      </c>
      <c r="G253" s="6">
        <f t="shared" si="23"/>
        <v>111.90341297794166</v>
      </c>
      <c r="H253" s="7">
        <f t="shared" si="24"/>
        <v>8.8731106938687949E-13</v>
      </c>
      <c r="I253" s="8" t="str">
        <f t="shared" si="25"/>
        <v/>
      </c>
    </row>
    <row r="254" spans="1:9" x14ac:dyDescent="0.2">
      <c r="A254" s="5">
        <v>1496</v>
      </c>
      <c r="B254" s="6">
        <v>0.120406</v>
      </c>
      <c r="C254" s="6">
        <f t="shared" si="21"/>
        <v>7.7406000000000003E-2</v>
      </c>
      <c r="D254" s="6">
        <f t="shared" si="22"/>
        <v>115.79937600000001</v>
      </c>
      <c r="E254" s="6">
        <f t="shared" si="26"/>
        <v>-37.624631999999998</v>
      </c>
      <c r="F254" s="6">
        <f t="shared" si="27"/>
        <v>-1.449999999999993E-4</v>
      </c>
      <c r="G254" s="6">
        <f t="shared" si="23"/>
        <v>111.88996701284617</v>
      </c>
      <c r="H254" s="7">
        <f t="shared" si="24"/>
        <v>7.0976356228493762E-13</v>
      </c>
      <c r="I254" s="8" t="str">
        <f t="shared" si="25"/>
        <v/>
      </c>
    </row>
    <row r="255" spans="1:9" x14ac:dyDescent="0.2">
      <c r="A255" s="5">
        <v>1494</v>
      </c>
      <c r="B255" s="6">
        <v>0.121</v>
      </c>
      <c r="C255" s="6">
        <f t="shared" si="21"/>
        <v>7.8E-2</v>
      </c>
      <c r="D255" s="6">
        <f t="shared" si="22"/>
        <v>116.532</v>
      </c>
      <c r="E255" s="6">
        <f t="shared" si="26"/>
        <v>-37.780037999999998</v>
      </c>
      <c r="F255" s="6">
        <f t="shared" si="27"/>
        <v>-1.3774999999999898E-4</v>
      </c>
      <c r="G255" s="6">
        <f t="shared" si="23"/>
        <v>112.45927210332533</v>
      </c>
      <c r="H255" s="7">
        <f t="shared" si="24"/>
        <v>7.5092094314655784E-13</v>
      </c>
      <c r="I255" s="8" t="str">
        <f t="shared" si="25"/>
        <v/>
      </c>
    </row>
    <row r="256" spans="1:9" x14ac:dyDescent="0.2">
      <c r="A256" s="5">
        <v>1492</v>
      </c>
      <c r="B256" s="6">
        <v>0.120957</v>
      </c>
      <c r="C256" s="6">
        <f t="shared" si="21"/>
        <v>7.7956999999999999E-2</v>
      </c>
      <c r="D256" s="6">
        <f t="shared" si="22"/>
        <v>116.31184399999999</v>
      </c>
      <c r="E256" s="6">
        <f t="shared" si="26"/>
        <v>-37.935994999999998</v>
      </c>
      <c r="F256" s="6">
        <f t="shared" si="27"/>
        <v>-1.6299999999999995E-4</v>
      </c>
      <c r="G256" s="6">
        <f t="shared" si="23"/>
        <v>112.4181457819607</v>
      </c>
      <c r="H256" s="7">
        <f t="shared" si="24"/>
        <v>6.3436522807482453E-13</v>
      </c>
      <c r="I256" s="8" t="str">
        <f t="shared" si="25"/>
        <v/>
      </c>
    </row>
    <row r="257" spans="1:9" x14ac:dyDescent="0.2">
      <c r="A257" s="5">
        <v>1490</v>
      </c>
      <c r="B257" s="6">
        <v>0.121652</v>
      </c>
      <c r="C257" s="6">
        <f t="shared" si="21"/>
        <v>7.8652E-2</v>
      </c>
      <c r="D257" s="6">
        <f t="shared" si="22"/>
        <v>117.19148</v>
      </c>
      <c r="E257" s="6">
        <f t="shared" si="26"/>
        <v>-38.092604000000001</v>
      </c>
      <c r="F257" s="6">
        <f t="shared" si="27"/>
        <v>-1.9550000000000123E-4</v>
      </c>
      <c r="G257" s="6">
        <f t="shared" si="23"/>
        <v>113.0814719063429</v>
      </c>
      <c r="H257" s="7">
        <f t="shared" si="24"/>
        <v>5.3202892860866084E-13</v>
      </c>
      <c r="I257" s="8" t="str">
        <f t="shared" si="25"/>
        <v/>
      </c>
    </row>
    <row r="258" spans="1:9" x14ac:dyDescent="0.2">
      <c r="A258" s="5">
        <v>1488</v>
      </c>
      <c r="B258" s="6">
        <v>0.121739</v>
      </c>
      <c r="C258" s="6">
        <f t="shared" ref="C258:C321" si="28">B258-$B$2</f>
        <v>7.8739000000000003E-2</v>
      </c>
      <c r="D258" s="6">
        <f t="shared" ref="D258:D321" si="29">A258*C258</f>
        <v>117.16363200000001</v>
      </c>
      <c r="E258" s="6">
        <f t="shared" si="26"/>
        <v>-38.249994999999998</v>
      </c>
      <c r="F258" s="6">
        <f t="shared" si="27"/>
        <v>-4.7250000000002151E-5</v>
      </c>
      <c r="G258" s="6">
        <f t="shared" ref="G258:G321" si="30">(A258-$L$5)*C258-E258</f>
        <v>113.16433297515044</v>
      </c>
      <c r="H258" s="7">
        <f t="shared" ref="H258:H321" si="31">IF(ABS(F258)&lt;0.000000001,"",-(G258)/(2*$L$4*F258)*0.000000000001)</f>
        <v>2.202917897441421E-12</v>
      </c>
      <c r="I258" s="8" t="str">
        <f t="shared" ref="I258:I321" si="32">IF(AND(B258&gt;=0.5,B258&lt;=2.5,ISNUMBER(H258),H258&gt;0),H258,"")</f>
        <v/>
      </c>
    </row>
    <row r="259" spans="1:9" x14ac:dyDescent="0.2">
      <c r="A259" s="5">
        <v>1486</v>
      </c>
      <c r="B259" s="6">
        <v>0.121841</v>
      </c>
      <c r="C259" s="6">
        <f t="shared" si="28"/>
        <v>7.8841000000000008E-2</v>
      </c>
      <c r="D259" s="6">
        <f t="shared" si="29"/>
        <v>117.15772600000001</v>
      </c>
      <c r="E259" s="6">
        <f t="shared" ref="E259:E322" si="33">E258+(C258+C259)/2*(A259-A258)</f>
        <v>-38.407575000000001</v>
      </c>
      <c r="F259" s="6">
        <f t="shared" ref="F259:F322" si="34">(B260-B258)/(A260-A258)</f>
        <v>1.339999999999987E-4</v>
      </c>
      <c r="G259" s="6">
        <f t="shared" si="30"/>
        <v>113.26127643513172</v>
      </c>
      <c r="H259" s="7">
        <f t="shared" si="31"/>
        <v>-7.7744058704225015E-13</v>
      </c>
      <c r="I259" s="8" t="str">
        <f t="shared" si="32"/>
        <v/>
      </c>
    </row>
    <row r="260" spans="1:9" x14ac:dyDescent="0.2">
      <c r="A260" s="5">
        <v>1484</v>
      </c>
      <c r="B260" s="6">
        <v>0.12120300000000001</v>
      </c>
      <c r="C260" s="6">
        <f t="shared" si="28"/>
        <v>7.8203000000000009E-2</v>
      </c>
      <c r="D260" s="6">
        <f t="shared" si="29"/>
        <v>116.05325200000001</v>
      </c>
      <c r="E260" s="6">
        <f t="shared" si="33"/>
        <v>-38.564619</v>
      </c>
      <c r="F260" s="6">
        <f t="shared" si="34"/>
        <v>8.3500000000000241E-5</v>
      </c>
      <c r="G260" s="6">
        <f t="shared" si="30"/>
        <v>112.65618059720964</v>
      </c>
      <c r="H260" s="7">
        <f t="shared" si="31"/>
        <v>-1.2409637744071384E-12</v>
      </c>
      <c r="I260" s="8" t="str">
        <f t="shared" si="32"/>
        <v/>
      </c>
    </row>
    <row r="261" spans="1:9" x14ac:dyDescent="0.2">
      <c r="A261" s="5">
        <v>1482</v>
      </c>
      <c r="B261" s="6">
        <v>0.121507</v>
      </c>
      <c r="C261" s="6">
        <f t="shared" si="28"/>
        <v>7.8507000000000007E-2</v>
      </c>
      <c r="D261" s="6">
        <f t="shared" si="29"/>
        <v>116.34737400000002</v>
      </c>
      <c r="E261" s="6">
        <f t="shared" si="33"/>
        <v>-38.721328999999997</v>
      </c>
      <c r="F261" s="6">
        <f t="shared" si="34"/>
        <v>-1.0149999999999743E-4</v>
      </c>
      <c r="G261" s="6">
        <f t="shared" si="30"/>
        <v>112.94389412499697</v>
      </c>
      <c r="H261" s="7">
        <f t="shared" si="31"/>
        <v>1.0234986436437237E-12</v>
      </c>
      <c r="I261" s="8" t="str">
        <f t="shared" si="32"/>
        <v/>
      </c>
    </row>
    <row r="262" spans="1:9" x14ac:dyDescent="0.2">
      <c r="A262" s="5">
        <v>1480</v>
      </c>
      <c r="B262" s="6">
        <v>0.12160899999999999</v>
      </c>
      <c r="C262" s="6">
        <f t="shared" si="28"/>
        <v>7.8608999999999998E-2</v>
      </c>
      <c r="D262" s="6">
        <f t="shared" si="29"/>
        <v>116.34132</v>
      </c>
      <c r="E262" s="6">
        <f t="shared" si="33"/>
        <v>-38.878444999999999</v>
      </c>
      <c r="F262" s="6">
        <f t="shared" si="34"/>
        <v>-4.7249999999998682E-5</v>
      </c>
      <c r="G262" s="6">
        <f t="shared" si="30"/>
        <v>113.04022558497823</v>
      </c>
      <c r="H262" s="7">
        <f t="shared" si="31"/>
        <v>2.2005019560948054E-12</v>
      </c>
      <c r="I262" s="8" t="str">
        <f t="shared" si="32"/>
        <v/>
      </c>
    </row>
    <row r="263" spans="1:9" x14ac:dyDescent="0.2">
      <c r="A263" s="5">
        <v>1478</v>
      </c>
      <c r="B263" s="6">
        <v>0.121696</v>
      </c>
      <c r="C263" s="6">
        <f t="shared" si="28"/>
        <v>7.8696000000000002E-2</v>
      </c>
      <c r="D263" s="6">
        <f t="shared" si="29"/>
        <v>116.31268800000001</v>
      </c>
      <c r="E263" s="6">
        <f t="shared" si="33"/>
        <v>-39.03575</v>
      </c>
      <c r="F263" s="6">
        <f t="shared" si="34"/>
        <v>1.0149999999999743E-4</v>
      </c>
      <c r="G263" s="6">
        <f t="shared" si="30"/>
        <v>113.12221665378578</v>
      </c>
      <c r="H263" s="7">
        <f t="shared" si="31"/>
        <v>-1.0251146040970129E-12</v>
      </c>
      <c r="I263" s="8" t="str">
        <f t="shared" si="32"/>
        <v/>
      </c>
    </row>
    <row r="264" spans="1:9" x14ac:dyDescent="0.2">
      <c r="A264" s="5">
        <v>1476</v>
      </c>
      <c r="B264" s="6">
        <v>0.12120300000000001</v>
      </c>
      <c r="C264" s="6">
        <f t="shared" si="28"/>
        <v>7.8203000000000009E-2</v>
      </c>
      <c r="D264" s="6">
        <f t="shared" si="29"/>
        <v>115.42762800000001</v>
      </c>
      <c r="E264" s="6">
        <f t="shared" si="33"/>
        <v>-39.192649000000003</v>
      </c>
      <c r="F264" s="6">
        <f t="shared" si="34"/>
        <v>1.1974999999999833E-4</v>
      </c>
      <c r="G264" s="6">
        <f t="shared" si="30"/>
        <v>112.65858659720965</v>
      </c>
      <c r="H264" s="7">
        <f t="shared" si="31"/>
        <v>-8.6532516231549363E-13</v>
      </c>
      <c r="I264" s="8" t="str">
        <f t="shared" si="32"/>
        <v/>
      </c>
    </row>
    <row r="265" spans="1:9" x14ac:dyDescent="0.2">
      <c r="A265" s="5">
        <v>1474</v>
      </c>
      <c r="B265" s="6">
        <v>0.12121700000000001</v>
      </c>
      <c r="C265" s="6">
        <f t="shared" si="28"/>
        <v>7.8217000000000009E-2</v>
      </c>
      <c r="D265" s="6">
        <f t="shared" si="29"/>
        <v>115.29185800000002</v>
      </c>
      <c r="E265" s="6">
        <f t="shared" si="33"/>
        <v>-39.349069</v>
      </c>
      <c r="F265" s="6">
        <f t="shared" si="34"/>
        <v>-2.5249999999997497E-5</v>
      </c>
      <c r="G265" s="6">
        <f t="shared" si="30"/>
        <v>112.67172456230512</v>
      </c>
      <c r="H265" s="7">
        <f t="shared" si="31"/>
        <v>4.1043474221113477E-12</v>
      </c>
      <c r="I265" s="8" t="str">
        <f t="shared" si="32"/>
        <v/>
      </c>
    </row>
    <row r="266" spans="1:9" x14ac:dyDescent="0.2">
      <c r="A266" s="5">
        <v>1472</v>
      </c>
      <c r="B266" s="6">
        <v>0.121304</v>
      </c>
      <c r="C266" s="6">
        <f t="shared" si="28"/>
        <v>7.8303999999999999E-2</v>
      </c>
      <c r="D266" s="6">
        <f t="shared" si="29"/>
        <v>115.263488</v>
      </c>
      <c r="E266" s="6">
        <f t="shared" si="33"/>
        <v>-39.505589999999998</v>
      </c>
      <c r="F266" s="6">
        <f t="shared" si="34"/>
        <v>-9.4249999999997114E-5</v>
      </c>
      <c r="G266" s="6">
        <f t="shared" si="30"/>
        <v>112.75319363111267</v>
      </c>
      <c r="H266" s="7">
        <f t="shared" si="31"/>
        <v>1.1003682457954544E-12</v>
      </c>
      <c r="I266" s="8" t="str">
        <f t="shared" si="32"/>
        <v/>
      </c>
    </row>
    <row r="267" spans="1:9" x14ac:dyDescent="0.2">
      <c r="A267" s="5">
        <v>1470</v>
      </c>
      <c r="B267" s="6">
        <v>0.12159399999999999</v>
      </c>
      <c r="C267" s="6">
        <f t="shared" si="28"/>
        <v>7.8593999999999997E-2</v>
      </c>
      <c r="D267" s="6">
        <f t="shared" si="29"/>
        <v>115.53318</v>
      </c>
      <c r="E267" s="6">
        <f t="shared" si="33"/>
        <v>-39.662487999999996</v>
      </c>
      <c r="F267" s="6">
        <f t="shared" si="34"/>
        <v>-1.7750000000000057E-4</v>
      </c>
      <c r="G267" s="6">
        <f t="shared" si="30"/>
        <v>113.0241771938045</v>
      </c>
      <c r="H267" s="7">
        <f t="shared" si="31"/>
        <v>5.8568426034990578E-13</v>
      </c>
      <c r="I267" s="8" t="str">
        <f t="shared" si="32"/>
        <v/>
      </c>
    </row>
    <row r="268" spans="1:9" x14ac:dyDescent="0.2">
      <c r="A268" s="5">
        <v>1468</v>
      </c>
      <c r="B268" s="6">
        <v>0.122014</v>
      </c>
      <c r="C268" s="6">
        <f t="shared" si="28"/>
        <v>7.9014000000000001E-2</v>
      </c>
      <c r="D268" s="6">
        <f t="shared" si="29"/>
        <v>115.992552</v>
      </c>
      <c r="E268" s="6">
        <f t="shared" si="33"/>
        <v>-39.820095999999999</v>
      </c>
      <c r="F268" s="6">
        <f t="shared" si="34"/>
        <v>-2.2825000000000276E-4</v>
      </c>
      <c r="G268" s="6">
        <f t="shared" si="30"/>
        <v>113.41579614666858</v>
      </c>
      <c r="H268" s="7">
        <f t="shared" si="31"/>
        <v>4.5703905788382196E-13</v>
      </c>
      <c r="I268" s="8" t="str">
        <f t="shared" si="32"/>
        <v/>
      </c>
    </row>
    <row r="269" spans="1:9" x14ac:dyDescent="0.2">
      <c r="A269" s="5">
        <v>1466</v>
      </c>
      <c r="B269" s="6">
        <v>0.122507</v>
      </c>
      <c r="C269" s="6">
        <f t="shared" si="28"/>
        <v>7.9507000000000008E-2</v>
      </c>
      <c r="D269" s="6">
        <f t="shared" si="29"/>
        <v>116.55726200000001</v>
      </c>
      <c r="E269" s="6">
        <f t="shared" si="33"/>
        <v>-39.978617</v>
      </c>
      <c r="F269" s="6">
        <f t="shared" si="34"/>
        <v>-3.3350000000000046E-4</v>
      </c>
      <c r="G269" s="6">
        <f t="shared" si="30"/>
        <v>113.87449620324473</v>
      </c>
      <c r="H269" s="7">
        <f t="shared" si="31"/>
        <v>3.1406619042367494E-13</v>
      </c>
      <c r="I269" s="8" t="str">
        <f t="shared" si="32"/>
        <v/>
      </c>
    </row>
    <row r="270" spans="1:9" x14ac:dyDescent="0.2">
      <c r="A270" s="5">
        <v>1464</v>
      </c>
      <c r="B270" s="6">
        <v>0.123348</v>
      </c>
      <c r="C270" s="6">
        <f t="shared" si="28"/>
        <v>8.0348000000000003E-2</v>
      </c>
      <c r="D270" s="6">
        <f t="shared" si="29"/>
        <v>117.62947200000001</v>
      </c>
      <c r="E270" s="6">
        <f t="shared" si="33"/>
        <v>-40.138472</v>
      </c>
      <c r="F270" s="6">
        <f t="shared" si="34"/>
        <v>-2.6824999999999766E-4</v>
      </c>
      <c r="G270" s="6">
        <f t="shared" si="30"/>
        <v>114.65530253505111</v>
      </c>
      <c r="H270" s="7">
        <f t="shared" si="31"/>
        <v>3.9313795138499575E-13</v>
      </c>
      <c r="I270" s="8" t="str">
        <f t="shared" si="32"/>
        <v/>
      </c>
    </row>
    <row r="271" spans="1:9" x14ac:dyDescent="0.2">
      <c r="A271" s="5">
        <v>1462</v>
      </c>
      <c r="B271" s="6">
        <v>0.12358</v>
      </c>
      <c r="C271" s="6">
        <f t="shared" si="28"/>
        <v>8.0579999999999999E-2</v>
      </c>
      <c r="D271" s="6">
        <f t="shared" si="29"/>
        <v>117.80795999999999</v>
      </c>
      <c r="E271" s="6">
        <f t="shared" si="33"/>
        <v>-40.299399999999999</v>
      </c>
      <c r="F271" s="6">
        <f t="shared" si="34"/>
        <v>-3.1874999999999959E-4</v>
      </c>
      <c r="G271" s="6">
        <f t="shared" si="30"/>
        <v>114.87023338520456</v>
      </c>
      <c r="H271" s="7">
        <f t="shared" si="31"/>
        <v>3.3147277665297347E-13</v>
      </c>
      <c r="I271" s="8" t="str">
        <f t="shared" si="32"/>
        <v/>
      </c>
    </row>
    <row r="272" spans="1:9" x14ac:dyDescent="0.2">
      <c r="A272" s="5">
        <v>1460</v>
      </c>
      <c r="B272" s="6">
        <v>0.124623</v>
      </c>
      <c r="C272" s="6">
        <f t="shared" si="28"/>
        <v>8.1623000000000001E-2</v>
      </c>
      <c r="D272" s="6">
        <f t="shared" si="29"/>
        <v>119.16958</v>
      </c>
      <c r="E272" s="6">
        <f t="shared" si="33"/>
        <v>-40.461602999999997</v>
      </c>
      <c r="F272" s="6">
        <f t="shared" si="34"/>
        <v>-5.7975000000000387E-4</v>
      </c>
      <c r="G272" s="6">
        <f t="shared" si="30"/>
        <v>115.83440978481698</v>
      </c>
      <c r="H272" s="7">
        <f t="shared" si="31"/>
        <v>1.8377540524847557E-13</v>
      </c>
      <c r="I272" s="8" t="str">
        <f t="shared" si="32"/>
        <v/>
      </c>
    </row>
    <row r="273" spans="1:9" x14ac:dyDescent="0.2">
      <c r="A273" s="5">
        <v>1458</v>
      </c>
      <c r="B273" s="6">
        <v>0.12589900000000001</v>
      </c>
      <c r="C273" s="6">
        <f t="shared" si="28"/>
        <v>8.2899000000000014E-2</v>
      </c>
      <c r="D273" s="6">
        <f t="shared" si="29"/>
        <v>120.86674200000002</v>
      </c>
      <c r="E273" s="6">
        <f t="shared" si="33"/>
        <v>-40.626124999999995</v>
      </c>
      <c r="F273" s="6">
        <f t="shared" si="34"/>
        <v>-4.927500000000036E-4</v>
      </c>
      <c r="G273" s="6">
        <f t="shared" si="30"/>
        <v>117.01142546066114</v>
      </c>
      <c r="H273" s="7">
        <f t="shared" si="31"/>
        <v>2.1841989469205672E-13</v>
      </c>
      <c r="I273" s="8" t="str">
        <f t="shared" si="32"/>
        <v/>
      </c>
    </row>
    <row r="274" spans="1:9" x14ac:dyDescent="0.2">
      <c r="A274" s="5">
        <v>1456</v>
      </c>
      <c r="B274" s="6">
        <v>0.12659400000000001</v>
      </c>
      <c r="C274" s="6">
        <f t="shared" si="28"/>
        <v>8.3594000000000016E-2</v>
      </c>
      <c r="D274" s="6">
        <f t="shared" si="29"/>
        <v>121.71286400000002</v>
      </c>
      <c r="E274" s="6">
        <f t="shared" si="33"/>
        <v>-40.792617999999997</v>
      </c>
      <c r="F274" s="6">
        <f t="shared" si="34"/>
        <v>-3.4399999999999709E-4</v>
      </c>
      <c r="G274" s="6">
        <f t="shared" si="30"/>
        <v>117.65112158504334</v>
      </c>
      <c r="H274" s="7">
        <f t="shared" si="31"/>
        <v>3.1457788297933118E-13</v>
      </c>
      <c r="I274" s="8" t="str">
        <f t="shared" si="32"/>
        <v/>
      </c>
    </row>
    <row r="275" spans="1:9" x14ac:dyDescent="0.2">
      <c r="A275" s="5">
        <v>1454</v>
      </c>
      <c r="B275" s="6">
        <v>0.127275</v>
      </c>
      <c r="C275" s="6">
        <f t="shared" si="28"/>
        <v>8.4275000000000003E-2</v>
      </c>
      <c r="D275" s="6">
        <f t="shared" si="29"/>
        <v>122.53585000000001</v>
      </c>
      <c r="E275" s="6">
        <f t="shared" si="33"/>
        <v>-40.960487000000001</v>
      </c>
      <c r="F275" s="6">
        <f t="shared" si="34"/>
        <v>-4.5649999999999857E-4</v>
      </c>
      <c r="G275" s="6">
        <f t="shared" si="30"/>
        <v>118.27656974433005</v>
      </c>
      <c r="H275" s="7">
        <f t="shared" si="31"/>
        <v>2.383134177172878E-13</v>
      </c>
      <c r="I275" s="8" t="str">
        <f t="shared" si="32"/>
        <v/>
      </c>
    </row>
    <row r="276" spans="1:9" x14ac:dyDescent="0.2">
      <c r="A276" s="5">
        <v>1452</v>
      </c>
      <c r="B276" s="6">
        <v>0.12842000000000001</v>
      </c>
      <c r="C276" s="6">
        <f t="shared" si="28"/>
        <v>8.542000000000001E-2</v>
      </c>
      <c r="D276" s="6">
        <f t="shared" si="29"/>
        <v>124.02984000000001</v>
      </c>
      <c r="E276" s="6">
        <f t="shared" si="33"/>
        <v>-41.130181999999998</v>
      </c>
      <c r="F276" s="6">
        <f t="shared" si="34"/>
        <v>-5.4724999999999913E-4</v>
      </c>
      <c r="G276" s="6">
        <f t="shared" si="30"/>
        <v>119.32587760392374</v>
      </c>
      <c r="H276" s="7">
        <f t="shared" si="31"/>
        <v>2.0055773819247406E-13</v>
      </c>
      <c r="I276" s="8" t="str">
        <f t="shared" si="32"/>
        <v/>
      </c>
    </row>
    <row r="277" spans="1:9" x14ac:dyDescent="0.2">
      <c r="A277" s="5">
        <v>1450</v>
      </c>
      <c r="B277" s="6">
        <v>0.129464</v>
      </c>
      <c r="C277" s="6">
        <f t="shared" si="28"/>
        <v>8.6463999999999999E-2</v>
      </c>
      <c r="D277" s="6">
        <f t="shared" si="29"/>
        <v>125.3728</v>
      </c>
      <c r="E277" s="6">
        <f t="shared" si="33"/>
        <v>-41.302065999999996</v>
      </c>
      <c r="F277" s="6">
        <f t="shared" si="34"/>
        <v>-4.674999999999957E-4</v>
      </c>
      <c r="G277" s="6">
        <f t="shared" si="30"/>
        <v>120.2805384296144</v>
      </c>
      <c r="H277" s="7">
        <f t="shared" si="31"/>
        <v>2.3664879891555897E-13</v>
      </c>
      <c r="I277" s="8" t="str">
        <f t="shared" si="32"/>
        <v/>
      </c>
    </row>
    <row r="278" spans="1:9" x14ac:dyDescent="0.2">
      <c r="A278" s="5">
        <v>1448</v>
      </c>
      <c r="B278" s="6">
        <v>0.13028999999999999</v>
      </c>
      <c r="C278" s="6">
        <f t="shared" si="28"/>
        <v>8.7289999999999993E-2</v>
      </c>
      <c r="D278" s="6">
        <f t="shared" si="29"/>
        <v>126.39591999999999</v>
      </c>
      <c r="E278" s="6">
        <f t="shared" si="33"/>
        <v>-41.475819999999999</v>
      </c>
      <c r="F278" s="6">
        <f t="shared" si="34"/>
        <v>-5.942500000000045E-4</v>
      </c>
      <c r="G278" s="6">
        <f t="shared" si="30"/>
        <v>121.03420237024704</v>
      </c>
      <c r="H278" s="7">
        <f t="shared" si="31"/>
        <v>1.8733955244109703E-13</v>
      </c>
      <c r="I278" s="8" t="str">
        <f t="shared" si="32"/>
        <v/>
      </c>
    </row>
    <row r="279" spans="1:9" x14ac:dyDescent="0.2">
      <c r="A279" s="5">
        <v>1446</v>
      </c>
      <c r="B279" s="6">
        <v>0.13184100000000001</v>
      </c>
      <c r="C279" s="6">
        <f t="shared" si="28"/>
        <v>8.8841000000000017E-2</v>
      </c>
      <c r="D279" s="6">
        <f t="shared" si="29"/>
        <v>128.46408600000004</v>
      </c>
      <c r="E279" s="6">
        <f t="shared" si="33"/>
        <v>-41.651950999999997</v>
      </c>
      <c r="F279" s="6">
        <f t="shared" si="34"/>
        <v>-5.2525000000000488E-4</v>
      </c>
      <c r="G279" s="6">
        <f t="shared" si="30"/>
        <v>122.44627321760933</v>
      </c>
      <c r="H279" s="7">
        <f t="shared" si="31"/>
        <v>2.1442235751224003E-13</v>
      </c>
      <c r="I279" s="8" t="str">
        <f t="shared" si="32"/>
        <v/>
      </c>
    </row>
    <row r="280" spans="1:9" x14ac:dyDescent="0.2">
      <c r="A280" s="5">
        <v>1444</v>
      </c>
      <c r="B280" s="6">
        <v>0.13239100000000001</v>
      </c>
      <c r="C280" s="6">
        <f t="shared" si="28"/>
        <v>8.9391000000000012E-2</v>
      </c>
      <c r="D280" s="6">
        <f t="shared" si="29"/>
        <v>129.08060400000002</v>
      </c>
      <c r="E280" s="6">
        <f t="shared" si="33"/>
        <v>-41.830182999999998</v>
      </c>
      <c r="F280" s="6">
        <f t="shared" si="34"/>
        <v>-5.614999999999995E-4</v>
      </c>
      <c r="G280" s="6">
        <f t="shared" si="30"/>
        <v>122.94590756064559</v>
      </c>
      <c r="H280" s="7">
        <f t="shared" si="31"/>
        <v>2.0139786987945163E-13</v>
      </c>
      <c r="I280" s="8" t="str">
        <f t="shared" si="32"/>
        <v/>
      </c>
    </row>
    <row r="281" spans="1:9" x14ac:dyDescent="0.2">
      <c r="A281" s="5">
        <v>1442</v>
      </c>
      <c r="B281" s="6">
        <v>0.13408700000000001</v>
      </c>
      <c r="C281" s="6">
        <f t="shared" si="28"/>
        <v>9.1087000000000015E-2</v>
      </c>
      <c r="D281" s="6">
        <f t="shared" si="29"/>
        <v>131.34745400000003</v>
      </c>
      <c r="E281" s="6">
        <f t="shared" si="33"/>
        <v>-42.010660999999999</v>
      </c>
      <c r="F281" s="6">
        <f t="shared" si="34"/>
        <v>-7.1374999999999911E-4</v>
      </c>
      <c r="G281" s="6">
        <f t="shared" si="30"/>
        <v>124.48320618935381</v>
      </c>
      <c r="H281" s="7">
        <f t="shared" si="31"/>
        <v>1.604187767988386E-13</v>
      </c>
      <c r="I281" s="8" t="str">
        <f t="shared" si="32"/>
        <v/>
      </c>
    </row>
    <row r="282" spans="1:9" x14ac:dyDescent="0.2">
      <c r="A282" s="5">
        <v>1440</v>
      </c>
      <c r="B282" s="6">
        <v>0.13524600000000001</v>
      </c>
      <c r="C282" s="6">
        <f t="shared" si="28"/>
        <v>9.2246000000000009E-2</v>
      </c>
      <c r="D282" s="6">
        <f t="shared" si="29"/>
        <v>132.83424000000002</v>
      </c>
      <c r="E282" s="6">
        <f t="shared" si="33"/>
        <v>-42.193993999999996</v>
      </c>
      <c r="F282" s="6">
        <f t="shared" si="34"/>
        <v>-7.6449999999999435E-4</v>
      </c>
      <c r="G282" s="6">
        <f t="shared" si="30"/>
        <v>125.53143601404295</v>
      </c>
      <c r="H282" s="7">
        <f t="shared" si="31"/>
        <v>1.5103081413742442E-13</v>
      </c>
      <c r="I282" s="8" t="str">
        <f t="shared" si="32"/>
        <v/>
      </c>
    </row>
    <row r="283" spans="1:9" x14ac:dyDescent="0.2">
      <c r="A283" s="5">
        <v>1438</v>
      </c>
      <c r="B283" s="6">
        <v>0.13714499999999999</v>
      </c>
      <c r="C283" s="6">
        <f t="shared" si="28"/>
        <v>9.4144999999999993E-2</v>
      </c>
      <c r="D283" s="6">
        <f t="shared" si="29"/>
        <v>135.38050999999999</v>
      </c>
      <c r="E283" s="6">
        <f t="shared" si="33"/>
        <v>-42.380384999999997</v>
      </c>
      <c r="F283" s="6">
        <f t="shared" si="34"/>
        <v>-8.4424999999999778E-4</v>
      </c>
      <c r="G283" s="6">
        <f t="shared" si="30"/>
        <v>127.24514313663545</v>
      </c>
      <c r="H283" s="7">
        <f t="shared" si="31"/>
        <v>1.3863111030994608E-13</v>
      </c>
      <c r="I283" s="8" t="str">
        <f t="shared" si="32"/>
        <v/>
      </c>
    </row>
    <row r="284" spans="1:9" x14ac:dyDescent="0.2">
      <c r="A284" s="5">
        <v>1436</v>
      </c>
      <c r="B284" s="6">
        <v>0.138623</v>
      </c>
      <c r="C284" s="6">
        <f t="shared" si="28"/>
        <v>9.5623E-2</v>
      </c>
      <c r="D284" s="6">
        <f t="shared" si="29"/>
        <v>137.314628</v>
      </c>
      <c r="E284" s="6">
        <f t="shared" si="33"/>
        <v>-42.570152999999998</v>
      </c>
      <c r="F284" s="6">
        <f t="shared" si="34"/>
        <v>-9.0575000000000377E-4</v>
      </c>
      <c r="G284" s="6">
        <f t="shared" si="30"/>
        <v>128.57597288028563</v>
      </c>
      <c r="H284" s="7">
        <f t="shared" si="31"/>
        <v>1.3056958768684036E-13</v>
      </c>
      <c r="I284" s="8" t="str">
        <f t="shared" si="32"/>
        <v/>
      </c>
    </row>
    <row r="285" spans="1:9" x14ac:dyDescent="0.2">
      <c r="A285" s="5">
        <v>1434</v>
      </c>
      <c r="B285" s="6">
        <v>0.140768</v>
      </c>
      <c r="C285" s="6">
        <f t="shared" si="28"/>
        <v>9.7768000000000008E-2</v>
      </c>
      <c r="D285" s="6">
        <f t="shared" si="29"/>
        <v>140.19931200000002</v>
      </c>
      <c r="E285" s="6">
        <f t="shared" si="33"/>
        <v>-42.763543999999996</v>
      </c>
      <c r="F285" s="6">
        <f t="shared" si="34"/>
        <v>-1.1267500000000027E-3</v>
      </c>
      <c r="G285" s="6">
        <f t="shared" si="30"/>
        <v>130.50309681812709</v>
      </c>
      <c r="H285" s="7">
        <f t="shared" si="31"/>
        <v>1.065329141490204E-13</v>
      </c>
      <c r="I285" s="8" t="str">
        <f t="shared" si="32"/>
        <v/>
      </c>
    </row>
    <row r="286" spans="1:9" x14ac:dyDescent="0.2">
      <c r="A286" s="5">
        <v>1432</v>
      </c>
      <c r="B286" s="6">
        <v>0.14313000000000001</v>
      </c>
      <c r="C286" s="6">
        <f t="shared" si="28"/>
        <v>0.10013000000000001</v>
      </c>
      <c r="D286" s="6">
        <f t="shared" si="29"/>
        <v>143.38616000000002</v>
      </c>
      <c r="E286" s="6">
        <f t="shared" si="33"/>
        <v>-42.961441999999998</v>
      </c>
      <c r="F286" s="6">
        <f t="shared" si="34"/>
        <v>-7.5725000000000098E-4</v>
      </c>
      <c r="G286" s="6">
        <f t="shared" si="30"/>
        <v>132.62045521494829</v>
      </c>
      <c r="H286" s="7">
        <f t="shared" si="31"/>
        <v>1.610874803499312E-13</v>
      </c>
      <c r="I286" s="8" t="str">
        <f t="shared" si="32"/>
        <v/>
      </c>
    </row>
    <row r="287" spans="1:9" x14ac:dyDescent="0.2">
      <c r="A287" s="5">
        <v>1430</v>
      </c>
      <c r="B287" s="6">
        <v>0.14379700000000001</v>
      </c>
      <c r="C287" s="6">
        <f t="shared" si="28"/>
        <v>0.10079700000000001</v>
      </c>
      <c r="D287" s="6">
        <f t="shared" si="29"/>
        <v>144.13971000000001</v>
      </c>
      <c r="E287" s="6">
        <f t="shared" si="33"/>
        <v>-43.162368999999998</v>
      </c>
      <c r="F287" s="6">
        <f t="shared" si="34"/>
        <v>-4.1324999999999695E-4</v>
      </c>
      <c r="G287" s="6">
        <f t="shared" si="30"/>
        <v>133.21703740913955</v>
      </c>
      <c r="H287" s="7">
        <f t="shared" si="31"/>
        <v>2.9650871675140238E-13</v>
      </c>
      <c r="I287" s="8" t="str">
        <f t="shared" si="32"/>
        <v/>
      </c>
    </row>
    <row r="288" spans="1:9" x14ac:dyDescent="0.2">
      <c r="A288" s="5">
        <v>1428</v>
      </c>
      <c r="B288" s="6">
        <v>0.144783</v>
      </c>
      <c r="C288" s="6">
        <f t="shared" si="28"/>
        <v>0.101783</v>
      </c>
      <c r="D288" s="6">
        <f t="shared" si="29"/>
        <v>145.346124</v>
      </c>
      <c r="E288" s="6">
        <f t="shared" si="33"/>
        <v>-43.364948999999996</v>
      </c>
      <c r="F288" s="6">
        <f t="shared" si="34"/>
        <v>-5.327499999999985E-4</v>
      </c>
      <c r="G288" s="6">
        <f t="shared" si="30"/>
        <v>134.09696952229183</v>
      </c>
      <c r="H288" s="7">
        <f t="shared" si="31"/>
        <v>2.3151869253086241E-13</v>
      </c>
      <c r="I288" s="8" t="str">
        <f t="shared" si="32"/>
        <v/>
      </c>
    </row>
    <row r="289" spans="1:9" x14ac:dyDescent="0.2">
      <c r="A289" s="5">
        <v>1426</v>
      </c>
      <c r="B289" s="6">
        <v>0.145928</v>
      </c>
      <c r="C289" s="6">
        <f t="shared" si="28"/>
        <v>0.10292800000000001</v>
      </c>
      <c r="D289" s="6">
        <f t="shared" si="29"/>
        <v>146.775328</v>
      </c>
      <c r="E289" s="6">
        <f t="shared" si="33"/>
        <v>-43.569659999999999</v>
      </c>
      <c r="F289" s="6">
        <f t="shared" si="34"/>
        <v>-5.0000000000000044E-4</v>
      </c>
      <c r="G289" s="6">
        <f t="shared" si="30"/>
        <v>135.11650738188553</v>
      </c>
      <c r="H289" s="7">
        <f t="shared" si="31"/>
        <v>2.485586964346678E-13</v>
      </c>
      <c r="I289" s="8" t="str">
        <f t="shared" si="32"/>
        <v/>
      </c>
    </row>
    <row r="290" spans="1:9" x14ac:dyDescent="0.2">
      <c r="A290" s="5">
        <v>1424</v>
      </c>
      <c r="B290" s="6">
        <v>0.146783</v>
      </c>
      <c r="C290" s="6">
        <f t="shared" si="28"/>
        <v>0.103783</v>
      </c>
      <c r="D290" s="6">
        <f t="shared" si="29"/>
        <v>147.786992</v>
      </c>
      <c r="E290" s="6">
        <f t="shared" si="33"/>
        <v>-43.776370999999997</v>
      </c>
      <c r="F290" s="6">
        <f t="shared" si="34"/>
        <v>-2.2824999999999929E-4</v>
      </c>
      <c r="G290" s="6">
        <f t="shared" si="30"/>
        <v>135.87611167878737</v>
      </c>
      <c r="H290" s="7">
        <f t="shared" si="31"/>
        <v>5.4754886162667042E-13</v>
      </c>
      <c r="I290" s="8" t="str">
        <f t="shared" si="32"/>
        <v/>
      </c>
    </row>
    <row r="291" spans="1:9" x14ac:dyDescent="0.2">
      <c r="A291" s="5">
        <v>1422</v>
      </c>
      <c r="B291" s="6">
        <v>0.146841</v>
      </c>
      <c r="C291" s="6">
        <f t="shared" si="28"/>
        <v>0.103841</v>
      </c>
      <c r="D291" s="6">
        <f t="shared" si="29"/>
        <v>147.661902</v>
      </c>
      <c r="E291" s="6">
        <f t="shared" si="33"/>
        <v>-43.983995</v>
      </c>
      <c r="F291" s="6">
        <f t="shared" si="34"/>
        <v>-3.1149999999999928E-4</v>
      </c>
      <c r="G291" s="6">
        <f t="shared" si="30"/>
        <v>135.92752439132573</v>
      </c>
      <c r="H291" s="7">
        <f t="shared" si="31"/>
        <v>4.0136538288623978E-13</v>
      </c>
      <c r="I291" s="8" t="str">
        <f t="shared" si="32"/>
        <v/>
      </c>
    </row>
    <row r="292" spans="1:9" x14ac:dyDescent="0.2">
      <c r="A292" s="5">
        <v>1420</v>
      </c>
      <c r="B292" s="6">
        <v>0.14802899999999999</v>
      </c>
      <c r="C292" s="6">
        <f t="shared" si="28"/>
        <v>0.105029</v>
      </c>
      <c r="D292" s="6">
        <f t="shared" si="29"/>
        <v>149.14117999999999</v>
      </c>
      <c r="E292" s="6">
        <f t="shared" si="33"/>
        <v>-44.192864999999998</v>
      </c>
      <c r="F292" s="6">
        <f t="shared" si="34"/>
        <v>-7.1374999999999911E-4</v>
      </c>
      <c r="G292" s="6">
        <f t="shared" si="30"/>
        <v>136.97822257228407</v>
      </c>
      <c r="H292" s="7">
        <f t="shared" si="31"/>
        <v>1.7652083028533165E-13</v>
      </c>
      <c r="I292" s="8" t="str">
        <f t="shared" si="32"/>
        <v/>
      </c>
    </row>
    <row r="293" spans="1:9" x14ac:dyDescent="0.2">
      <c r="A293" s="5">
        <v>1418</v>
      </c>
      <c r="B293" s="6">
        <v>0.149696</v>
      </c>
      <c r="C293" s="6">
        <f t="shared" si="28"/>
        <v>0.106696</v>
      </c>
      <c r="D293" s="6">
        <f t="shared" si="29"/>
        <v>151.294928</v>
      </c>
      <c r="E293" s="6">
        <f t="shared" si="33"/>
        <v>-44.404589999999999</v>
      </c>
      <c r="F293" s="6">
        <f t="shared" si="34"/>
        <v>-7.6800000000000479E-4</v>
      </c>
      <c r="G293" s="6">
        <f t="shared" si="30"/>
        <v>138.44922684472309</v>
      </c>
      <c r="H293" s="7">
        <f t="shared" si="31"/>
        <v>1.6581349410172801E-13</v>
      </c>
      <c r="I293" s="8" t="str">
        <f t="shared" si="32"/>
        <v/>
      </c>
    </row>
    <row r="294" spans="1:9" x14ac:dyDescent="0.2">
      <c r="A294" s="5">
        <v>1416</v>
      </c>
      <c r="B294" s="6">
        <v>0.15110100000000001</v>
      </c>
      <c r="C294" s="6">
        <f t="shared" si="28"/>
        <v>0.10810100000000002</v>
      </c>
      <c r="D294" s="6">
        <f t="shared" si="29"/>
        <v>153.07101600000001</v>
      </c>
      <c r="E294" s="6">
        <f t="shared" si="33"/>
        <v>-44.619386999999996</v>
      </c>
      <c r="F294" s="6">
        <f t="shared" si="34"/>
        <v>-5.6525000000000325E-4</v>
      </c>
      <c r="G294" s="6">
        <f t="shared" si="30"/>
        <v>139.68622548466121</v>
      </c>
      <c r="H294" s="7">
        <f t="shared" si="31"/>
        <v>2.2730216250381244E-13</v>
      </c>
      <c r="I294" s="8" t="str">
        <f t="shared" si="32"/>
        <v/>
      </c>
    </row>
    <row r="295" spans="1:9" x14ac:dyDescent="0.2">
      <c r="A295" s="5">
        <v>1414</v>
      </c>
      <c r="B295" s="6">
        <v>0.15195700000000001</v>
      </c>
      <c r="C295" s="6">
        <f t="shared" si="28"/>
        <v>0.10895700000000001</v>
      </c>
      <c r="D295" s="6">
        <f t="shared" si="29"/>
        <v>154.06519800000001</v>
      </c>
      <c r="E295" s="6">
        <f t="shared" si="33"/>
        <v>-44.836444999999998</v>
      </c>
      <c r="F295" s="6">
        <f t="shared" si="34"/>
        <v>-3.4424999999999734E-4</v>
      </c>
      <c r="G295" s="6">
        <f t="shared" si="30"/>
        <v>140.43815820764129</v>
      </c>
      <c r="H295" s="7">
        <f t="shared" si="31"/>
        <v>3.7523361085499128E-13</v>
      </c>
      <c r="I295" s="8" t="str">
        <f t="shared" si="32"/>
        <v/>
      </c>
    </row>
    <row r="296" spans="1:9" x14ac:dyDescent="0.2">
      <c r="A296" s="5">
        <v>1412</v>
      </c>
      <c r="B296" s="6">
        <v>0.152478</v>
      </c>
      <c r="C296" s="6">
        <f t="shared" si="28"/>
        <v>0.10947800000000001</v>
      </c>
      <c r="D296" s="6">
        <f t="shared" si="29"/>
        <v>154.58293600000002</v>
      </c>
      <c r="E296" s="6">
        <f t="shared" si="33"/>
        <v>-45.054879999999997</v>
      </c>
      <c r="F296" s="6">
        <f t="shared" si="34"/>
        <v>-1.9924999999999804E-4</v>
      </c>
      <c r="G296" s="6">
        <f t="shared" si="30"/>
        <v>140.89477619440837</v>
      </c>
      <c r="H296" s="7">
        <f t="shared" si="31"/>
        <v>6.5040986201202329E-13</v>
      </c>
      <c r="I296" s="8" t="str">
        <f t="shared" si="32"/>
        <v/>
      </c>
    </row>
    <row r="297" spans="1:9" x14ac:dyDescent="0.2">
      <c r="A297" s="5">
        <v>1410</v>
      </c>
      <c r="B297" s="6">
        <v>0.152754</v>
      </c>
      <c r="C297" s="6">
        <f t="shared" si="28"/>
        <v>0.109754</v>
      </c>
      <c r="D297" s="6">
        <f t="shared" si="29"/>
        <v>154.75314</v>
      </c>
      <c r="E297" s="6">
        <f t="shared" si="33"/>
        <v>-45.274111999999995</v>
      </c>
      <c r="F297" s="6">
        <f t="shared" si="34"/>
        <v>-2.3924999999999641E-4</v>
      </c>
      <c r="G297" s="6">
        <f t="shared" si="30"/>
        <v>141.13611779200474</v>
      </c>
      <c r="H297" s="7">
        <f t="shared" si="31"/>
        <v>5.4259623636842983E-13</v>
      </c>
      <c r="I297" s="8" t="str">
        <f t="shared" si="32"/>
        <v/>
      </c>
    </row>
    <row r="298" spans="1:9" x14ac:dyDescent="0.2">
      <c r="A298" s="5">
        <v>1408</v>
      </c>
      <c r="B298" s="6">
        <v>0.15343499999999999</v>
      </c>
      <c r="C298" s="6">
        <f t="shared" si="28"/>
        <v>0.11043499999999999</v>
      </c>
      <c r="D298" s="6">
        <f t="shared" si="29"/>
        <v>155.49248</v>
      </c>
      <c r="E298" s="6">
        <f t="shared" si="33"/>
        <v>-45.494300999999993</v>
      </c>
      <c r="F298" s="6">
        <f t="shared" si="34"/>
        <v>-6.0124999999999762E-4</v>
      </c>
      <c r="G298" s="6">
        <f t="shared" si="30"/>
        <v>141.73023995129145</v>
      </c>
      <c r="H298" s="7">
        <f t="shared" si="31"/>
        <v>2.1681932561898428E-13</v>
      </c>
      <c r="I298" s="8" t="str">
        <f t="shared" si="32"/>
        <v/>
      </c>
    </row>
    <row r="299" spans="1:9" x14ac:dyDescent="0.2">
      <c r="A299" s="5">
        <v>1406</v>
      </c>
      <c r="B299" s="6">
        <v>0.15515899999999999</v>
      </c>
      <c r="C299" s="6">
        <f t="shared" si="28"/>
        <v>0.11215899999999999</v>
      </c>
      <c r="D299" s="6">
        <f t="shared" si="29"/>
        <v>157.69555399999999</v>
      </c>
      <c r="E299" s="6">
        <f t="shared" si="33"/>
        <v>-45.716894999999994</v>
      </c>
      <c r="F299" s="6">
        <f t="shared" si="34"/>
        <v>-8.3700000000000441E-4</v>
      </c>
      <c r="G299" s="6">
        <f t="shared" si="30"/>
        <v>143.2308545101906</v>
      </c>
      <c r="H299" s="7">
        <f t="shared" si="31"/>
        <v>1.5739889575293635E-13</v>
      </c>
      <c r="I299" s="8" t="str">
        <f t="shared" si="32"/>
        <v/>
      </c>
    </row>
    <row r="300" spans="1:9" x14ac:dyDescent="0.2">
      <c r="A300" s="5">
        <v>1404</v>
      </c>
      <c r="B300" s="6">
        <v>0.15678300000000001</v>
      </c>
      <c r="C300" s="6">
        <f t="shared" si="28"/>
        <v>0.11378300000000001</v>
      </c>
      <c r="D300" s="6">
        <f t="shared" si="29"/>
        <v>159.75133200000002</v>
      </c>
      <c r="E300" s="6">
        <f t="shared" si="33"/>
        <v>-45.942836999999997</v>
      </c>
      <c r="F300" s="6">
        <f t="shared" si="34"/>
        <v>-9.2775000000000496E-4</v>
      </c>
      <c r="G300" s="6">
        <f t="shared" si="30"/>
        <v>144.64117846126499</v>
      </c>
      <c r="H300" s="7">
        <f t="shared" si="31"/>
        <v>1.4340079030528157E-13</v>
      </c>
      <c r="I300" s="8" t="str">
        <f t="shared" si="32"/>
        <v/>
      </c>
    </row>
    <row r="301" spans="1:9" x14ac:dyDescent="0.2">
      <c r="A301" s="5">
        <v>1402</v>
      </c>
      <c r="B301" s="6">
        <v>0.15887000000000001</v>
      </c>
      <c r="C301" s="6">
        <f t="shared" si="28"/>
        <v>0.11587000000000001</v>
      </c>
      <c r="D301" s="6">
        <f t="shared" si="29"/>
        <v>162.44974000000002</v>
      </c>
      <c r="E301" s="6">
        <f t="shared" si="33"/>
        <v>-46.172489999999996</v>
      </c>
      <c r="F301" s="6">
        <f t="shared" si="34"/>
        <v>-7.6799999999999785E-4</v>
      </c>
      <c r="G301" s="6">
        <f t="shared" si="30"/>
        <v>146.44940968656806</v>
      </c>
      <c r="H301" s="7">
        <f t="shared" si="31"/>
        <v>1.7539490022938379E-13</v>
      </c>
      <c r="I301" s="8" t="str">
        <f t="shared" si="32"/>
        <v/>
      </c>
    </row>
    <row r="302" spans="1:9" x14ac:dyDescent="0.2">
      <c r="A302" s="5">
        <v>1400</v>
      </c>
      <c r="B302" s="6">
        <v>0.159855</v>
      </c>
      <c r="C302" s="6">
        <f t="shared" si="28"/>
        <v>0.116855</v>
      </c>
      <c r="D302" s="6">
        <f t="shared" si="29"/>
        <v>163.59700000000001</v>
      </c>
      <c r="E302" s="6">
        <f t="shared" si="33"/>
        <v>-46.405214999999998</v>
      </c>
      <c r="F302" s="6">
        <f t="shared" si="34"/>
        <v>-5.3249999999999825E-4</v>
      </c>
      <c r="G302" s="6">
        <f t="shared" si="30"/>
        <v>147.30086937364212</v>
      </c>
      <c r="H302" s="7">
        <f t="shared" si="31"/>
        <v>2.5443464950001654E-13</v>
      </c>
      <c r="I302" s="8" t="str">
        <f t="shared" si="32"/>
        <v/>
      </c>
    </row>
    <row r="303" spans="1:9" x14ac:dyDescent="0.2">
      <c r="A303" s="5">
        <v>1398</v>
      </c>
      <c r="B303" s="6">
        <v>0.161</v>
      </c>
      <c r="C303" s="6">
        <f t="shared" si="28"/>
        <v>0.11800000000000001</v>
      </c>
      <c r="D303" s="6">
        <f t="shared" si="29"/>
        <v>164.964</v>
      </c>
      <c r="E303" s="6">
        <f t="shared" si="33"/>
        <v>-46.640070000000001</v>
      </c>
      <c r="F303" s="6">
        <f t="shared" si="34"/>
        <v>-4.457500000000017E-4</v>
      </c>
      <c r="G303" s="6">
        <f t="shared" si="30"/>
        <v>148.28834723323578</v>
      </c>
      <c r="H303" s="7">
        <f t="shared" si="31"/>
        <v>3.0598929228428577E-13</v>
      </c>
      <c r="I303" s="8" t="str">
        <f t="shared" si="32"/>
        <v/>
      </c>
    </row>
    <row r="304" spans="1:9" x14ac:dyDescent="0.2">
      <c r="A304" s="5">
        <v>1396</v>
      </c>
      <c r="B304" s="6">
        <v>0.161638</v>
      </c>
      <c r="C304" s="6">
        <f t="shared" si="28"/>
        <v>0.11863800000000001</v>
      </c>
      <c r="D304" s="6">
        <f t="shared" si="29"/>
        <v>165.61864800000001</v>
      </c>
      <c r="E304" s="6">
        <f t="shared" si="33"/>
        <v>-46.876708000000001</v>
      </c>
      <c r="F304" s="6">
        <f t="shared" si="34"/>
        <v>-2.7524999999999772E-4</v>
      </c>
      <c r="G304" s="6">
        <f t="shared" si="30"/>
        <v>148.83729907115787</v>
      </c>
      <c r="H304" s="7">
        <f t="shared" si="31"/>
        <v>4.9736475794350815E-13</v>
      </c>
      <c r="I304" s="8" t="str">
        <f t="shared" si="32"/>
        <v/>
      </c>
    </row>
    <row r="305" spans="1:9" x14ac:dyDescent="0.2">
      <c r="A305" s="5">
        <v>1394</v>
      </c>
      <c r="B305" s="6">
        <v>0.162101</v>
      </c>
      <c r="C305" s="6">
        <f t="shared" si="28"/>
        <v>0.119101</v>
      </c>
      <c r="D305" s="6">
        <f t="shared" si="29"/>
        <v>166.026794</v>
      </c>
      <c r="E305" s="6">
        <f t="shared" si="33"/>
        <v>-47.114446999999998</v>
      </c>
      <c r="F305" s="6">
        <f t="shared" si="34"/>
        <v>-4.4924999999999826E-4</v>
      </c>
      <c r="G305" s="6">
        <f t="shared" si="30"/>
        <v>149.23475034538654</v>
      </c>
      <c r="H305" s="7">
        <f t="shared" si="31"/>
        <v>3.0554306712927054E-13</v>
      </c>
      <c r="I305" s="8" t="str">
        <f t="shared" si="32"/>
        <v/>
      </c>
    </row>
    <row r="306" spans="1:9" x14ac:dyDescent="0.2">
      <c r="A306" s="5">
        <v>1392</v>
      </c>
      <c r="B306" s="6">
        <v>0.163435</v>
      </c>
      <c r="C306" s="6">
        <f t="shared" si="28"/>
        <v>0.120435</v>
      </c>
      <c r="D306" s="6">
        <f t="shared" si="29"/>
        <v>167.64552</v>
      </c>
      <c r="E306" s="6">
        <f t="shared" si="33"/>
        <v>-47.353982999999999</v>
      </c>
      <c r="F306" s="6">
        <f t="shared" si="34"/>
        <v>-5.2900000000000169E-4</v>
      </c>
      <c r="G306" s="6">
        <f t="shared" si="30"/>
        <v>150.37722273376909</v>
      </c>
      <c r="H306" s="7">
        <f t="shared" si="31"/>
        <v>2.6146703613828522E-13</v>
      </c>
      <c r="I306" s="8" t="str">
        <f t="shared" si="32"/>
        <v/>
      </c>
    </row>
    <row r="307" spans="1:9" x14ac:dyDescent="0.2">
      <c r="A307" s="5">
        <v>1390</v>
      </c>
      <c r="B307" s="6">
        <v>0.164217</v>
      </c>
      <c r="C307" s="6">
        <f t="shared" si="28"/>
        <v>0.12121700000000001</v>
      </c>
      <c r="D307" s="6">
        <f t="shared" si="29"/>
        <v>168.49163000000001</v>
      </c>
      <c r="E307" s="6">
        <f t="shared" si="33"/>
        <v>-47.595635000000001</v>
      </c>
      <c r="F307" s="6">
        <f t="shared" si="34"/>
        <v>-5.5800000000000294E-4</v>
      </c>
      <c r="G307" s="6">
        <f t="shared" si="30"/>
        <v>151.04538392695883</v>
      </c>
      <c r="H307" s="7">
        <f t="shared" si="31"/>
        <v>2.489796285861383E-13</v>
      </c>
      <c r="I307" s="8" t="str">
        <f t="shared" si="32"/>
        <v/>
      </c>
    </row>
    <row r="308" spans="1:9" x14ac:dyDescent="0.2">
      <c r="A308" s="5">
        <v>1388</v>
      </c>
      <c r="B308" s="6">
        <v>0.16566700000000001</v>
      </c>
      <c r="C308" s="6">
        <f t="shared" si="28"/>
        <v>0.12266700000000001</v>
      </c>
      <c r="D308" s="6">
        <f t="shared" si="29"/>
        <v>170.261796</v>
      </c>
      <c r="E308" s="6">
        <f t="shared" si="33"/>
        <v>-47.839519000000003</v>
      </c>
      <c r="F308" s="6">
        <f t="shared" si="34"/>
        <v>-6.5225000000000005E-4</v>
      </c>
      <c r="G308" s="6">
        <f t="shared" si="30"/>
        <v>152.28140174041809</v>
      </c>
      <c r="H308" s="7">
        <f t="shared" si="31"/>
        <v>2.147451352670626E-13</v>
      </c>
      <c r="I308" s="8" t="str">
        <f t="shared" si="32"/>
        <v/>
      </c>
    </row>
    <row r="309" spans="1:9" x14ac:dyDescent="0.2">
      <c r="A309" s="5">
        <v>1386</v>
      </c>
      <c r="B309" s="6">
        <v>0.166826</v>
      </c>
      <c r="C309" s="6">
        <f t="shared" si="28"/>
        <v>0.12382600000000001</v>
      </c>
      <c r="D309" s="6">
        <f t="shared" si="29"/>
        <v>171.62283600000001</v>
      </c>
      <c r="E309" s="6">
        <f t="shared" si="33"/>
        <v>-48.086012000000004</v>
      </c>
      <c r="F309" s="6">
        <f t="shared" si="34"/>
        <v>-4.4199999999999795E-4</v>
      </c>
      <c r="G309" s="6">
        <f t="shared" si="30"/>
        <v>153.26704556510725</v>
      </c>
      <c r="H309" s="7">
        <f t="shared" si="31"/>
        <v>3.1894593601960605E-13</v>
      </c>
      <c r="I309" s="8" t="str">
        <f t="shared" si="32"/>
        <v/>
      </c>
    </row>
    <row r="310" spans="1:9" x14ac:dyDescent="0.2">
      <c r="A310" s="5">
        <v>1384</v>
      </c>
      <c r="B310" s="6">
        <v>0.167435</v>
      </c>
      <c r="C310" s="6">
        <f t="shared" si="28"/>
        <v>0.124435</v>
      </c>
      <c r="D310" s="6">
        <f t="shared" si="29"/>
        <v>172.21804</v>
      </c>
      <c r="E310" s="6">
        <f t="shared" si="33"/>
        <v>-48.334273000000003</v>
      </c>
      <c r="F310" s="6">
        <f t="shared" si="34"/>
        <v>-4.2400000000000077E-4</v>
      </c>
      <c r="G310" s="6">
        <f t="shared" si="30"/>
        <v>153.78373704676014</v>
      </c>
      <c r="H310" s="7">
        <f t="shared" si="31"/>
        <v>3.3360696563172457E-13</v>
      </c>
      <c r="I310" s="8" t="str">
        <f t="shared" si="32"/>
        <v/>
      </c>
    </row>
    <row r="311" spans="1:9" x14ac:dyDescent="0.2">
      <c r="A311" s="5">
        <v>1382</v>
      </c>
      <c r="B311" s="6">
        <v>0.16852200000000001</v>
      </c>
      <c r="C311" s="6">
        <f t="shared" si="28"/>
        <v>0.12552200000000002</v>
      </c>
      <c r="D311" s="6">
        <f t="shared" si="29"/>
        <v>173.47140400000004</v>
      </c>
      <c r="E311" s="6">
        <f t="shared" si="33"/>
        <v>-48.584230000000005</v>
      </c>
      <c r="F311" s="6">
        <f t="shared" si="34"/>
        <v>-4.0199999999999958E-4</v>
      </c>
      <c r="G311" s="6">
        <f t="shared" si="30"/>
        <v>154.70380219381548</v>
      </c>
      <c r="H311" s="7">
        <f t="shared" si="31"/>
        <v>3.5396921342930223E-13</v>
      </c>
      <c r="I311" s="8" t="str">
        <f t="shared" si="32"/>
        <v/>
      </c>
    </row>
    <row r="312" spans="1:9" x14ac:dyDescent="0.2">
      <c r="A312" s="5">
        <v>1380</v>
      </c>
      <c r="B312" s="6">
        <v>0.169043</v>
      </c>
      <c r="C312" s="6">
        <f t="shared" si="28"/>
        <v>0.12604300000000002</v>
      </c>
      <c r="D312" s="6">
        <f t="shared" si="29"/>
        <v>173.93934000000002</v>
      </c>
      <c r="E312" s="6">
        <f t="shared" si="33"/>
        <v>-48.835795000000005</v>
      </c>
      <c r="F312" s="6">
        <f t="shared" si="34"/>
        <v>-3.1149999999999928E-4</v>
      </c>
      <c r="G312" s="6">
        <f t="shared" si="30"/>
        <v>155.14374818058255</v>
      </c>
      <c r="H312" s="7">
        <f t="shared" si="31"/>
        <v>4.5810684899724127E-13</v>
      </c>
      <c r="I312" s="8" t="str">
        <f t="shared" si="32"/>
        <v/>
      </c>
    </row>
    <row r="313" spans="1:9" x14ac:dyDescent="0.2">
      <c r="A313" s="5">
        <v>1378</v>
      </c>
      <c r="B313" s="6">
        <v>0.169768</v>
      </c>
      <c r="C313" s="6">
        <f t="shared" si="28"/>
        <v>0.12676799999999999</v>
      </c>
      <c r="D313" s="6">
        <f t="shared" si="29"/>
        <v>174.68630399999998</v>
      </c>
      <c r="E313" s="6">
        <f t="shared" si="33"/>
        <v>-49.088606000000006</v>
      </c>
      <c r="F313" s="6">
        <f t="shared" si="34"/>
        <v>-6.0149999999999787E-4</v>
      </c>
      <c r="G313" s="6">
        <f t="shared" si="30"/>
        <v>155.75450708731213</v>
      </c>
      <c r="H313" s="7">
        <f t="shared" si="31"/>
        <v>2.3817465639205989E-13</v>
      </c>
      <c r="I313" s="8" t="str">
        <f t="shared" si="32"/>
        <v/>
      </c>
    </row>
    <row r="314" spans="1:9" x14ac:dyDescent="0.2">
      <c r="A314" s="5">
        <v>1376</v>
      </c>
      <c r="B314" s="6">
        <v>0.17144899999999999</v>
      </c>
      <c r="C314" s="6">
        <f t="shared" si="28"/>
        <v>0.12844899999999998</v>
      </c>
      <c r="D314" s="6">
        <f t="shared" si="29"/>
        <v>176.74582399999997</v>
      </c>
      <c r="E314" s="6">
        <f t="shared" si="33"/>
        <v>-49.343823000000008</v>
      </c>
      <c r="F314" s="6">
        <f t="shared" si="34"/>
        <v>-8.5149999999999809E-4</v>
      </c>
      <c r="G314" s="6">
        <f t="shared" si="30"/>
        <v>157.16726332484663</v>
      </c>
      <c r="H314" s="7">
        <f t="shared" si="31"/>
        <v>1.697727545305356E-13</v>
      </c>
      <c r="I314" s="8" t="str">
        <f t="shared" si="32"/>
        <v/>
      </c>
    </row>
    <row r="315" spans="1:9" x14ac:dyDescent="0.2">
      <c r="A315" s="5">
        <v>1374</v>
      </c>
      <c r="B315" s="6">
        <v>0.17317399999999999</v>
      </c>
      <c r="C315" s="6">
        <f t="shared" si="28"/>
        <v>0.13017400000000001</v>
      </c>
      <c r="D315" s="6">
        <f t="shared" si="29"/>
        <v>178.85907600000002</v>
      </c>
      <c r="E315" s="6">
        <f t="shared" si="33"/>
        <v>-49.602446000000008</v>
      </c>
      <c r="F315" s="6">
        <f t="shared" si="34"/>
        <v>-7.0650000000000573E-4</v>
      </c>
      <c r="G315" s="6">
        <f t="shared" si="30"/>
        <v>158.61354830982404</v>
      </c>
      <c r="H315" s="7">
        <f t="shared" si="31"/>
        <v>2.0649934138042098E-13</v>
      </c>
      <c r="I315" s="8" t="str">
        <f t="shared" si="32"/>
        <v/>
      </c>
    </row>
    <row r="316" spans="1:9" x14ac:dyDescent="0.2">
      <c r="A316" s="5">
        <v>1372</v>
      </c>
      <c r="B316" s="6">
        <v>0.17427500000000001</v>
      </c>
      <c r="C316" s="6">
        <f t="shared" si="28"/>
        <v>0.13127500000000003</v>
      </c>
      <c r="D316" s="6">
        <f t="shared" si="29"/>
        <v>180.10930000000005</v>
      </c>
      <c r="E316" s="6">
        <f t="shared" si="33"/>
        <v>-49.863895000000007</v>
      </c>
      <c r="F316" s="6">
        <f t="shared" si="34"/>
        <v>-3.5874999999999796E-4</v>
      </c>
      <c r="G316" s="6">
        <f t="shared" si="30"/>
        <v>159.53445342197483</v>
      </c>
      <c r="H316" s="7">
        <f t="shared" si="31"/>
        <v>4.0902809101274948E-13</v>
      </c>
      <c r="I316" s="8" t="str">
        <f t="shared" si="32"/>
        <v/>
      </c>
    </row>
    <row r="317" spans="1:9" x14ac:dyDescent="0.2">
      <c r="A317" s="5">
        <v>1370</v>
      </c>
      <c r="B317" s="6">
        <v>0.17460899999999999</v>
      </c>
      <c r="C317" s="6">
        <f t="shared" si="28"/>
        <v>0.13160899999999998</v>
      </c>
      <c r="D317" s="6">
        <f t="shared" si="29"/>
        <v>180.30432999999996</v>
      </c>
      <c r="E317" s="6">
        <f t="shared" si="33"/>
        <v>-50.126779000000006</v>
      </c>
      <c r="F317" s="6">
        <f t="shared" si="34"/>
        <v>-6.0874999999999818E-4</v>
      </c>
      <c r="G317" s="6">
        <f t="shared" si="30"/>
        <v>159.81315173210956</v>
      </c>
      <c r="H317" s="7">
        <f t="shared" si="31"/>
        <v>2.4147050952749413E-13</v>
      </c>
      <c r="I317" s="8" t="str">
        <f t="shared" si="32"/>
        <v/>
      </c>
    </row>
    <row r="318" spans="1:9" x14ac:dyDescent="0.2">
      <c r="A318" s="5">
        <v>1368</v>
      </c>
      <c r="B318" s="6">
        <v>0.17671000000000001</v>
      </c>
      <c r="C318" s="6">
        <f t="shared" si="28"/>
        <v>0.13371</v>
      </c>
      <c r="D318" s="6">
        <f t="shared" si="29"/>
        <v>182.91528</v>
      </c>
      <c r="E318" s="6">
        <f t="shared" si="33"/>
        <v>-50.392098000000004</v>
      </c>
      <c r="F318" s="6">
        <f t="shared" si="34"/>
        <v>-1.1775000000000049E-3</v>
      </c>
      <c r="G318" s="6">
        <f t="shared" si="30"/>
        <v>161.56207892250811</v>
      </c>
      <c r="H318" s="7">
        <f t="shared" si="31"/>
        <v>1.2620282407798558E-13</v>
      </c>
      <c r="I318" s="8" t="str">
        <f t="shared" si="32"/>
        <v/>
      </c>
    </row>
    <row r="319" spans="1:9" x14ac:dyDescent="0.2">
      <c r="A319" s="5">
        <v>1366</v>
      </c>
      <c r="B319" s="6">
        <v>0.17931900000000001</v>
      </c>
      <c r="C319" s="6">
        <f t="shared" si="28"/>
        <v>0.13631900000000002</v>
      </c>
      <c r="D319" s="6">
        <f t="shared" si="29"/>
        <v>186.21175400000004</v>
      </c>
      <c r="E319" s="6">
        <f t="shared" si="33"/>
        <v>-50.662127000000005</v>
      </c>
      <c r="F319" s="6">
        <f t="shared" si="34"/>
        <v>-1.2174999999999964E-3</v>
      </c>
      <c r="G319" s="6">
        <f t="shared" si="30"/>
        <v>163.72866056065655</v>
      </c>
      <c r="H319" s="7">
        <f t="shared" si="31"/>
        <v>1.2369333393821176E-13</v>
      </c>
      <c r="I319" s="8" t="str">
        <f t="shared" si="32"/>
        <v/>
      </c>
    </row>
    <row r="320" spans="1:9" x14ac:dyDescent="0.2">
      <c r="A320" s="5">
        <v>1364</v>
      </c>
      <c r="B320" s="6">
        <v>0.18157999999999999</v>
      </c>
      <c r="C320" s="6">
        <f t="shared" si="28"/>
        <v>0.13857999999999998</v>
      </c>
      <c r="D320" s="6">
        <f t="shared" si="29"/>
        <v>189.02311999999998</v>
      </c>
      <c r="E320" s="6">
        <f t="shared" si="33"/>
        <v>-50.937026000000003</v>
      </c>
      <c r="F320" s="6">
        <f t="shared" si="34"/>
        <v>-1.0289999999999952E-3</v>
      </c>
      <c r="G320" s="6">
        <f t="shared" si="30"/>
        <v>165.60173192357468</v>
      </c>
      <c r="H320" s="7">
        <f t="shared" si="31"/>
        <v>1.4802669952143491E-13</v>
      </c>
      <c r="I320" s="8" t="str">
        <f t="shared" si="32"/>
        <v/>
      </c>
    </row>
    <row r="321" spans="1:9" x14ac:dyDescent="0.2">
      <c r="A321" s="5">
        <v>1362</v>
      </c>
      <c r="B321" s="6">
        <v>0.18343499999999999</v>
      </c>
      <c r="C321" s="6">
        <f t="shared" si="28"/>
        <v>0.14043499999999998</v>
      </c>
      <c r="D321" s="6">
        <f t="shared" si="29"/>
        <v>191.27246999999997</v>
      </c>
      <c r="E321" s="6">
        <f t="shared" si="33"/>
        <v>-51.216041000000004</v>
      </c>
      <c r="F321" s="6">
        <f t="shared" si="34"/>
        <v>-1.4527500000000027E-3</v>
      </c>
      <c r="G321" s="6">
        <f t="shared" si="30"/>
        <v>167.13475229872427</v>
      </c>
      <c r="H321" s="7">
        <f t="shared" si="31"/>
        <v>1.0581967764488423E-13</v>
      </c>
      <c r="I321" s="8" t="str">
        <f t="shared" si="32"/>
        <v/>
      </c>
    </row>
    <row r="322" spans="1:9" x14ac:dyDescent="0.2">
      <c r="A322" s="5">
        <v>1360</v>
      </c>
      <c r="B322" s="6">
        <v>0.187391</v>
      </c>
      <c r="C322" s="6">
        <f t="shared" ref="C322:C385" si="35">B322-$B$2</f>
        <v>0.14439099999999999</v>
      </c>
      <c r="D322" s="6">
        <f t="shared" ref="D322:D385" si="36">A322*C322</f>
        <v>196.37175999999999</v>
      </c>
      <c r="E322" s="6">
        <f t="shared" si="33"/>
        <v>-51.500867000000007</v>
      </c>
      <c r="F322" s="6">
        <f t="shared" si="34"/>
        <v>-1.576000000000001E-3</v>
      </c>
      <c r="G322" s="6">
        <f t="shared" ref="G322:G385" si="37">(A322-$L$5)*C322-E322</f>
        <v>170.39618186427245</v>
      </c>
      <c r="H322" s="7">
        <f t="shared" ref="H322:H385" si="38">IF(ABS(F322)&lt;0.000000001,"",-(G322)/(2*$L$4*F322)*0.000000000001)</f>
        <v>9.9447576100269878E-14</v>
      </c>
      <c r="I322" s="8" t="str">
        <f t="shared" ref="I322:I385" si="39">IF(AND(B322&gt;=0.5,B322&lt;=2.5,ISNUMBER(H322),H322&gt;0),H322,"")</f>
        <v/>
      </c>
    </row>
    <row r="323" spans="1:9" x14ac:dyDescent="0.2">
      <c r="A323" s="5">
        <v>1358</v>
      </c>
      <c r="B323" s="6">
        <v>0.18973899999999999</v>
      </c>
      <c r="C323" s="6">
        <f t="shared" si="35"/>
        <v>0.14673900000000001</v>
      </c>
      <c r="D323" s="6">
        <f t="shared" si="36"/>
        <v>199.27156200000002</v>
      </c>
      <c r="E323" s="6">
        <f t="shared" ref="E323:E386" si="40">E322+(C322+C323)/2*(A323-A322)</f>
        <v>-51.791997000000009</v>
      </c>
      <c r="F323" s="6">
        <f t="shared" ref="F323:F386" si="41">(B324-B322)/(A324-A322)</f>
        <v>-8.4424999999999778E-4</v>
      </c>
      <c r="G323" s="6">
        <f t="shared" si="37"/>
        <v>172.3272382959982</v>
      </c>
      <c r="H323" s="7">
        <f t="shared" si="38"/>
        <v>1.8774717677018109E-13</v>
      </c>
      <c r="I323" s="8" t="str">
        <f t="shared" si="39"/>
        <v/>
      </c>
    </row>
    <row r="324" spans="1:9" x14ac:dyDescent="0.2">
      <c r="A324" s="5">
        <v>1356</v>
      </c>
      <c r="B324" s="6">
        <v>0.19076799999999999</v>
      </c>
      <c r="C324" s="6">
        <f t="shared" si="35"/>
        <v>0.14776800000000001</v>
      </c>
      <c r="D324" s="6">
        <f t="shared" si="36"/>
        <v>200.37340800000001</v>
      </c>
      <c r="E324" s="6">
        <f t="shared" si="40"/>
        <v>-52.086504000000012</v>
      </c>
      <c r="F324" s="6">
        <f t="shared" si="41"/>
        <v>-6.4125000000000293E-4</v>
      </c>
      <c r="G324" s="6">
        <f t="shared" si="37"/>
        <v>173.17145673051516</v>
      </c>
      <c r="H324" s="7">
        <f t="shared" si="38"/>
        <v>2.4839307759907507E-13</v>
      </c>
      <c r="I324" s="8" t="str">
        <f t="shared" si="39"/>
        <v/>
      </c>
    </row>
    <row r="325" spans="1:9" x14ac:dyDescent="0.2">
      <c r="A325" s="5">
        <v>1354</v>
      </c>
      <c r="B325" s="6">
        <v>0.192304</v>
      </c>
      <c r="C325" s="6">
        <f t="shared" si="35"/>
        <v>0.14930399999999999</v>
      </c>
      <c r="D325" s="6">
        <f t="shared" si="36"/>
        <v>202.15761599999999</v>
      </c>
      <c r="E325" s="6">
        <f t="shared" si="40"/>
        <v>-52.383576000000012</v>
      </c>
      <c r="F325" s="6">
        <f t="shared" si="41"/>
        <v>-6.0500000000000137E-4</v>
      </c>
      <c r="G325" s="6">
        <f t="shared" si="37"/>
        <v>174.42855918670369</v>
      </c>
      <c r="H325" s="7">
        <f t="shared" si="38"/>
        <v>2.6518733266850214E-13</v>
      </c>
      <c r="I325" s="8" t="str">
        <f t="shared" si="39"/>
        <v/>
      </c>
    </row>
    <row r="326" spans="1:9" x14ac:dyDescent="0.2">
      <c r="A326" s="5">
        <v>1352</v>
      </c>
      <c r="B326" s="6">
        <v>0.193188</v>
      </c>
      <c r="C326" s="6">
        <f t="shared" si="35"/>
        <v>0.15018799999999999</v>
      </c>
      <c r="D326" s="6">
        <f t="shared" si="36"/>
        <v>203.05417599999998</v>
      </c>
      <c r="E326" s="6">
        <f t="shared" si="40"/>
        <v>-52.683068000000013</v>
      </c>
      <c r="F326" s="6">
        <f t="shared" si="41"/>
        <v>-7.9350000000000254E-4</v>
      </c>
      <c r="G326" s="6">
        <f t="shared" si="37"/>
        <v>175.15027983987471</v>
      </c>
      <c r="H326" s="7">
        <f t="shared" si="38"/>
        <v>2.0302731010268092E-13</v>
      </c>
      <c r="I326" s="8" t="str">
        <f t="shared" si="39"/>
        <v/>
      </c>
    </row>
    <row r="327" spans="1:9" x14ac:dyDescent="0.2">
      <c r="A327" s="5">
        <v>1350</v>
      </c>
      <c r="B327" s="6">
        <v>0.19547800000000001</v>
      </c>
      <c r="C327" s="6">
        <f t="shared" si="35"/>
        <v>0.152478</v>
      </c>
      <c r="D327" s="6">
        <f t="shared" si="36"/>
        <v>205.84530000000001</v>
      </c>
      <c r="E327" s="6">
        <f t="shared" si="40"/>
        <v>-52.985734000000015</v>
      </c>
      <c r="F327" s="6">
        <f t="shared" si="41"/>
        <v>-9.6750000000000308E-4</v>
      </c>
      <c r="G327" s="6">
        <f t="shared" si="37"/>
        <v>177.01531555906209</v>
      </c>
      <c r="H327" s="7">
        <f t="shared" si="38"/>
        <v>1.6828694487611683E-13</v>
      </c>
      <c r="I327" s="8" t="str">
        <f t="shared" si="39"/>
        <v/>
      </c>
    </row>
    <row r="328" spans="1:9" x14ac:dyDescent="0.2">
      <c r="A328" s="5">
        <v>1348</v>
      </c>
      <c r="B328" s="6">
        <v>0.19705800000000001</v>
      </c>
      <c r="C328" s="6">
        <f t="shared" si="35"/>
        <v>0.15405800000000003</v>
      </c>
      <c r="D328" s="6">
        <f t="shared" si="36"/>
        <v>207.67018400000003</v>
      </c>
      <c r="E328" s="6">
        <f t="shared" si="40"/>
        <v>-53.292270000000016</v>
      </c>
      <c r="F328" s="6">
        <f t="shared" si="41"/>
        <v>-8.3699999999999747E-4</v>
      </c>
      <c r="G328" s="6">
        <f t="shared" si="37"/>
        <v>178.29894876269358</v>
      </c>
      <c r="H328" s="7">
        <f t="shared" si="38"/>
        <v>1.9593583900011485E-13</v>
      </c>
      <c r="I328" s="8" t="str">
        <f t="shared" si="39"/>
        <v/>
      </c>
    </row>
    <row r="329" spans="1:9" x14ac:dyDescent="0.2">
      <c r="A329" s="5">
        <v>1346</v>
      </c>
      <c r="B329" s="6">
        <v>0.198826</v>
      </c>
      <c r="C329" s="6">
        <f t="shared" si="35"/>
        <v>0.15582600000000002</v>
      </c>
      <c r="D329" s="6">
        <f t="shared" si="36"/>
        <v>209.74179600000002</v>
      </c>
      <c r="E329" s="6">
        <f t="shared" si="40"/>
        <v>-53.602154000000013</v>
      </c>
      <c r="F329" s="6">
        <f t="shared" si="41"/>
        <v>-8.0799999999999622E-4</v>
      </c>
      <c r="G329" s="6">
        <f t="shared" si="37"/>
        <v>179.7317820690356</v>
      </c>
      <c r="H329" s="7">
        <f t="shared" si="38"/>
        <v>2.0459926815936986E-13</v>
      </c>
      <c r="I329" s="8" t="str">
        <f t="shared" si="39"/>
        <v/>
      </c>
    </row>
    <row r="330" spans="1:9" x14ac:dyDescent="0.2">
      <c r="A330" s="5">
        <v>1344</v>
      </c>
      <c r="B330" s="6">
        <v>0.20029</v>
      </c>
      <c r="C330" s="6">
        <f t="shared" si="35"/>
        <v>0.15728999999999999</v>
      </c>
      <c r="D330" s="6">
        <f t="shared" si="36"/>
        <v>211.39775999999998</v>
      </c>
      <c r="E330" s="6">
        <f t="shared" si="40"/>
        <v>-53.915270000000014</v>
      </c>
      <c r="F330" s="6">
        <f t="shared" si="41"/>
        <v>-7.2824999999999973E-4</v>
      </c>
      <c r="G330" s="6">
        <f t="shared" si="37"/>
        <v>180.9153178475903</v>
      </c>
      <c r="H330" s="7">
        <f t="shared" si="38"/>
        <v>2.2849957808528558E-13</v>
      </c>
      <c r="I330" s="8" t="str">
        <f t="shared" si="39"/>
        <v/>
      </c>
    </row>
    <row r="331" spans="1:9" x14ac:dyDescent="0.2">
      <c r="A331" s="5">
        <v>1342</v>
      </c>
      <c r="B331" s="6">
        <v>0.201739</v>
      </c>
      <c r="C331" s="6">
        <f t="shared" si="35"/>
        <v>0.15873900000000002</v>
      </c>
      <c r="D331" s="6">
        <f t="shared" si="36"/>
        <v>213.02773800000003</v>
      </c>
      <c r="E331" s="6">
        <f t="shared" si="40"/>
        <v>-54.231299000000014</v>
      </c>
      <c r="F331" s="6">
        <f t="shared" si="41"/>
        <v>-8.5500000000000159E-4</v>
      </c>
      <c r="G331" s="6">
        <f t="shared" si="37"/>
        <v>182.08382923497135</v>
      </c>
      <c r="H331" s="7">
        <f t="shared" si="38"/>
        <v>1.9588258182935833E-13</v>
      </c>
      <c r="I331" s="8" t="str">
        <f t="shared" si="39"/>
        <v/>
      </c>
    </row>
    <row r="332" spans="1:9" x14ac:dyDescent="0.2">
      <c r="A332" s="5">
        <v>1340</v>
      </c>
      <c r="B332" s="6">
        <v>0.20371</v>
      </c>
      <c r="C332" s="6">
        <f t="shared" si="35"/>
        <v>0.16071000000000002</v>
      </c>
      <c r="D332" s="6">
        <f t="shared" si="36"/>
        <v>215.35140000000001</v>
      </c>
      <c r="E332" s="6">
        <f t="shared" si="40"/>
        <v>-54.550748000000013</v>
      </c>
      <c r="F332" s="6">
        <f t="shared" si="41"/>
        <v>-8.4775000000000128E-4</v>
      </c>
      <c r="G332" s="6">
        <f t="shared" si="37"/>
        <v>183.66935303519767</v>
      </c>
      <c r="H332" s="7">
        <f t="shared" si="38"/>
        <v>1.9927804504717113E-13</v>
      </c>
      <c r="I332" s="8" t="str">
        <f t="shared" si="39"/>
        <v/>
      </c>
    </row>
    <row r="333" spans="1:9" x14ac:dyDescent="0.2">
      <c r="A333" s="5">
        <v>1338</v>
      </c>
      <c r="B333" s="6">
        <v>0.20513000000000001</v>
      </c>
      <c r="C333" s="6">
        <f t="shared" si="35"/>
        <v>0.16213</v>
      </c>
      <c r="D333" s="6">
        <f t="shared" si="36"/>
        <v>216.92993999999999</v>
      </c>
      <c r="E333" s="6">
        <f t="shared" si="40"/>
        <v>-54.873588000000012</v>
      </c>
      <c r="F333" s="6">
        <f t="shared" si="41"/>
        <v>-8.3325000000000066E-4</v>
      </c>
      <c r="G333" s="6">
        <f t="shared" si="37"/>
        <v>184.80879806630949</v>
      </c>
      <c r="H333" s="7">
        <f t="shared" si="38"/>
        <v>2.040036211858596E-13</v>
      </c>
      <c r="I333" s="8" t="str">
        <f t="shared" si="39"/>
        <v/>
      </c>
    </row>
    <row r="334" spans="1:9" x14ac:dyDescent="0.2">
      <c r="A334" s="5">
        <v>1336</v>
      </c>
      <c r="B334" s="6">
        <v>0.207043</v>
      </c>
      <c r="C334" s="6">
        <f t="shared" si="35"/>
        <v>0.16404299999999999</v>
      </c>
      <c r="D334" s="6">
        <f t="shared" si="36"/>
        <v>219.16144799999998</v>
      </c>
      <c r="E334" s="6">
        <f t="shared" si="40"/>
        <v>-55.199761000000009</v>
      </c>
      <c r="F334" s="6">
        <f t="shared" si="41"/>
        <v>-1.0182499999999983E-3</v>
      </c>
      <c r="G334" s="6">
        <f t="shared" si="37"/>
        <v>186.34001315399746</v>
      </c>
      <c r="H334" s="7">
        <f t="shared" si="38"/>
        <v>1.6832253351500473E-13</v>
      </c>
      <c r="I334" s="8" t="str">
        <f t="shared" si="39"/>
        <v/>
      </c>
    </row>
    <row r="335" spans="1:9" x14ac:dyDescent="0.2">
      <c r="A335" s="5">
        <v>1334</v>
      </c>
      <c r="B335" s="6">
        <v>0.209203</v>
      </c>
      <c r="C335" s="6">
        <f t="shared" si="35"/>
        <v>0.16620299999999999</v>
      </c>
      <c r="D335" s="6">
        <f t="shared" si="36"/>
        <v>221.71480199999999</v>
      </c>
      <c r="E335" s="6">
        <f t="shared" si="40"/>
        <v>-55.530007000000012</v>
      </c>
      <c r="F335" s="6">
        <f t="shared" si="41"/>
        <v>-9.6024999999999583E-4</v>
      </c>
      <c r="G335" s="6">
        <f t="shared" si="37"/>
        <v>188.06461348301261</v>
      </c>
      <c r="H335" s="7">
        <f t="shared" si="38"/>
        <v>1.8014131395814133E-13</v>
      </c>
      <c r="I335" s="8" t="str">
        <f t="shared" si="39"/>
        <v/>
      </c>
    </row>
    <row r="336" spans="1:9" x14ac:dyDescent="0.2">
      <c r="A336" s="5">
        <v>1332</v>
      </c>
      <c r="B336" s="6">
        <v>0.21088399999999999</v>
      </c>
      <c r="C336" s="6">
        <f t="shared" si="35"/>
        <v>0.16788399999999998</v>
      </c>
      <c r="D336" s="6">
        <f t="shared" si="36"/>
        <v>223.62148799999997</v>
      </c>
      <c r="E336" s="6">
        <f t="shared" si="40"/>
        <v>-55.864094000000009</v>
      </c>
      <c r="F336" s="6">
        <f t="shared" si="41"/>
        <v>-9.2400000000000121E-4</v>
      </c>
      <c r="G336" s="6">
        <f t="shared" si="37"/>
        <v>189.40340572054708</v>
      </c>
      <c r="H336" s="7">
        <f t="shared" si="38"/>
        <v>1.8854124431852709E-13</v>
      </c>
      <c r="I336" s="8" t="str">
        <f t="shared" si="39"/>
        <v/>
      </c>
    </row>
    <row r="337" spans="1:9" x14ac:dyDescent="0.2">
      <c r="A337" s="5">
        <v>1330</v>
      </c>
      <c r="B337" s="6">
        <v>0.212899</v>
      </c>
      <c r="C337" s="6">
        <f t="shared" si="35"/>
        <v>0.16989900000000002</v>
      </c>
      <c r="D337" s="6">
        <f t="shared" si="36"/>
        <v>225.96567000000002</v>
      </c>
      <c r="E337" s="6">
        <f t="shared" si="40"/>
        <v>-56.20187700000001</v>
      </c>
      <c r="F337" s="6">
        <f t="shared" si="41"/>
        <v>-9.8550000000000026E-4</v>
      </c>
      <c r="G337" s="6">
        <f t="shared" si="37"/>
        <v>191.00417426821633</v>
      </c>
      <c r="H337" s="7">
        <f t="shared" si="38"/>
        <v>1.7826939320311579E-13</v>
      </c>
      <c r="I337" s="8" t="str">
        <f t="shared" si="39"/>
        <v/>
      </c>
    </row>
    <row r="338" spans="1:9" x14ac:dyDescent="0.2">
      <c r="A338" s="5">
        <v>1328</v>
      </c>
      <c r="B338" s="6">
        <v>0.21482599999999999</v>
      </c>
      <c r="C338" s="6">
        <f t="shared" si="35"/>
        <v>0.17182599999999998</v>
      </c>
      <c r="D338" s="6">
        <f t="shared" si="36"/>
        <v>228.18492799999999</v>
      </c>
      <c r="E338" s="6">
        <f t="shared" si="40"/>
        <v>-56.543602000000007</v>
      </c>
      <c r="F338" s="6">
        <f t="shared" si="41"/>
        <v>-1.1012499999999981E-3</v>
      </c>
      <c r="G338" s="6">
        <f t="shared" si="37"/>
        <v>192.53117932099974</v>
      </c>
      <c r="H338" s="7">
        <f t="shared" si="38"/>
        <v>1.6080727994143391E-13</v>
      </c>
      <c r="I338" s="8" t="str">
        <f t="shared" si="39"/>
        <v/>
      </c>
    </row>
    <row r="339" spans="1:9" x14ac:dyDescent="0.2">
      <c r="A339" s="5">
        <v>1326</v>
      </c>
      <c r="B339" s="6">
        <v>0.217304</v>
      </c>
      <c r="C339" s="6">
        <f t="shared" si="35"/>
        <v>0.17430400000000001</v>
      </c>
      <c r="D339" s="6">
        <f t="shared" si="36"/>
        <v>231.12710400000003</v>
      </c>
      <c r="E339" s="6">
        <f t="shared" si="40"/>
        <v>-56.889732000000009</v>
      </c>
      <c r="F339" s="6">
        <f t="shared" si="41"/>
        <v>-1.1667500000000011E-3</v>
      </c>
      <c r="G339" s="6">
        <f t="shared" si="37"/>
        <v>194.48985514289774</v>
      </c>
      <c r="H339" s="7">
        <f t="shared" si="38"/>
        <v>1.5332384421524097E-13</v>
      </c>
      <c r="I339" s="8" t="str">
        <f t="shared" si="39"/>
        <v/>
      </c>
    </row>
    <row r="340" spans="1:9" x14ac:dyDescent="0.2">
      <c r="A340" s="5">
        <v>1324</v>
      </c>
      <c r="B340" s="6">
        <v>0.21949299999999999</v>
      </c>
      <c r="C340" s="6">
        <f t="shared" si="35"/>
        <v>0.17649300000000001</v>
      </c>
      <c r="D340" s="6">
        <f t="shared" si="36"/>
        <v>233.67673200000002</v>
      </c>
      <c r="E340" s="6">
        <f t="shared" si="40"/>
        <v>-57.240529000000009</v>
      </c>
      <c r="F340" s="6">
        <f t="shared" si="41"/>
        <v>-7.3200000000000348E-4</v>
      </c>
      <c r="G340" s="6">
        <f t="shared" si="37"/>
        <v>196.21571982818207</v>
      </c>
      <c r="H340" s="7">
        <f t="shared" si="38"/>
        <v>2.4655469284433106E-13</v>
      </c>
      <c r="I340" s="8" t="str">
        <f t="shared" si="39"/>
        <v/>
      </c>
    </row>
    <row r="341" spans="1:9" x14ac:dyDescent="0.2">
      <c r="A341" s="5">
        <v>1322</v>
      </c>
      <c r="B341" s="6">
        <v>0.22023200000000001</v>
      </c>
      <c r="C341" s="6">
        <f t="shared" si="35"/>
        <v>0.177232</v>
      </c>
      <c r="D341" s="6">
        <f t="shared" si="36"/>
        <v>234.300704</v>
      </c>
      <c r="E341" s="6">
        <f t="shared" si="40"/>
        <v>-57.594254000000006</v>
      </c>
      <c r="F341" s="6">
        <f t="shared" si="41"/>
        <v>-5.8700000000000419E-4</v>
      </c>
      <c r="G341" s="6">
        <f t="shared" si="37"/>
        <v>196.79688870000717</v>
      </c>
      <c r="H341" s="7">
        <f t="shared" si="38"/>
        <v>3.0836897918853449E-13</v>
      </c>
      <c r="I341" s="8" t="str">
        <f t="shared" si="39"/>
        <v/>
      </c>
    </row>
    <row r="342" spans="1:9" x14ac:dyDescent="0.2">
      <c r="A342" s="5">
        <v>1320</v>
      </c>
      <c r="B342" s="6">
        <v>0.22184100000000001</v>
      </c>
      <c r="C342" s="6">
        <f t="shared" si="35"/>
        <v>0.17884100000000003</v>
      </c>
      <c r="D342" s="6">
        <f t="shared" si="36"/>
        <v>236.07012000000003</v>
      </c>
      <c r="E342" s="6">
        <f t="shared" si="40"/>
        <v>-57.950327000000009</v>
      </c>
      <c r="F342" s="6">
        <f t="shared" si="41"/>
        <v>-8.1149999999999972E-4</v>
      </c>
      <c r="G342" s="6">
        <f t="shared" si="37"/>
        <v>198.05903025990784</v>
      </c>
      <c r="H342" s="7">
        <f t="shared" si="38"/>
        <v>2.2448983484275649E-13</v>
      </c>
      <c r="I342" s="8" t="str">
        <f t="shared" si="39"/>
        <v/>
      </c>
    </row>
    <row r="343" spans="1:9" x14ac:dyDescent="0.2">
      <c r="A343" s="5">
        <v>1318</v>
      </c>
      <c r="B343" s="6">
        <v>0.22347800000000001</v>
      </c>
      <c r="C343" s="6">
        <f t="shared" si="35"/>
        <v>0.18047800000000003</v>
      </c>
      <c r="D343" s="6">
        <f t="shared" si="36"/>
        <v>237.87000400000002</v>
      </c>
      <c r="E343" s="6">
        <f t="shared" si="40"/>
        <v>-58.309646000000008</v>
      </c>
      <c r="F343" s="6">
        <f t="shared" si="41"/>
        <v>-9.0574999999999684E-4</v>
      </c>
      <c r="G343" s="6">
        <f t="shared" si="37"/>
        <v>199.33986174999941</v>
      </c>
      <c r="H343" s="7">
        <f t="shared" si="38"/>
        <v>2.024306950606024E-13</v>
      </c>
      <c r="I343" s="8" t="str">
        <f t="shared" si="39"/>
        <v/>
      </c>
    </row>
    <row r="344" spans="1:9" x14ac:dyDescent="0.2">
      <c r="A344" s="5">
        <v>1316</v>
      </c>
      <c r="B344" s="6">
        <v>0.225464</v>
      </c>
      <c r="C344" s="6">
        <f t="shared" si="35"/>
        <v>0.18246400000000002</v>
      </c>
      <c r="D344" s="6">
        <f t="shared" si="36"/>
        <v>240.12262400000003</v>
      </c>
      <c r="E344" s="6">
        <f t="shared" si="40"/>
        <v>-58.672588000000005</v>
      </c>
      <c r="F344" s="6">
        <f t="shared" si="41"/>
        <v>-8.8774999999999965E-4</v>
      </c>
      <c r="G344" s="6">
        <f t="shared" si="37"/>
        <v>200.88978794139945</v>
      </c>
      <c r="H344" s="7">
        <f t="shared" si="38"/>
        <v>2.0814104737816967E-13</v>
      </c>
      <c r="I344" s="8" t="str">
        <f t="shared" si="39"/>
        <v/>
      </c>
    </row>
    <row r="345" spans="1:9" x14ac:dyDescent="0.2">
      <c r="A345" s="5">
        <v>1314</v>
      </c>
      <c r="B345" s="6">
        <v>0.22702900000000001</v>
      </c>
      <c r="C345" s="6">
        <f t="shared" si="35"/>
        <v>0.184029</v>
      </c>
      <c r="D345" s="6">
        <f t="shared" si="36"/>
        <v>241.81410600000001</v>
      </c>
      <c r="E345" s="6">
        <f t="shared" si="40"/>
        <v>-59.039081000000003</v>
      </c>
      <c r="F345" s="6">
        <f t="shared" si="41"/>
        <v>-5.4699999999999888E-4</v>
      </c>
      <c r="G345" s="6">
        <f t="shared" si="37"/>
        <v>202.10802475385719</v>
      </c>
      <c r="H345" s="7">
        <f t="shared" si="38"/>
        <v>3.3984961915797588E-13</v>
      </c>
      <c r="I345" s="8" t="str">
        <f t="shared" si="39"/>
        <v/>
      </c>
    </row>
    <row r="346" spans="1:9" x14ac:dyDescent="0.2">
      <c r="A346" s="5">
        <v>1312</v>
      </c>
      <c r="B346" s="6">
        <v>0.22765199999999999</v>
      </c>
      <c r="C346" s="6">
        <f t="shared" si="35"/>
        <v>0.18465199999999998</v>
      </c>
      <c r="D346" s="6">
        <f t="shared" si="36"/>
        <v>242.26342399999999</v>
      </c>
      <c r="E346" s="6">
        <f t="shared" si="40"/>
        <v>-59.407762000000005</v>
      </c>
      <c r="F346" s="6">
        <f t="shared" si="41"/>
        <v>-6.1949999999999505E-4</v>
      </c>
      <c r="G346" s="6">
        <f t="shared" si="37"/>
        <v>202.5917382006055</v>
      </c>
      <c r="H346" s="7">
        <f t="shared" si="38"/>
        <v>3.0079525163693204E-13</v>
      </c>
      <c r="I346" s="8" t="str">
        <f t="shared" si="39"/>
        <v/>
      </c>
    </row>
    <row r="347" spans="1:9" x14ac:dyDescent="0.2">
      <c r="A347" s="5">
        <v>1310</v>
      </c>
      <c r="B347" s="6">
        <v>0.22950699999999999</v>
      </c>
      <c r="C347" s="6">
        <f t="shared" si="35"/>
        <v>0.18650699999999998</v>
      </c>
      <c r="D347" s="6">
        <f t="shared" si="36"/>
        <v>244.32416999999998</v>
      </c>
      <c r="E347" s="6">
        <f t="shared" si="40"/>
        <v>-59.778921000000004</v>
      </c>
      <c r="F347" s="6">
        <f t="shared" si="41"/>
        <v>-7.1374999999999911E-4</v>
      </c>
      <c r="G347" s="6">
        <f t="shared" si="37"/>
        <v>204.02829857575512</v>
      </c>
      <c r="H347" s="7">
        <f t="shared" si="38"/>
        <v>2.62926792229987E-13</v>
      </c>
      <c r="I347" s="8" t="str">
        <f t="shared" si="39"/>
        <v/>
      </c>
    </row>
    <row r="348" spans="1:9" x14ac:dyDescent="0.2">
      <c r="A348" s="5">
        <v>1308</v>
      </c>
      <c r="B348" s="6">
        <v>0.23050699999999999</v>
      </c>
      <c r="C348" s="6">
        <f t="shared" si="35"/>
        <v>0.18750699999999998</v>
      </c>
      <c r="D348" s="6">
        <f t="shared" si="36"/>
        <v>245.25915599999996</v>
      </c>
      <c r="E348" s="6">
        <f t="shared" si="40"/>
        <v>-60.152935000000006</v>
      </c>
      <c r="F348" s="6">
        <f t="shared" si="41"/>
        <v>-7.4275000000000035E-4</v>
      </c>
      <c r="G348" s="6">
        <f t="shared" si="37"/>
        <v>204.80072465400289</v>
      </c>
      <c r="H348" s="7">
        <f t="shared" si="38"/>
        <v>2.5361759784614377E-13</v>
      </c>
      <c r="I348" s="8" t="str">
        <f t="shared" si="39"/>
        <v/>
      </c>
    </row>
    <row r="349" spans="1:9" x14ac:dyDescent="0.2">
      <c r="A349" s="5">
        <v>1306</v>
      </c>
      <c r="B349" s="6">
        <v>0.23247799999999999</v>
      </c>
      <c r="C349" s="6">
        <f t="shared" si="35"/>
        <v>0.18947799999999998</v>
      </c>
      <c r="D349" s="6">
        <f t="shared" si="36"/>
        <v>247.45826799999998</v>
      </c>
      <c r="E349" s="6">
        <f t="shared" si="40"/>
        <v>-60.529920000000004</v>
      </c>
      <c r="F349" s="6">
        <f t="shared" si="41"/>
        <v>-9.167500000000009E-4</v>
      </c>
      <c r="G349" s="6">
        <f t="shared" si="37"/>
        <v>206.31923445422922</v>
      </c>
      <c r="H349" s="7">
        <f t="shared" si="38"/>
        <v>2.0700429446633592E-13</v>
      </c>
      <c r="I349" s="8" t="str">
        <f t="shared" si="39"/>
        <v/>
      </c>
    </row>
    <row r="350" spans="1:9" x14ac:dyDescent="0.2">
      <c r="A350" s="5">
        <v>1304</v>
      </c>
      <c r="B350" s="6">
        <v>0.23417399999999999</v>
      </c>
      <c r="C350" s="6">
        <f t="shared" si="35"/>
        <v>0.19117400000000001</v>
      </c>
      <c r="D350" s="6">
        <f t="shared" si="36"/>
        <v>249.290896</v>
      </c>
      <c r="E350" s="6">
        <f t="shared" si="40"/>
        <v>-60.910572000000002</v>
      </c>
      <c r="F350" s="6">
        <f t="shared" si="41"/>
        <v>-8.0800000000000316E-4</v>
      </c>
      <c r="G350" s="6">
        <f t="shared" si="37"/>
        <v>207.62248508293746</v>
      </c>
      <c r="H350" s="7">
        <f t="shared" si="38"/>
        <v>2.3634889729787374E-13</v>
      </c>
      <c r="I350" s="8" t="str">
        <f t="shared" si="39"/>
        <v/>
      </c>
    </row>
    <row r="351" spans="1:9" x14ac:dyDescent="0.2">
      <c r="A351" s="5">
        <v>1302</v>
      </c>
      <c r="B351" s="6">
        <v>0.23571</v>
      </c>
      <c r="C351" s="6">
        <f t="shared" si="35"/>
        <v>0.19270999999999999</v>
      </c>
      <c r="D351" s="6">
        <f t="shared" si="36"/>
        <v>250.90841999999998</v>
      </c>
      <c r="E351" s="6">
        <f t="shared" si="40"/>
        <v>-61.294456000000004</v>
      </c>
      <c r="F351" s="6">
        <f t="shared" si="41"/>
        <v>-3.8774999999999921E-4</v>
      </c>
      <c r="G351" s="6">
        <f t="shared" si="37"/>
        <v>208.799715539126</v>
      </c>
      <c r="H351" s="7">
        <f t="shared" si="38"/>
        <v>4.9530037005043246E-13</v>
      </c>
      <c r="I351" s="8" t="str">
        <f t="shared" si="39"/>
        <v/>
      </c>
    </row>
    <row r="352" spans="1:9" x14ac:dyDescent="0.2">
      <c r="A352" s="5">
        <v>1300</v>
      </c>
      <c r="B352" s="6">
        <v>0.23572499999999999</v>
      </c>
      <c r="C352" s="6">
        <f t="shared" si="35"/>
        <v>0.19272499999999998</v>
      </c>
      <c r="D352" s="6">
        <f t="shared" si="36"/>
        <v>250.54249999999996</v>
      </c>
      <c r="E352" s="6">
        <f t="shared" si="40"/>
        <v>-61.679891000000005</v>
      </c>
      <c r="F352" s="6">
        <f t="shared" si="41"/>
        <v>-3.9125000000000271E-4</v>
      </c>
      <c r="G352" s="6">
        <f t="shared" si="37"/>
        <v>208.81118193029968</v>
      </c>
      <c r="H352" s="7">
        <f t="shared" si="38"/>
        <v>4.9089652448426477E-13</v>
      </c>
      <c r="I352" s="8" t="str">
        <f t="shared" si="39"/>
        <v/>
      </c>
    </row>
    <row r="353" spans="1:9" x14ac:dyDescent="0.2">
      <c r="A353" s="5">
        <v>1298</v>
      </c>
      <c r="B353" s="6">
        <v>0.23727500000000001</v>
      </c>
      <c r="C353" s="6">
        <f t="shared" si="35"/>
        <v>0.19427500000000003</v>
      </c>
      <c r="D353" s="6">
        <f t="shared" si="36"/>
        <v>252.16895000000005</v>
      </c>
      <c r="E353" s="6">
        <f t="shared" si="40"/>
        <v>-62.066891000000005</v>
      </c>
      <c r="F353" s="6">
        <f t="shared" si="41"/>
        <v>-4.165000000000002E-4</v>
      </c>
      <c r="G353" s="6">
        <f t="shared" si="37"/>
        <v>209.99294235158376</v>
      </c>
      <c r="H353" s="7">
        <f t="shared" si="38"/>
        <v>4.6374607757359817E-13</v>
      </c>
      <c r="I353" s="8" t="str">
        <f t="shared" si="39"/>
        <v/>
      </c>
    </row>
    <row r="354" spans="1:9" x14ac:dyDescent="0.2">
      <c r="A354" s="5">
        <v>1296</v>
      </c>
      <c r="B354" s="6">
        <v>0.23739099999999999</v>
      </c>
      <c r="C354" s="6">
        <f t="shared" si="35"/>
        <v>0.19439099999999998</v>
      </c>
      <c r="D354" s="6">
        <f t="shared" si="36"/>
        <v>251.93073599999997</v>
      </c>
      <c r="E354" s="6">
        <f t="shared" si="40"/>
        <v>-62.455557000000006</v>
      </c>
      <c r="F354" s="6">
        <f t="shared" si="41"/>
        <v>-2.2099999999999898E-4</v>
      </c>
      <c r="G354" s="6">
        <f t="shared" si="37"/>
        <v>210.08115177666048</v>
      </c>
      <c r="H354" s="7">
        <f t="shared" si="38"/>
        <v>8.7435011677080496E-13</v>
      </c>
      <c r="I354" s="8" t="str">
        <f t="shared" si="39"/>
        <v/>
      </c>
    </row>
    <row r="355" spans="1:9" x14ac:dyDescent="0.2">
      <c r="A355" s="5">
        <v>1294</v>
      </c>
      <c r="B355" s="6">
        <v>0.23815900000000001</v>
      </c>
      <c r="C355" s="6">
        <f t="shared" si="35"/>
        <v>0.19515900000000003</v>
      </c>
      <c r="D355" s="6">
        <f t="shared" si="36"/>
        <v>252.53574600000005</v>
      </c>
      <c r="E355" s="6">
        <f t="shared" si="40"/>
        <v>-62.845107000000006</v>
      </c>
      <c r="F355" s="6">
        <f t="shared" si="41"/>
        <v>-9.4200000000000533E-4</v>
      </c>
      <c r="G355" s="6">
        <f t="shared" si="37"/>
        <v>210.66362300475481</v>
      </c>
      <c r="H355" s="7">
        <f t="shared" si="38"/>
        <v>2.0569758951953712E-13</v>
      </c>
      <c r="I355" s="8" t="str">
        <f t="shared" si="39"/>
        <v/>
      </c>
    </row>
    <row r="356" spans="1:9" x14ac:dyDescent="0.2">
      <c r="A356" s="5">
        <v>1292</v>
      </c>
      <c r="B356" s="6">
        <v>0.24115900000000001</v>
      </c>
      <c r="C356" s="6">
        <f t="shared" si="35"/>
        <v>0.19815900000000003</v>
      </c>
      <c r="D356" s="6">
        <f t="shared" si="36"/>
        <v>256.02142800000001</v>
      </c>
      <c r="E356" s="6">
        <f t="shared" si="40"/>
        <v>-63.238425000000007</v>
      </c>
      <c r="F356" s="6">
        <f t="shared" si="41"/>
        <v>-1.6014999999999988E-3</v>
      </c>
      <c r="G356" s="6">
        <f t="shared" si="37"/>
        <v>212.93290123949808</v>
      </c>
      <c r="H356" s="7">
        <f t="shared" si="38"/>
        <v>1.2229434764610753E-13</v>
      </c>
      <c r="I356" s="8" t="str">
        <f t="shared" si="39"/>
        <v/>
      </c>
    </row>
    <row r="357" spans="1:9" x14ac:dyDescent="0.2">
      <c r="A357" s="5">
        <v>1290</v>
      </c>
      <c r="B357" s="6">
        <v>0.244565</v>
      </c>
      <c r="C357" s="6">
        <f t="shared" si="35"/>
        <v>0.20156499999999999</v>
      </c>
      <c r="D357" s="6">
        <f t="shared" si="36"/>
        <v>260.01884999999999</v>
      </c>
      <c r="E357" s="6">
        <f t="shared" si="40"/>
        <v>-63.638149000000006</v>
      </c>
      <c r="F357" s="6">
        <f t="shared" si="41"/>
        <v>-1.5979999999999953E-3</v>
      </c>
      <c r="G357" s="6">
        <f t="shared" si="37"/>
        <v>215.50247646200992</v>
      </c>
      <c r="H357" s="7">
        <f t="shared" si="38"/>
        <v>1.2404122499404297E-13</v>
      </c>
      <c r="I357" s="8" t="str">
        <f t="shared" si="39"/>
        <v/>
      </c>
    </row>
    <row r="358" spans="1:9" x14ac:dyDescent="0.2">
      <c r="A358" s="5">
        <v>1288</v>
      </c>
      <c r="B358" s="6">
        <v>0.24755099999999999</v>
      </c>
      <c r="C358" s="6">
        <f t="shared" si="35"/>
        <v>0.20455099999999998</v>
      </c>
      <c r="D358" s="6">
        <f t="shared" si="36"/>
        <v>263.46168799999998</v>
      </c>
      <c r="E358" s="6">
        <f t="shared" si="40"/>
        <v>-64.04426500000001</v>
      </c>
      <c r="F358" s="6">
        <f t="shared" si="41"/>
        <v>-2.0072499999999951E-3</v>
      </c>
      <c r="G358" s="6">
        <f t="shared" si="37"/>
        <v>217.74922073165772</v>
      </c>
      <c r="H358" s="7">
        <f t="shared" si="38"/>
        <v>9.9780505349701455E-14</v>
      </c>
      <c r="I358" s="8" t="str">
        <f t="shared" si="39"/>
        <v/>
      </c>
    </row>
    <row r="359" spans="1:9" x14ac:dyDescent="0.2">
      <c r="A359" s="5">
        <v>1286</v>
      </c>
      <c r="B359" s="6">
        <v>0.25259399999999999</v>
      </c>
      <c r="C359" s="6">
        <f t="shared" si="35"/>
        <v>0.209594</v>
      </c>
      <c r="D359" s="6">
        <f t="shared" si="36"/>
        <v>269.53788400000002</v>
      </c>
      <c r="E359" s="6">
        <f t="shared" si="40"/>
        <v>-64.458410000000015</v>
      </c>
      <c r="F359" s="6">
        <f t="shared" si="41"/>
        <v>-2.4237499999999954E-3</v>
      </c>
      <c r="G359" s="6">
        <f t="shared" si="37"/>
        <v>221.53361944426121</v>
      </c>
      <c r="H359" s="7">
        <f t="shared" si="38"/>
        <v>8.4070257437669976E-14</v>
      </c>
      <c r="I359" s="8" t="str">
        <f t="shared" si="39"/>
        <v/>
      </c>
    </row>
    <row r="360" spans="1:9" x14ac:dyDescent="0.2">
      <c r="A360" s="5">
        <v>1284</v>
      </c>
      <c r="B360" s="6">
        <v>0.25724599999999997</v>
      </c>
      <c r="C360" s="6">
        <f t="shared" si="35"/>
        <v>0.21424599999999999</v>
      </c>
      <c r="D360" s="6">
        <f t="shared" si="36"/>
        <v>275.09186399999999</v>
      </c>
      <c r="E360" s="6">
        <f t="shared" si="40"/>
        <v>-64.882250000000013</v>
      </c>
      <c r="F360" s="6">
        <f t="shared" si="41"/>
        <v>-1.7030000000000101E-3</v>
      </c>
      <c r="G360" s="6">
        <f t="shared" si="37"/>
        <v>225.0152975602698</v>
      </c>
      <c r="H360" s="7">
        <f t="shared" si="38"/>
        <v>1.2153124661640501E-13</v>
      </c>
      <c r="I360" s="8" t="str">
        <f t="shared" si="39"/>
        <v/>
      </c>
    </row>
    <row r="361" spans="1:9" x14ac:dyDescent="0.2">
      <c r="A361" s="5">
        <v>1282</v>
      </c>
      <c r="B361" s="6">
        <v>0.25940600000000003</v>
      </c>
      <c r="C361" s="6">
        <f t="shared" si="35"/>
        <v>0.21640600000000004</v>
      </c>
      <c r="D361" s="6">
        <f t="shared" si="36"/>
        <v>277.43249200000008</v>
      </c>
      <c r="E361" s="6">
        <f t="shared" si="40"/>
        <v>-65.312902000000008</v>
      </c>
      <c r="F361" s="6">
        <f t="shared" si="41"/>
        <v>-1.5217500000000023E-3</v>
      </c>
      <c r="G361" s="6">
        <f t="shared" si="37"/>
        <v>226.62757788928499</v>
      </c>
      <c r="H361" s="7">
        <f t="shared" si="38"/>
        <v>1.3698089614332954E-13</v>
      </c>
      <c r="I361" s="8" t="str">
        <f t="shared" si="39"/>
        <v/>
      </c>
    </row>
    <row r="362" spans="1:9" x14ac:dyDescent="0.2">
      <c r="A362" s="5">
        <v>1280</v>
      </c>
      <c r="B362" s="6">
        <v>0.26333299999999998</v>
      </c>
      <c r="C362" s="6">
        <f t="shared" si="35"/>
        <v>0.220333</v>
      </c>
      <c r="D362" s="6">
        <f t="shared" si="36"/>
        <v>282.02624000000003</v>
      </c>
      <c r="E362" s="6">
        <f t="shared" si="40"/>
        <v>-65.749641000000011</v>
      </c>
      <c r="F362" s="6">
        <f t="shared" si="41"/>
        <v>-2.5252499999999928E-3</v>
      </c>
      <c r="G362" s="6">
        <f t="shared" si="37"/>
        <v>229.5509390985639</v>
      </c>
      <c r="H362" s="7">
        <f t="shared" si="38"/>
        <v>8.3611352819439255E-14</v>
      </c>
      <c r="I362" s="8" t="str">
        <f t="shared" si="39"/>
        <v/>
      </c>
    </row>
    <row r="363" spans="1:9" x14ac:dyDescent="0.2">
      <c r="A363" s="5">
        <v>1278</v>
      </c>
      <c r="B363" s="6">
        <v>0.269507</v>
      </c>
      <c r="C363" s="6">
        <f t="shared" si="35"/>
        <v>0.22650700000000001</v>
      </c>
      <c r="D363" s="6">
        <f t="shared" si="36"/>
        <v>289.47594600000002</v>
      </c>
      <c r="E363" s="6">
        <f t="shared" si="40"/>
        <v>-66.196481000000006</v>
      </c>
      <c r="F363" s="6">
        <f t="shared" si="41"/>
        <v>-3.007250000000003E-3</v>
      </c>
      <c r="G363" s="6">
        <f t="shared" si="37"/>
        <v>234.13467770566558</v>
      </c>
      <c r="H363" s="7">
        <f t="shared" si="38"/>
        <v>7.1612158556992711E-14</v>
      </c>
      <c r="I363" s="8" t="str">
        <f t="shared" si="39"/>
        <v/>
      </c>
    </row>
    <row r="364" spans="1:9" x14ac:dyDescent="0.2">
      <c r="A364" s="5">
        <v>1276</v>
      </c>
      <c r="B364" s="6">
        <v>0.275362</v>
      </c>
      <c r="C364" s="6">
        <f t="shared" si="35"/>
        <v>0.23236200000000001</v>
      </c>
      <c r="D364" s="6">
        <f t="shared" si="36"/>
        <v>296.49391200000002</v>
      </c>
      <c r="E364" s="6">
        <f t="shared" si="40"/>
        <v>-66.655350000000013</v>
      </c>
      <c r="F364" s="6">
        <f t="shared" si="41"/>
        <v>-3.1377499999999947E-3</v>
      </c>
      <c r="G364" s="6">
        <f t="shared" si="37"/>
        <v>238.46987239380621</v>
      </c>
      <c r="H364" s="7">
        <f t="shared" si="38"/>
        <v>6.990459715935337E-14</v>
      </c>
      <c r="I364" s="8" t="str">
        <f t="shared" si="39"/>
        <v/>
      </c>
    </row>
    <row r="365" spans="1:9" x14ac:dyDescent="0.2">
      <c r="A365" s="5">
        <v>1274</v>
      </c>
      <c r="B365" s="6">
        <v>0.28205799999999998</v>
      </c>
      <c r="C365" s="6">
        <f t="shared" si="35"/>
        <v>0.23905799999999999</v>
      </c>
      <c r="D365" s="6">
        <f t="shared" si="36"/>
        <v>304.55989199999999</v>
      </c>
      <c r="E365" s="6">
        <f t="shared" si="40"/>
        <v>-67.126770000000008</v>
      </c>
      <c r="F365" s="6">
        <f t="shared" si="41"/>
        <v>-3.0290000000000039E-3</v>
      </c>
      <c r="G365" s="6">
        <f t="shared" si="37"/>
        <v>243.4143734137532</v>
      </c>
      <c r="H365" s="7">
        <f t="shared" si="38"/>
        <v>7.3915837550524266E-14</v>
      </c>
      <c r="I365" s="8" t="str">
        <f t="shared" si="39"/>
        <v/>
      </c>
    </row>
    <row r="366" spans="1:9" x14ac:dyDescent="0.2">
      <c r="A366" s="5">
        <v>1272</v>
      </c>
      <c r="B366" s="6">
        <v>0.28747800000000001</v>
      </c>
      <c r="C366" s="6">
        <f t="shared" si="35"/>
        <v>0.24447800000000003</v>
      </c>
      <c r="D366" s="6">
        <f t="shared" si="36"/>
        <v>310.97601600000002</v>
      </c>
      <c r="E366" s="6">
        <f t="shared" si="40"/>
        <v>-67.610306000000008</v>
      </c>
      <c r="F366" s="6">
        <f t="shared" si="41"/>
        <v>-2.1232500000000071E-3</v>
      </c>
      <c r="G366" s="6">
        <f t="shared" si="37"/>
        <v>247.40580275785612</v>
      </c>
      <c r="H366" s="7">
        <f t="shared" si="38"/>
        <v>1.0717643450727128E-13</v>
      </c>
      <c r="I366" s="8" t="str">
        <f t="shared" si="39"/>
        <v/>
      </c>
    </row>
    <row r="367" spans="1:9" x14ac:dyDescent="0.2">
      <c r="A367" s="5">
        <v>1270</v>
      </c>
      <c r="B367" s="6">
        <v>0.290551</v>
      </c>
      <c r="C367" s="6">
        <f t="shared" si="35"/>
        <v>0.24755100000000002</v>
      </c>
      <c r="D367" s="6">
        <f t="shared" si="36"/>
        <v>314.38977</v>
      </c>
      <c r="E367" s="6">
        <f t="shared" si="40"/>
        <v>-68.102335000000011</v>
      </c>
      <c r="F367" s="6">
        <f t="shared" si="41"/>
        <v>-1.514500000000002E-3</v>
      </c>
      <c r="G367" s="6">
        <f t="shared" si="37"/>
        <v>249.66269409631147</v>
      </c>
      <c r="H367" s="7">
        <f t="shared" si="38"/>
        <v>1.5162643750606486E-13</v>
      </c>
      <c r="I367" s="8" t="str">
        <f t="shared" si="39"/>
        <v/>
      </c>
    </row>
    <row r="368" spans="1:9" x14ac:dyDescent="0.2">
      <c r="A368" s="5">
        <v>1268</v>
      </c>
      <c r="B368" s="6">
        <v>0.29353600000000002</v>
      </c>
      <c r="C368" s="6">
        <f t="shared" si="35"/>
        <v>0.25053600000000004</v>
      </c>
      <c r="D368" s="6">
        <f t="shared" si="36"/>
        <v>317.67964800000004</v>
      </c>
      <c r="E368" s="6">
        <f t="shared" si="40"/>
        <v>-68.600422000000009</v>
      </c>
      <c r="F368" s="6">
        <f t="shared" si="41"/>
        <v>-1.398499999999997E-3</v>
      </c>
      <c r="G368" s="6">
        <f t="shared" si="37"/>
        <v>251.84898593988106</v>
      </c>
      <c r="H368" s="7">
        <f t="shared" si="38"/>
        <v>1.6564117100385967E-13</v>
      </c>
      <c r="I368" s="8" t="str">
        <f t="shared" si="39"/>
        <v/>
      </c>
    </row>
    <row r="369" spans="1:9" x14ac:dyDescent="0.2">
      <c r="A369" s="5">
        <v>1266</v>
      </c>
      <c r="B369" s="6">
        <v>0.29614499999999999</v>
      </c>
      <c r="C369" s="6">
        <f t="shared" si="35"/>
        <v>0.25314500000000001</v>
      </c>
      <c r="D369" s="6">
        <f t="shared" si="36"/>
        <v>320.48157000000003</v>
      </c>
      <c r="E369" s="6">
        <f t="shared" si="40"/>
        <v>-69.104103000000009</v>
      </c>
      <c r="F369" s="6">
        <f t="shared" si="41"/>
        <v>-1.2247499999999967E-3</v>
      </c>
      <c r="G369" s="6">
        <f t="shared" si="37"/>
        <v>253.75466757802945</v>
      </c>
      <c r="H369" s="7">
        <f t="shared" si="38"/>
        <v>1.9057114686350083E-13</v>
      </c>
      <c r="I369" s="8" t="str">
        <f t="shared" si="39"/>
        <v/>
      </c>
    </row>
    <row r="370" spans="1:9" x14ac:dyDescent="0.2">
      <c r="A370" s="5">
        <v>1264</v>
      </c>
      <c r="B370" s="6">
        <v>0.29843500000000001</v>
      </c>
      <c r="C370" s="6">
        <f t="shared" si="35"/>
        <v>0.25543500000000002</v>
      </c>
      <c r="D370" s="6">
        <f t="shared" si="36"/>
        <v>322.86984000000001</v>
      </c>
      <c r="E370" s="6">
        <f t="shared" si="40"/>
        <v>-69.612683000000004</v>
      </c>
      <c r="F370" s="6">
        <f t="shared" si="41"/>
        <v>-1.5870000000000051E-3</v>
      </c>
      <c r="G370" s="6">
        <f t="shared" si="37"/>
        <v>255.42276329721682</v>
      </c>
      <c r="H370" s="7">
        <f t="shared" si="38"/>
        <v>1.4803800661533903E-13</v>
      </c>
      <c r="I370" s="8" t="str">
        <f t="shared" si="39"/>
        <v/>
      </c>
    </row>
    <row r="371" spans="1:9" x14ac:dyDescent="0.2">
      <c r="A371" s="5">
        <v>1262</v>
      </c>
      <c r="B371" s="6">
        <v>0.30249300000000001</v>
      </c>
      <c r="C371" s="6">
        <f t="shared" si="35"/>
        <v>0.25949300000000003</v>
      </c>
      <c r="D371" s="6">
        <f t="shared" si="36"/>
        <v>327.48016600000005</v>
      </c>
      <c r="E371" s="6">
        <f t="shared" si="40"/>
        <v>-70.127611000000002</v>
      </c>
      <c r="F371" s="6">
        <f t="shared" si="41"/>
        <v>-1.9637500000000002E-3</v>
      </c>
      <c r="G371" s="6">
        <f t="shared" si="37"/>
        <v>258.37060032274621</v>
      </c>
      <c r="H371" s="7">
        <f t="shared" si="38"/>
        <v>1.2101729813256472E-13</v>
      </c>
      <c r="I371" s="8" t="str">
        <f t="shared" si="39"/>
        <v/>
      </c>
    </row>
    <row r="372" spans="1:9" x14ac:dyDescent="0.2">
      <c r="A372" s="5">
        <v>1260</v>
      </c>
      <c r="B372" s="6">
        <v>0.30629000000000001</v>
      </c>
      <c r="C372" s="6">
        <f t="shared" si="35"/>
        <v>0.26329000000000002</v>
      </c>
      <c r="D372" s="6">
        <f t="shared" si="36"/>
        <v>331.74540000000002</v>
      </c>
      <c r="E372" s="6">
        <f t="shared" si="40"/>
        <v>-70.650394000000006</v>
      </c>
      <c r="F372" s="6">
        <f t="shared" si="41"/>
        <v>-1.9710000000000005E-3</v>
      </c>
      <c r="G372" s="6">
        <f t="shared" si="37"/>
        <v>261.12124614185302</v>
      </c>
      <c r="H372" s="7">
        <f t="shared" si="38"/>
        <v>1.2185578215893375E-13</v>
      </c>
      <c r="I372" s="8" t="str">
        <f t="shared" si="39"/>
        <v/>
      </c>
    </row>
    <row r="373" spans="1:9" x14ac:dyDescent="0.2">
      <c r="A373" s="5">
        <v>1258</v>
      </c>
      <c r="B373" s="6">
        <v>0.31037700000000001</v>
      </c>
      <c r="C373" s="6">
        <f t="shared" si="35"/>
        <v>0.26737700000000003</v>
      </c>
      <c r="D373" s="6">
        <f t="shared" si="36"/>
        <v>336.36026600000002</v>
      </c>
      <c r="E373" s="6">
        <f t="shared" si="40"/>
        <v>-71.181061</v>
      </c>
      <c r="F373" s="6">
        <f t="shared" si="41"/>
        <v>-2.029000000000003E-3</v>
      </c>
      <c r="G373" s="6">
        <f t="shared" si="37"/>
        <v>264.07380152365158</v>
      </c>
      <c r="H373" s="7">
        <f t="shared" si="38"/>
        <v>1.1971093605725225E-13</v>
      </c>
      <c r="I373" s="8" t="str">
        <f t="shared" si="39"/>
        <v/>
      </c>
    </row>
    <row r="374" spans="1:9" x14ac:dyDescent="0.2">
      <c r="A374" s="5">
        <v>1256</v>
      </c>
      <c r="B374" s="6">
        <v>0.31440600000000002</v>
      </c>
      <c r="C374" s="6">
        <f t="shared" si="35"/>
        <v>0.27140600000000004</v>
      </c>
      <c r="D374" s="6">
        <f t="shared" si="36"/>
        <v>340.88593600000007</v>
      </c>
      <c r="E374" s="6">
        <f t="shared" si="40"/>
        <v>-71.719843999999995</v>
      </c>
      <c r="F374" s="6">
        <f t="shared" si="41"/>
        <v>-1.9310000000000022E-3</v>
      </c>
      <c r="G374" s="6">
        <f t="shared" si="37"/>
        <v>266.9763981929118</v>
      </c>
      <c r="H374" s="7">
        <f t="shared" si="38"/>
        <v>1.2716896953015126E-13</v>
      </c>
      <c r="I374" s="8" t="str">
        <f t="shared" si="39"/>
        <v/>
      </c>
    </row>
    <row r="375" spans="1:9" x14ac:dyDescent="0.2">
      <c r="A375" s="5">
        <v>1254</v>
      </c>
      <c r="B375" s="6">
        <v>0.31810100000000002</v>
      </c>
      <c r="C375" s="6">
        <f t="shared" si="35"/>
        <v>0.27510100000000004</v>
      </c>
      <c r="D375" s="6">
        <f t="shared" si="36"/>
        <v>344.97665400000005</v>
      </c>
      <c r="E375" s="6">
        <f t="shared" si="40"/>
        <v>-72.266351</v>
      </c>
      <c r="F375" s="6">
        <f t="shared" si="41"/>
        <v>-1.8549999999999955E-3</v>
      </c>
      <c r="G375" s="6">
        <f t="shared" si="37"/>
        <v>269.63098255203727</v>
      </c>
      <c r="H375" s="7">
        <f t="shared" si="38"/>
        <v>1.3369539128780968E-13</v>
      </c>
      <c r="I375" s="8" t="str">
        <f t="shared" si="39"/>
        <v/>
      </c>
    </row>
    <row r="376" spans="1:9" x14ac:dyDescent="0.2">
      <c r="A376" s="5">
        <v>1252</v>
      </c>
      <c r="B376" s="6">
        <v>0.321826</v>
      </c>
      <c r="C376" s="6">
        <f t="shared" si="35"/>
        <v>0.27882600000000002</v>
      </c>
      <c r="D376" s="6">
        <f t="shared" si="36"/>
        <v>349.09015200000005</v>
      </c>
      <c r="E376" s="6">
        <f t="shared" si="40"/>
        <v>-72.820278000000002</v>
      </c>
      <c r="F376" s="6">
        <f t="shared" si="41"/>
        <v>-1.8079999999999902E-3</v>
      </c>
      <c r="G376" s="6">
        <f t="shared" si="37"/>
        <v>272.29966969351017</v>
      </c>
      <c r="H376" s="7">
        <f t="shared" si="38"/>
        <v>1.3852853604488985E-13</v>
      </c>
      <c r="I376" s="8" t="str">
        <f t="shared" si="39"/>
        <v/>
      </c>
    </row>
    <row r="377" spans="1:9" x14ac:dyDescent="0.2">
      <c r="A377" s="5">
        <v>1250</v>
      </c>
      <c r="B377" s="6">
        <v>0.32533299999999998</v>
      </c>
      <c r="C377" s="6">
        <f t="shared" si="35"/>
        <v>0.282333</v>
      </c>
      <c r="D377" s="6">
        <f t="shared" si="36"/>
        <v>352.91624999999999</v>
      </c>
      <c r="E377" s="6">
        <f t="shared" si="40"/>
        <v>-73.381437000000005</v>
      </c>
      <c r="F377" s="6">
        <f t="shared" si="41"/>
        <v>-1.9819999999999977E-3</v>
      </c>
      <c r="G377" s="6">
        <f t="shared" si="37"/>
        <v>274.80516194992504</v>
      </c>
      <c r="H377" s="7">
        <f t="shared" si="38"/>
        <v>1.2752983341516127E-13</v>
      </c>
      <c r="I377" s="8" t="str">
        <f t="shared" si="39"/>
        <v/>
      </c>
    </row>
    <row r="378" spans="1:9" x14ac:dyDescent="0.2">
      <c r="A378" s="5">
        <v>1248</v>
      </c>
      <c r="B378" s="6">
        <v>0.32975399999999999</v>
      </c>
      <c r="C378" s="6">
        <f t="shared" si="35"/>
        <v>0.28675400000000001</v>
      </c>
      <c r="D378" s="6">
        <f t="shared" si="36"/>
        <v>357.86899199999999</v>
      </c>
      <c r="E378" s="6">
        <f t="shared" si="40"/>
        <v>-73.950524000000001</v>
      </c>
      <c r="F378" s="6">
        <f t="shared" si="41"/>
        <v>-2.2900000000000004E-3</v>
      </c>
      <c r="G378" s="6">
        <f t="shared" si="37"/>
        <v>277.95479764185842</v>
      </c>
      <c r="H378" s="7">
        <f t="shared" si="38"/>
        <v>1.116424217178451E-13</v>
      </c>
      <c r="I378" s="8" t="str">
        <f t="shared" si="39"/>
        <v/>
      </c>
    </row>
    <row r="379" spans="1:9" x14ac:dyDescent="0.2">
      <c r="A379" s="5">
        <v>1246</v>
      </c>
      <c r="B379" s="6">
        <v>0.33449299999999998</v>
      </c>
      <c r="C379" s="6">
        <f t="shared" si="35"/>
        <v>0.291493</v>
      </c>
      <c r="D379" s="6">
        <f t="shared" si="36"/>
        <v>363.20027800000003</v>
      </c>
      <c r="E379" s="6">
        <f t="shared" si="40"/>
        <v>-74.528771000000006</v>
      </c>
      <c r="F379" s="6">
        <f t="shared" si="41"/>
        <v>-2.3332500000000089E-3</v>
      </c>
      <c r="G379" s="6">
        <f t="shared" si="37"/>
        <v>281.32150682667458</v>
      </c>
      <c r="H379" s="7">
        <f t="shared" si="38"/>
        <v>1.1090017123233488E-13</v>
      </c>
      <c r="I379" s="8" t="str">
        <f t="shared" si="39"/>
        <v/>
      </c>
    </row>
    <row r="380" spans="1:9" x14ac:dyDescent="0.2">
      <c r="A380" s="5">
        <v>1244</v>
      </c>
      <c r="B380" s="6">
        <v>0.33908700000000003</v>
      </c>
      <c r="C380" s="6">
        <f t="shared" si="35"/>
        <v>0.29608700000000004</v>
      </c>
      <c r="D380" s="6">
        <f t="shared" si="36"/>
        <v>368.33222800000004</v>
      </c>
      <c r="E380" s="6">
        <f t="shared" si="40"/>
        <v>-75.116351000000009</v>
      </c>
      <c r="F380" s="6">
        <f t="shared" si="41"/>
        <v>-2.1882500000000027E-3</v>
      </c>
      <c r="G380" s="6">
        <f t="shared" si="37"/>
        <v>284.57601623014477</v>
      </c>
      <c r="H380" s="7">
        <f t="shared" si="38"/>
        <v>1.1961672690046452E-13</v>
      </c>
      <c r="I380" s="8" t="str">
        <f t="shared" si="39"/>
        <v/>
      </c>
    </row>
    <row r="381" spans="1:9" x14ac:dyDescent="0.2">
      <c r="A381" s="5">
        <v>1242</v>
      </c>
      <c r="B381" s="6">
        <v>0.343246</v>
      </c>
      <c r="C381" s="6">
        <f t="shared" si="35"/>
        <v>0.30024600000000001</v>
      </c>
      <c r="D381" s="6">
        <f t="shared" si="36"/>
        <v>372.90553199999999</v>
      </c>
      <c r="E381" s="6">
        <f t="shared" si="40"/>
        <v>-75.71268400000001</v>
      </c>
      <c r="F381" s="6">
        <f t="shared" si="41"/>
        <v>-2.133999999999997E-3</v>
      </c>
      <c r="G381" s="6">
        <f t="shared" si="37"/>
        <v>287.51404228957722</v>
      </c>
      <c r="H381" s="7">
        <f t="shared" si="38"/>
        <v>1.2392393687057368E-13</v>
      </c>
      <c r="I381" s="8" t="str">
        <f t="shared" si="39"/>
        <v/>
      </c>
    </row>
    <row r="382" spans="1:9" x14ac:dyDescent="0.2">
      <c r="A382" s="5">
        <v>1240</v>
      </c>
      <c r="B382" s="6">
        <v>0.34762300000000002</v>
      </c>
      <c r="C382" s="6">
        <f t="shared" si="35"/>
        <v>0.30462300000000003</v>
      </c>
      <c r="D382" s="6">
        <f t="shared" si="36"/>
        <v>377.73252000000002</v>
      </c>
      <c r="E382" s="6">
        <f t="shared" si="40"/>
        <v>-76.317553000000004</v>
      </c>
      <c r="F382" s="6">
        <f t="shared" si="41"/>
        <v>-2.1522499999999944E-3</v>
      </c>
      <c r="G382" s="6">
        <f t="shared" si="37"/>
        <v>290.59731523406765</v>
      </c>
      <c r="H382" s="7">
        <f t="shared" si="38"/>
        <v>1.2419080363904997E-13</v>
      </c>
      <c r="I382" s="8" t="str">
        <f t="shared" si="39"/>
        <v/>
      </c>
    </row>
    <row r="383" spans="1:9" x14ac:dyDescent="0.2">
      <c r="A383" s="5">
        <v>1238</v>
      </c>
      <c r="B383" s="6">
        <v>0.35185499999999997</v>
      </c>
      <c r="C383" s="6">
        <f t="shared" si="35"/>
        <v>0.30885499999999999</v>
      </c>
      <c r="D383" s="6">
        <f t="shared" si="36"/>
        <v>382.36248999999998</v>
      </c>
      <c r="E383" s="6">
        <f t="shared" si="40"/>
        <v>-76.931031000000004</v>
      </c>
      <c r="F383" s="6">
        <f t="shared" si="41"/>
        <v>-2.0977499999999955E-3</v>
      </c>
      <c r="G383" s="6">
        <f t="shared" si="37"/>
        <v>293.56998239721219</v>
      </c>
      <c r="H383" s="7">
        <f t="shared" si="38"/>
        <v>1.287207238480193E-13</v>
      </c>
      <c r="I383" s="8" t="str">
        <f t="shared" si="39"/>
        <v/>
      </c>
    </row>
    <row r="384" spans="1:9" x14ac:dyDescent="0.2">
      <c r="A384" s="5">
        <v>1236</v>
      </c>
      <c r="B384" s="6">
        <v>0.356014</v>
      </c>
      <c r="C384" s="6">
        <f t="shared" si="35"/>
        <v>0.31301400000000001</v>
      </c>
      <c r="D384" s="6">
        <f t="shared" si="36"/>
        <v>386.88530400000002</v>
      </c>
      <c r="E384" s="6">
        <f t="shared" si="40"/>
        <v>-77.552900000000008</v>
      </c>
      <c r="F384" s="6">
        <f t="shared" si="41"/>
        <v>-2.4457500000000104E-3</v>
      </c>
      <c r="G384" s="6">
        <f t="shared" si="37"/>
        <v>296.48305445664465</v>
      </c>
      <c r="H384" s="7">
        <f t="shared" si="38"/>
        <v>1.1150089933779473E-13</v>
      </c>
      <c r="I384" s="8" t="str">
        <f t="shared" si="39"/>
        <v/>
      </c>
    </row>
    <row r="385" spans="1:9" x14ac:dyDescent="0.2">
      <c r="A385" s="5">
        <v>1234</v>
      </c>
      <c r="B385" s="6">
        <v>0.36163800000000001</v>
      </c>
      <c r="C385" s="6">
        <f t="shared" si="35"/>
        <v>0.31863800000000003</v>
      </c>
      <c r="D385" s="6">
        <f t="shared" si="36"/>
        <v>393.19929200000001</v>
      </c>
      <c r="E385" s="6">
        <f t="shared" si="40"/>
        <v>-78.184552000000011</v>
      </c>
      <c r="F385" s="6">
        <f t="shared" si="41"/>
        <v>-2.840750000000003E-3</v>
      </c>
      <c r="G385" s="6">
        <f t="shared" si="37"/>
        <v>300.41100272071009</v>
      </c>
      <c r="H385" s="7">
        <f t="shared" si="38"/>
        <v>9.7268759189670095E-14</v>
      </c>
      <c r="I385" s="8" t="str">
        <f t="shared" si="39"/>
        <v/>
      </c>
    </row>
    <row r="386" spans="1:9" x14ac:dyDescent="0.2">
      <c r="A386" s="5">
        <v>1232</v>
      </c>
      <c r="B386" s="6">
        <v>0.36737700000000001</v>
      </c>
      <c r="C386" s="6">
        <f t="shared" ref="C386:C449" si="42">B386-$B$2</f>
        <v>0.32437700000000003</v>
      </c>
      <c r="D386" s="6">
        <f t="shared" ref="D386:D449" si="43">A386*C386</f>
        <v>399.63246400000003</v>
      </c>
      <c r="E386" s="6">
        <f t="shared" si="40"/>
        <v>-78.827567000000016</v>
      </c>
      <c r="F386" s="6">
        <f t="shared" si="41"/>
        <v>-2.6339999999999975E-3</v>
      </c>
      <c r="G386" s="6">
        <f t="shared" ref="G386:G449" si="44">(A386-$L$5)*C386-E386</f>
        <v>304.40779198377396</v>
      </c>
      <c r="H386" s="7">
        <f t="shared" ref="H386:H449" si="45">IF(ABS(F386)&lt;0.000000001,"",-(G386)/(2*$L$4*F386)*0.000000000001)</f>
        <v>1.0629933573128378E-13</v>
      </c>
      <c r="I386" s="8" t="str">
        <f t="shared" ref="I386:I449" si="46">IF(AND(B386&gt;=0.5,B386&lt;=2.5,ISNUMBER(H386),H386&gt;0),H386,"")</f>
        <v/>
      </c>
    </row>
    <row r="387" spans="1:9" x14ac:dyDescent="0.2">
      <c r="A387" s="5">
        <v>1230</v>
      </c>
      <c r="B387" s="6">
        <v>0.372174</v>
      </c>
      <c r="C387" s="6">
        <f t="shared" si="42"/>
        <v>0.32917400000000002</v>
      </c>
      <c r="D387" s="6">
        <f t="shared" si="43"/>
        <v>404.88402000000002</v>
      </c>
      <c r="E387" s="6">
        <f t="shared" ref="E387:E450" si="47">E386+(C386+C387)/2*(A387-A386)</f>
        <v>-79.481118000000009</v>
      </c>
      <c r="F387" s="6">
        <f t="shared" ref="F387:F450" si="48">(B388-B386)/(A388-A386)</f>
        <v>-1.7790000000000028E-3</v>
      </c>
      <c r="G387" s="6">
        <f t="shared" si="44"/>
        <v>307.73895388112845</v>
      </c>
      <c r="H387" s="7">
        <f t="shared" si="45"/>
        <v>1.5910985549728022E-13</v>
      </c>
      <c r="I387" s="8" t="str">
        <f t="shared" si="46"/>
        <v/>
      </c>
    </row>
    <row r="388" spans="1:9" x14ac:dyDescent="0.2">
      <c r="A388" s="5">
        <v>1228</v>
      </c>
      <c r="B388" s="6">
        <v>0.37449300000000002</v>
      </c>
      <c r="C388" s="6">
        <f t="shared" si="42"/>
        <v>0.33149300000000004</v>
      </c>
      <c r="D388" s="6">
        <f t="shared" si="43"/>
        <v>407.07340400000004</v>
      </c>
      <c r="E388" s="6">
        <f t="shared" si="47"/>
        <v>-80.141785000000013</v>
      </c>
      <c r="F388" s="6">
        <f t="shared" si="48"/>
        <v>-1.7790000000000028E-3</v>
      </c>
      <c r="G388" s="6">
        <f t="shared" si="44"/>
        <v>309.34468995658506</v>
      </c>
      <c r="H388" s="7">
        <f t="shared" si="45"/>
        <v>1.5994006705064549E-13</v>
      </c>
      <c r="I388" s="8" t="str">
        <f t="shared" si="46"/>
        <v/>
      </c>
    </row>
    <row r="389" spans="1:9" x14ac:dyDescent="0.2">
      <c r="A389" s="5">
        <v>1226</v>
      </c>
      <c r="B389" s="6">
        <v>0.37929000000000002</v>
      </c>
      <c r="C389" s="6">
        <f t="shared" si="42"/>
        <v>0.33629000000000003</v>
      </c>
      <c r="D389" s="6">
        <f t="shared" si="43"/>
        <v>412.29154000000005</v>
      </c>
      <c r="E389" s="6">
        <f t="shared" si="47"/>
        <v>-80.809568000000013</v>
      </c>
      <c r="F389" s="6">
        <f t="shared" si="48"/>
        <v>-2.3839999999999972E-3</v>
      </c>
      <c r="G389" s="6">
        <f t="shared" si="44"/>
        <v>312.65666385393956</v>
      </c>
      <c r="H389" s="7">
        <f t="shared" si="45"/>
        <v>1.2062907419879922E-13</v>
      </c>
      <c r="I389" s="8" t="str">
        <f t="shared" si="46"/>
        <v/>
      </c>
    </row>
    <row r="390" spans="1:9" x14ac:dyDescent="0.2">
      <c r="A390" s="5">
        <v>1224</v>
      </c>
      <c r="B390" s="6">
        <v>0.38402900000000001</v>
      </c>
      <c r="C390" s="6">
        <f t="shared" si="42"/>
        <v>0.34102900000000003</v>
      </c>
      <c r="D390" s="6">
        <f t="shared" si="43"/>
        <v>417.41949600000004</v>
      </c>
      <c r="E390" s="6">
        <f t="shared" si="47"/>
        <v>-81.48688700000001</v>
      </c>
      <c r="F390" s="6">
        <f t="shared" si="48"/>
        <v>-1.6955000000000026E-3</v>
      </c>
      <c r="G390" s="6">
        <f t="shared" si="44"/>
        <v>315.91911503875565</v>
      </c>
      <c r="H390" s="7">
        <f t="shared" si="45"/>
        <v>1.7138336526369479E-13</v>
      </c>
      <c r="I390" s="8" t="str">
        <f t="shared" si="46"/>
        <v/>
      </c>
    </row>
    <row r="391" spans="1:9" x14ac:dyDescent="0.2">
      <c r="A391" s="5">
        <v>1222</v>
      </c>
      <c r="B391" s="6">
        <v>0.38607200000000003</v>
      </c>
      <c r="C391" s="6">
        <f t="shared" si="42"/>
        <v>0.34307200000000004</v>
      </c>
      <c r="D391" s="6">
        <f t="shared" si="43"/>
        <v>419.23398400000008</v>
      </c>
      <c r="E391" s="6">
        <f t="shared" si="47"/>
        <v>-82.170988000000008</v>
      </c>
      <c r="F391" s="6">
        <f t="shared" si="48"/>
        <v>-1.8369999999999914E-3</v>
      </c>
      <c r="G391" s="6">
        <f t="shared" si="44"/>
        <v>317.32148351661584</v>
      </c>
      <c r="H391" s="7">
        <f t="shared" si="45"/>
        <v>1.5888426013546722E-13</v>
      </c>
      <c r="I391" s="8" t="str">
        <f t="shared" si="46"/>
        <v/>
      </c>
    </row>
    <row r="392" spans="1:9" x14ac:dyDescent="0.2">
      <c r="A392" s="5">
        <v>1220</v>
      </c>
      <c r="B392" s="6">
        <v>0.39137699999999997</v>
      </c>
      <c r="C392" s="6">
        <f t="shared" si="42"/>
        <v>0.34837699999999999</v>
      </c>
      <c r="D392" s="6">
        <f t="shared" si="43"/>
        <v>425.01993999999996</v>
      </c>
      <c r="E392" s="6">
        <f t="shared" si="47"/>
        <v>-82.862437000000014</v>
      </c>
      <c r="F392" s="6">
        <f t="shared" si="48"/>
        <v>-2.6414999999999911E-3</v>
      </c>
      <c r="G392" s="6">
        <f t="shared" si="44"/>
        <v>320.95236386172019</v>
      </c>
      <c r="H392" s="7">
        <f t="shared" si="45"/>
        <v>1.1175848862468229E-13</v>
      </c>
      <c r="I392" s="8" t="str">
        <f t="shared" si="46"/>
        <v/>
      </c>
    </row>
    <row r="393" spans="1:9" x14ac:dyDescent="0.2">
      <c r="A393" s="5">
        <v>1218</v>
      </c>
      <c r="B393" s="6">
        <v>0.39663799999999999</v>
      </c>
      <c r="C393" s="6">
        <f t="shared" si="42"/>
        <v>0.35363800000000001</v>
      </c>
      <c r="D393" s="6">
        <f t="shared" si="43"/>
        <v>430.73108400000001</v>
      </c>
      <c r="E393" s="6">
        <f t="shared" si="47"/>
        <v>-83.564452000000017</v>
      </c>
      <c r="F393" s="6">
        <f t="shared" si="48"/>
        <v>-2.9672500000000046E-3</v>
      </c>
      <c r="G393" s="6">
        <f t="shared" si="44"/>
        <v>324.54260745938166</v>
      </c>
      <c r="H393" s="7">
        <f t="shared" si="45"/>
        <v>1.0060235305425569E-13</v>
      </c>
      <c r="I393" s="8" t="str">
        <f t="shared" si="46"/>
        <v/>
      </c>
    </row>
    <row r="394" spans="1:9" x14ac:dyDescent="0.2">
      <c r="A394" s="5">
        <v>1216</v>
      </c>
      <c r="B394" s="6">
        <v>0.40324599999999999</v>
      </c>
      <c r="C394" s="6">
        <f t="shared" si="42"/>
        <v>0.36024600000000001</v>
      </c>
      <c r="D394" s="6">
        <f t="shared" si="43"/>
        <v>438.05913600000002</v>
      </c>
      <c r="E394" s="6">
        <f t="shared" si="47"/>
        <v>-84.27833600000001</v>
      </c>
      <c r="F394" s="6">
        <f t="shared" si="48"/>
        <v>-3.3694999999999975E-3</v>
      </c>
      <c r="G394" s="6">
        <f t="shared" si="44"/>
        <v>329.03886298444286</v>
      </c>
      <c r="H394" s="7">
        <f t="shared" si="45"/>
        <v>8.9819842944789404E-14</v>
      </c>
      <c r="I394" s="8" t="str">
        <f t="shared" si="46"/>
        <v/>
      </c>
    </row>
    <row r="395" spans="1:9" x14ac:dyDescent="0.2">
      <c r="A395" s="5">
        <v>1214</v>
      </c>
      <c r="B395" s="6">
        <v>0.41011599999999998</v>
      </c>
      <c r="C395" s="6">
        <f t="shared" si="42"/>
        <v>0.367116</v>
      </c>
      <c r="D395" s="6">
        <f t="shared" si="43"/>
        <v>445.67882400000002</v>
      </c>
      <c r="E395" s="6">
        <f t="shared" si="47"/>
        <v>-85.00569800000001</v>
      </c>
      <c r="F395" s="6">
        <f t="shared" si="48"/>
        <v>-3.1160000000000077E-3</v>
      </c>
      <c r="G395" s="6">
        <f t="shared" si="44"/>
        <v>333.699650142005</v>
      </c>
      <c r="H395" s="7">
        <f t="shared" si="45"/>
        <v>9.8502864155169885E-14</v>
      </c>
      <c r="I395" s="8" t="str">
        <f t="shared" si="46"/>
        <v/>
      </c>
    </row>
    <row r="396" spans="1:9" x14ac:dyDescent="0.2">
      <c r="A396" s="5">
        <v>1212</v>
      </c>
      <c r="B396" s="6">
        <v>0.41571000000000002</v>
      </c>
      <c r="C396" s="6">
        <f t="shared" si="42"/>
        <v>0.37271000000000004</v>
      </c>
      <c r="D396" s="6">
        <f t="shared" si="43"/>
        <v>451.72452000000004</v>
      </c>
      <c r="E396" s="6">
        <f t="shared" si="47"/>
        <v>-85.745524000000003</v>
      </c>
      <c r="F396" s="6">
        <f t="shared" si="48"/>
        <v>-3.0397500000000077E-3</v>
      </c>
      <c r="G396" s="6">
        <f t="shared" si="44"/>
        <v>337.48357762372297</v>
      </c>
      <c r="H396" s="7">
        <f t="shared" si="45"/>
        <v>1.0211871317494815E-13</v>
      </c>
      <c r="I396" s="8" t="str">
        <f t="shared" si="46"/>
        <v/>
      </c>
    </row>
    <row r="397" spans="1:9" x14ac:dyDescent="0.2">
      <c r="A397" s="5">
        <v>1210</v>
      </c>
      <c r="B397" s="6">
        <v>0.42227500000000001</v>
      </c>
      <c r="C397" s="6">
        <f t="shared" si="42"/>
        <v>0.37927500000000003</v>
      </c>
      <c r="D397" s="6">
        <f t="shared" si="43"/>
        <v>458.92275000000001</v>
      </c>
      <c r="E397" s="6">
        <f t="shared" si="47"/>
        <v>-86.497509000000008</v>
      </c>
      <c r="F397" s="6">
        <f t="shared" si="48"/>
        <v>-3.3549999999999969E-3</v>
      </c>
      <c r="G397" s="6">
        <f t="shared" si="44"/>
        <v>341.91118482741956</v>
      </c>
      <c r="H397" s="7">
        <f t="shared" si="45"/>
        <v>9.3737062522801547E-14</v>
      </c>
      <c r="I397" s="8" t="str">
        <f t="shared" si="46"/>
        <v/>
      </c>
    </row>
    <row r="398" spans="1:9" x14ac:dyDescent="0.2">
      <c r="A398" s="5">
        <v>1208</v>
      </c>
      <c r="B398" s="6">
        <v>0.42913000000000001</v>
      </c>
      <c r="C398" s="6">
        <f t="shared" si="42"/>
        <v>0.38613000000000003</v>
      </c>
      <c r="D398" s="6">
        <f t="shared" si="43"/>
        <v>466.44504000000006</v>
      </c>
      <c r="E398" s="6">
        <f t="shared" si="47"/>
        <v>-87.262914000000009</v>
      </c>
      <c r="F398" s="6">
        <f t="shared" si="48"/>
        <v>-3.3335000000000031E-3</v>
      </c>
      <c r="G398" s="6">
        <f t="shared" si="44"/>
        <v>346.52066559380796</v>
      </c>
      <c r="H398" s="7">
        <f t="shared" si="45"/>
        <v>9.5613504532777681E-14</v>
      </c>
      <c r="I398" s="8" t="str">
        <f t="shared" si="46"/>
        <v/>
      </c>
    </row>
    <row r="399" spans="1:9" x14ac:dyDescent="0.2">
      <c r="A399" s="5">
        <v>1206</v>
      </c>
      <c r="B399" s="6">
        <v>0.43560900000000002</v>
      </c>
      <c r="C399" s="6">
        <f t="shared" si="42"/>
        <v>0.39260900000000004</v>
      </c>
      <c r="D399" s="6">
        <f t="shared" si="43"/>
        <v>473.48645400000004</v>
      </c>
      <c r="E399" s="6">
        <f t="shared" si="47"/>
        <v>-88.041653000000011</v>
      </c>
      <c r="F399" s="6">
        <f t="shared" si="48"/>
        <v>-3.3552500000000041E-3</v>
      </c>
      <c r="G399" s="6">
        <f t="shared" si="44"/>
        <v>350.86435615477518</v>
      </c>
      <c r="H399" s="7">
        <f t="shared" si="45"/>
        <v>9.6184462477854555E-14</v>
      </c>
      <c r="I399" s="8" t="str">
        <f t="shared" si="46"/>
        <v/>
      </c>
    </row>
    <row r="400" spans="1:9" x14ac:dyDescent="0.2">
      <c r="A400" s="5">
        <v>1204</v>
      </c>
      <c r="B400" s="6">
        <v>0.44255100000000003</v>
      </c>
      <c r="C400" s="6">
        <f t="shared" si="42"/>
        <v>0.39955100000000005</v>
      </c>
      <c r="D400" s="6">
        <f t="shared" si="43"/>
        <v>481.05940400000003</v>
      </c>
      <c r="E400" s="6">
        <f t="shared" si="47"/>
        <v>-88.833813000000006</v>
      </c>
      <c r="F400" s="6">
        <f t="shared" si="48"/>
        <v>-3.4382499999999899E-3</v>
      </c>
      <c r="G400" s="6">
        <f t="shared" si="44"/>
        <v>355.50456998997117</v>
      </c>
      <c r="H400" s="7">
        <f t="shared" si="45"/>
        <v>9.5103892508133279E-14</v>
      </c>
      <c r="I400" s="8" t="str">
        <f t="shared" si="46"/>
        <v/>
      </c>
    </row>
    <row r="401" spans="1:9" x14ac:dyDescent="0.2">
      <c r="A401" s="5">
        <v>1202</v>
      </c>
      <c r="B401" s="6">
        <v>0.44936199999999998</v>
      </c>
      <c r="C401" s="6">
        <f t="shared" si="42"/>
        <v>0.406362</v>
      </c>
      <c r="D401" s="6">
        <f t="shared" si="43"/>
        <v>488.44712399999997</v>
      </c>
      <c r="E401" s="6">
        <f t="shared" si="47"/>
        <v>-89.63972600000001</v>
      </c>
      <c r="F401" s="6">
        <f t="shared" si="48"/>
        <v>-3.3369999999999927E-3</v>
      </c>
      <c r="G401" s="6">
        <f t="shared" si="44"/>
        <v>360.0435980089166</v>
      </c>
      <c r="H401" s="7">
        <f t="shared" si="45"/>
        <v>9.9240614024605321E-14</v>
      </c>
      <c r="I401" s="8" t="str">
        <f t="shared" si="46"/>
        <v/>
      </c>
    </row>
    <row r="402" spans="1:9" x14ac:dyDescent="0.2">
      <c r="A402" s="5">
        <v>1200</v>
      </c>
      <c r="B402" s="6">
        <v>0.455899</v>
      </c>
      <c r="C402" s="6">
        <f t="shared" si="42"/>
        <v>0.41289900000000002</v>
      </c>
      <c r="D402" s="6">
        <f t="shared" si="43"/>
        <v>495.47880000000004</v>
      </c>
      <c r="E402" s="6">
        <f t="shared" si="47"/>
        <v>-90.458987000000008</v>
      </c>
      <c r="F402" s="6">
        <f t="shared" si="48"/>
        <v>-3.1885000000000108E-3</v>
      </c>
      <c r="G402" s="6">
        <f t="shared" si="44"/>
        <v>364.38695128242227</v>
      </c>
      <c r="H402" s="7">
        <f t="shared" si="45"/>
        <v>1.0511554622359773E-13</v>
      </c>
      <c r="I402" s="8" t="str">
        <f t="shared" si="46"/>
        <v/>
      </c>
    </row>
    <row r="403" spans="1:9" x14ac:dyDescent="0.2">
      <c r="A403" s="5">
        <v>1198</v>
      </c>
      <c r="B403" s="6">
        <v>0.46211600000000003</v>
      </c>
      <c r="C403" s="6">
        <f t="shared" si="42"/>
        <v>0.41911600000000004</v>
      </c>
      <c r="D403" s="6">
        <f t="shared" si="43"/>
        <v>502.10096800000008</v>
      </c>
      <c r="E403" s="6">
        <f t="shared" si="47"/>
        <v>-91.291002000000006</v>
      </c>
      <c r="F403" s="6">
        <f t="shared" si="48"/>
        <v>-3.3439999999999998E-3</v>
      </c>
      <c r="G403" s="6">
        <f t="shared" si="44"/>
        <v>368.50525421088855</v>
      </c>
      <c r="H403" s="7">
        <f t="shared" si="45"/>
        <v>1.0136031977222793E-13</v>
      </c>
      <c r="I403" s="8" t="str">
        <f t="shared" si="46"/>
        <v/>
      </c>
    </row>
    <row r="404" spans="1:9" x14ac:dyDescent="0.2">
      <c r="A404" s="5">
        <v>1196</v>
      </c>
      <c r="B404" s="6">
        <v>0.469275</v>
      </c>
      <c r="C404" s="6">
        <f t="shared" si="42"/>
        <v>0.42627500000000002</v>
      </c>
      <c r="D404" s="6">
        <f t="shared" si="43"/>
        <v>509.82490000000001</v>
      </c>
      <c r="E404" s="6">
        <f t="shared" si="47"/>
        <v>-92.136393000000012</v>
      </c>
      <c r="F404" s="6">
        <f t="shared" si="48"/>
        <v>-3.702999999999998E-3</v>
      </c>
      <c r="G404" s="6">
        <f t="shared" si="44"/>
        <v>373.23324450506425</v>
      </c>
      <c r="H404" s="7">
        <f t="shared" si="45"/>
        <v>9.2707989809056545E-14</v>
      </c>
      <c r="I404" s="8" t="str">
        <f t="shared" si="46"/>
        <v/>
      </c>
    </row>
    <row r="405" spans="1:9" x14ac:dyDescent="0.2">
      <c r="A405" s="5">
        <v>1194</v>
      </c>
      <c r="B405" s="6">
        <v>0.47692800000000002</v>
      </c>
      <c r="C405" s="6">
        <f t="shared" si="42"/>
        <v>0.43392800000000004</v>
      </c>
      <c r="D405" s="6">
        <f t="shared" si="43"/>
        <v>518.11003200000005</v>
      </c>
      <c r="E405" s="6">
        <f t="shared" si="47"/>
        <v>-92.996596000000011</v>
      </c>
      <c r="F405" s="6">
        <f t="shared" si="48"/>
        <v>-3.6632500000000068E-3</v>
      </c>
      <c r="G405" s="6">
        <f t="shared" si="44"/>
        <v>378.27217928189441</v>
      </c>
      <c r="H405" s="7">
        <f t="shared" si="45"/>
        <v>9.4979176432538126E-14</v>
      </c>
      <c r="I405" s="8" t="str">
        <f t="shared" si="46"/>
        <v/>
      </c>
    </row>
    <row r="406" spans="1:9" x14ac:dyDescent="0.2">
      <c r="A406" s="5">
        <v>1192</v>
      </c>
      <c r="B406" s="6">
        <v>0.48392800000000002</v>
      </c>
      <c r="C406" s="6">
        <f t="shared" si="42"/>
        <v>0.44092800000000004</v>
      </c>
      <c r="D406" s="6">
        <f t="shared" si="43"/>
        <v>525.58617600000002</v>
      </c>
      <c r="E406" s="6">
        <f t="shared" si="47"/>
        <v>-93.871452000000005</v>
      </c>
      <c r="F406" s="6">
        <f t="shared" si="48"/>
        <v>-3.648499999999999E-3</v>
      </c>
      <c r="G406" s="6">
        <f t="shared" si="44"/>
        <v>382.86716182962869</v>
      </c>
      <c r="H406" s="7">
        <f t="shared" si="45"/>
        <v>9.6521558253658728E-14</v>
      </c>
      <c r="I406" s="8" t="str">
        <f t="shared" si="46"/>
        <v/>
      </c>
    </row>
    <row r="407" spans="1:9" x14ac:dyDescent="0.2">
      <c r="A407" s="5">
        <v>1190</v>
      </c>
      <c r="B407" s="6">
        <v>0.49152200000000001</v>
      </c>
      <c r="C407" s="6">
        <f t="shared" si="42"/>
        <v>0.44852200000000003</v>
      </c>
      <c r="D407" s="6">
        <f t="shared" si="43"/>
        <v>533.74117999999999</v>
      </c>
      <c r="E407" s="6">
        <f t="shared" si="47"/>
        <v>-94.760902000000002</v>
      </c>
      <c r="F407" s="6">
        <f t="shared" si="48"/>
        <v>-3.4129999999999994E-3</v>
      </c>
      <c r="G407" s="6">
        <f t="shared" si="44"/>
        <v>387.83687346784222</v>
      </c>
      <c r="H407" s="7">
        <f t="shared" si="45"/>
        <v>1.0452095401899091E-13</v>
      </c>
      <c r="I407" s="8" t="str">
        <f t="shared" si="46"/>
        <v/>
      </c>
    </row>
    <row r="408" spans="1:9" x14ac:dyDescent="0.2">
      <c r="A408" s="5">
        <v>1188</v>
      </c>
      <c r="B408" s="6">
        <v>0.49758000000000002</v>
      </c>
      <c r="C408" s="6">
        <f t="shared" si="42"/>
        <v>0.45458000000000004</v>
      </c>
      <c r="D408" s="6">
        <f t="shared" si="43"/>
        <v>540.04104000000007</v>
      </c>
      <c r="E408" s="6">
        <f t="shared" si="47"/>
        <v>-95.664004000000006</v>
      </c>
      <c r="F408" s="6">
        <f t="shared" si="48"/>
        <v>-3.3080000000000054E-3</v>
      </c>
      <c r="G408" s="6">
        <f t="shared" si="44"/>
        <v>391.78927064986715</v>
      </c>
      <c r="H408" s="7">
        <f t="shared" si="45"/>
        <v>1.0893754750504123E-13</v>
      </c>
      <c r="I408" s="8" t="str">
        <f t="shared" si="46"/>
        <v/>
      </c>
    </row>
    <row r="409" spans="1:9" x14ac:dyDescent="0.2">
      <c r="A409" s="5">
        <v>1186</v>
      </c>
      <c r="B409" s="6">
        <v>0.50475400000000004</v>
      </c>
      <c r="C409" s="6">
        <f t="shared" si="42"/>
        <v>0.46175400000000005</v>
      </c>
      <c r="D409" s="6">
        <f t="shared" si="43"/>
        <v>547.64024400000005</v>
      </c>
      <c r="E409" s="6">
        <f t="shared" si="47"/>
        <v>-96.580338000000012</v>
      </c>
      <c r="F409" s="6">
        <f t="shared" si="48"/>
        <v>-3.6775000000000002E-3</v>
      </c>
      <c r="G409" s="6">
        <f t="shared" si="44"/>
        <v>396.45542733521665</v>
      </c>
      <c r="H409" s="7">
        <f t="shared" si="45"/>
        <v>9.9159023769130998E-14</v>
      </c>
      <c r="I409" s="8">
        <f t="shared" si="46"/>
        <v>9.9159023769130998E-14</v>
      </c>
    </row>
    <row r="410" spans="1:9" x14ac:dyDescent="0.2">
      <c r="A410" s="5">
        <v>1184</v>
      </c>
      <c r="B410" s="6">
        <v>0.51229000000000002</v>
      </c>
      <c r="C410" s="6">
        <f t="shared" si="42"/>
        <v>0.46929000000000004</v>
      </c>
      <c r="D410" s="6">
        <f t="shared" si="43"/>
        <v>555.63936000000001</v>
      </c>
      <c r="E410" s="6">
        <f t="shared" si="47"/>
        <v>-97.511382000000012</v>
      </c>
      <c r="F410" s="6">
        <f t="shared" si="48"/>
        <v>-3.7790000000000046E-3</v>
      </c>
      <c r="G410" s="6">
        <f t="shared" si="44"/>
        <v>401.34196626089175</v>
      </c>
      <c r="H410" s="7">
        <f t="shared" si="45"/>
        <v>9.7685080426086166E-14</v>
      </c>
      <c r="I410" s="8">
        <f t="shared" si="46"/>
        <v>9.7685080426086166E-14</v>
      </c>
    </row>
    <row r="411" spans="1:9" x14ac:dyDescent="0.2">
      <c r="A411" s="5">
        <v>1182</v>
      </c>
      <c r="B411" s="6">
        <v>0.51987000000000005</v>
      </c>
      <c r="C411" s="6">
        <f t="shared" si="42"/>
        <v>0.47687000000000007</v>
      </c>
      <c r="D411" s="6">
        <f t="shared" si="43"/>
        <v>563.66034000000013</v>
      </c>
      <c r="E411" s="6">
        <f t="shared" si="47"/>
        <v>-98.457542000000018</v>
      </c>
      <c r="F411" s="6">
        <f t="shared" si="48"/>
        <v>-3.9454999999999907E-3</v>
      </c>
      <c r="G411" s="6">
        <f t="shared" si="44"/>
        <v>406.24187593400984</v>
      </c>
      <c r="H411" s="7">
        <f t="shared" si="45"/>
        <v>9.4705063054670566E-14</v>
      </c>
      <c r="I411" s="8">
        <f t="shared" si="46"/>
        <v>9.4705063054670566E-14</v>
      </c>
    </row>
    <row r="412" spans="1:9" x14ac:dyDescent="0.2">
      <c r="A412" s="5">
        <v>1180</v>
      </c>
      <c r="B412" s="6">
        <v>0.52807199999999999</v>
      </c>
      <c r="C412" s="6">
        <f t="shared" si="42"/>
        <v>0.485072</v>
      </c>
      <c r="D412" s="6">
        <f t="shared" si="43"/>
        <v>572.38495999999998</v>
      </c>
      <c r="E412" s="6">
        <f t="shared" si="47"/>
        <v>-99.419484000000011</v>
      </c>
      <c r="F412" s="6">
        <f t="shared" si="48"/>
        <v>-4.0687499999999821E-3</v>
      </c>
      <c r="G412" s="6">
        <f t="shared" si="44"/>
        <v>411.5274586277979</v>
      </c>
      <c r="H412" s="7">
        <f t="shared" si="45"/>
        <v>9.3031145524189222E-14</v>
      </c>
      <c r="I412" s="8">
        <f t="shared" si="46"/>
        <v>9.3031145524189222E-14</v>
      </c>
    </row>
    <row r="413" spans="1:9" x14ac:dyDescent="0.2">
      <c r="A413" s="5">
        <v>1178</v>
      </c>
      <c r="B413" s="6">
        <v>0.53614499999999998</v>
      </c>
      <c r="C413" s="6">
        <f t="shared" si="42"/>
        <v>0.493145</v>
      </c>
      <c r="D413" s="6">
        <f t="shared" si="43"/>
        <v>580.92480999999998</v>
      </c>
      <c r="E413" s="6">
        <f t="shared" si="47"/>
        <v>-100.39770100000001</v>
      </c>
      <c r="F413" s="6">
        <f t="shared" si="48"/>
        <v>-4.2212500000000097E-3</v>
      </c>
      <c r="G413" s="6">
        <f t="shared" si="44"/>
        <v>416.7137643574921</v>
      </c>
      <c r="H413" s="7">
        <f t="shared" si="45"/>
        <v>9.0800309403217647E-14</v>
      </c>
      <c r="I413" s="8">
        <f t="shared" si="46"/>
        <v>9.0800309403217647E-14</v>
      </c>
    </row>
    <row r="414" spans="1:9" x14ac:dyDescent="0.2">
      <c r="A414" s="5">
        <v>1176</v>
      </c>
      <c r="B414" s="6">
        <v>0.54495700000000002</v>
      </c>
      <c r="C414" s="6">
        <f t="shared" si="42"/>
        <v>0.50195699999999999</v>
      </c>
      <c r="D414" s="6">
        <f t="shared" si="43"/>
        <v>590.30143199999998</v>
      </c>
      <c r="E414" s="6">
        <f t="shared" si="47"/>
        <v>-101.39280300000001</v>
      </c>
      <c r="F414" s="6">
        <f t="shared" si="48"/>
        <v>-4.3370000000000075E-3</v>
      </c>
      <c r="G414" s="6">
        <f t="shared" si="44"/>
        <v>422.35719895901133</v>
      </c>
      <c r="H414" s="7">
        <f t="shared" si="45"/>
        <v>8.9573807508227178E-14</v>
      </c>
      <c r="I414" s="8">
        <f t="shared" si="46"/>
        <v>8.9573807508227178E-14</v>
      </c>
    </row>
    <row r="415" spans="1:9" x14ac:dyDescent="0.2">
      <c r="A415" s="5">
        <v>1174</v>
      </c>
      <c r="B415" s="6">
        <v>0.55349300000000001</v>
      </c>
      <c r="C415" s="6">
        <f t="shared" si="42"/>
        <v>0.51049299999999997</v>
      </c>
      <c r="D415" s="6">
        <f t="shared" si="43"/>
        <v>599.31878199999994</v>
      </c>
      <c r="E415" s="6">
        <f t="shared" si="47"/>
        <v>-102.40525300000002</v>
      </c>
      <c r="F415" s="6">
        <f t="shared" si="48"/>
        <v>-4.2317500000000063E-3</v>
      </c>
      <c r="G415" s="6">
        <f t="shared" si="44"/>
        <v>427.80680396293417</v>
      </c>
      <c r="H415" s="7">
        <f t="shared" si="45"/>
        <v>9.2986144494286994E-14</v>
      </c>
      <c r="I415" s="8">
        <f t="shared" si="46"/>
        <v>9.2986144494286994E-14</v>
      </c>
    </row>
    <row r="416" spans="1:9" x14ac:dyDescent="0.2">
      <c r="A416" s="5">
        <v>1172</v>
      </c>
      <c r="B416" s="6">
        <v>0.56188400000000005</v>
      </c>
      <c r="C416" s="6">
        <f t="shared" si="42"/>
        <v>0.51888400000000001</v>
      </c>
      <c r="D416" s="6">
        <f t="shared" si="43"/>
        <v>608.13204800000005</v>
      </c>
      <c r="E416" s="6">
        <f t="shared" si="47"/>
        <v>-103.43463000000001</v>
      </c>
      <c r="F416" s="6">
        <f t="shared" si="48"/>
        <v>-4.0362499999999912E-3</v>
      </c>
      <c r="G416" s="6">
        <f t="shared" si="44"/>
        <v>433.14705518551119</v>
      </c>
      <c r="H416" s="7">
        <f t="shared" si="45"/>
        <v>9.8706979948209455E-14</v>
      </c>
      <c r="I416" s="8">
        <f t="shared" si="46"/>
        <v>9.8706979948209455E-14</v>
      </c>
    </row>
    <row r="417" spans="1:9" x14ac:dyDescent="0.2">
      <c r="A417" s="5">
        <v>1170</v>
      </c>
      <c r="B417" s="6">
        <v>0.56963799999999998</v>
      </c>
      <c r="C417" s="6">
        <f t="shared" si="42"/>
        <v>0.52663799999999994</v>
      </c>
      <c r="D417" s="6">
        <f t="shared" si="43"/>
        <v>616.16645999999992</v>
      </c>
      <c r="E417" s="6">
        <f t="shared" si="47"/>
        <v>-104.48015200000002</v>
      </c>
      <c r="F417" s="6">
        <f t="shared" si="48"/>
        <v>-4.0942499999999937E-3</v>
      </c>
      <c r="G417" s="6">
        <f t="shared" si="44"/>
        <v>438.0663949962443</v>
      </c>
      <c r="H417" s="7">
        <f t="shared" si="45"/>
        <v>9.841383083380881E-14</v>
      </c>
      <c r="I417" s="8">
        <f t="shared" si="46"/>
        <v>9.841383083380881E-14</v>
      </c>
    </row>
    <row r="418" spans="1:9" x14ac:dyDescent="0.2">
      <c r="A418" s="5">
        <v>1168</v>
      </c>
      <c r="B418" s="6">
        <v>0.57826100000000002</v>
      </c>
      <c r="C418" s="6">
        <f t="shared" si="42"/>
        <v>0.53526099999999999</v>
      </c>
      <c r="D418" s="6">
        <f t="shared" si="43"/>
        <v>625.18484799999999</v>
      </c>
      <c r="E418" s="6">
        <f t="shared" si="47"/>
        <v>-105.54205100000001</v>
      </c>
      <c r="F418" s="6">
        <f t="shared" si="48"/>
        <v>-4.500000000000004E-3</v>
      </c>
      <c r="G418" s="6">
        <f t="shared" si="44"/>
        <v>443.51980506897473</v>
      </c>
      <c r="H418" s="7">
        <f t="shared" si="45"/>
        <v>9.0654853460259659E-14</v>
      </c>
      <c r="I418" s="8">
        <f t="shared" si="46"/>
        <v>9.0654853460259659E-14</v>
      </c>
    </row>
    <row r="419" spans="1:9" x14ac:dyDescent="0.2">
      <c r="A419" s="5">
        <v>1166</v>
      </c>
      <c r="B419" s="6">
        <v>0.58763799999999999</v>
      </c>
      <c r="C419" s="6">
        <f t="shared" si="42"/>
        <v>0.54463799999999996</v>
      </c>
      <c r="D419" s="6">
        <f t="shared" si="43"/>
        <v>635.04790799999989</v>
      </c>
      <c r="E419" s="6">
        <f t="shared" si="47"/>
        <v>-106.62195000000001</v>
      </c>
      <c r="F419" s="6">
        <f t="shared" si="48"/>
        <v>-4.8839999999999995E-3</v>
      </c>
      <c r="G419" s="6">
        <f t="shared" si="44"/>
        <v>449.43131040470399</v>
      </c>
      <c r="H419" s="7">
        <f t="shared" si="45"/>
        <v>8.4640501128141983E-14</v>
      </c>
      <c r="I419" s="8">
        <f t="shared" si="46"/>
        <v>8.4640501128141983E-14</v>
      </c>
    </row>
    <row r="420" spans="1:9" x14ac:dyDescent="0.2">
      <c r="A420" s="5">
        <v>1164</v>
      </c>
      <c r="B420" s="6">
        <v>0.59779700000000002</v>
      </c>
      <c r="C420" s="6">
        <f t="shared" si="42"/>
        <v>0.55479699999999998</v>
      </c>
      <c r="D420" s="6">
        <f t="shared" si="43"/>
        <v>645.78370799999993</v>
      </c>
      <c r="E420" s="6">
        <f t="shared" si="47"/>
        <v>-107.72138500000001</v>
      </c>
      <c r="F420" s="6">
        <f t="shared" si="48"/>
        <v>-4.8549999999999982E-3</v>
      </c>
      <c r="G420" s="6">
        <f t="shared" si="44"/>
        <v>455.81549093362298</v>
      </c>
      <c r="H420" s="7">
        <f t="shared" si="45"/>
        <v>8.6355579451939806E-14</v>
      </c>
      <c r="I420" s="8">
        <f t="shared" si="46"/>
        <v>8.6355579451939806E-14</v>
      </c>
    </row>
    <row r="421" spans="1:9" x14ac:dyDescent="0.2">
      <c r="A421" s="5">
        <v>1162</v>
      </c>
      <c r="B421" s="6">
        <v>0.60705799999999999</v>
      </c>
      <c r="C421" s="6">
        <f t="shared" si="42"/>
        <v>0.56405799999999995</v>
      </c>
      <c r="D421" s="6">
        <f t="shared" si="43"/>
        <v>655.43539599999997</v>
      </c>
      <c r="E421" s="6">
        <f t="shared" si="47"/>
        <v>-108.84024000000001</v>
      </c>
      <c r="F421" s="6">
        <f t="shared" si="48"/>
        <v>-4.5362499999999917E-3</v>
      </c>
      <c r="G421" s="6">
        <f t="shared" si="44"/>
        <v>461.61682284427548</v>
      </c>
      <c r="H421" s="7">
        <f t="shared" si="45"/>
        <v>9.3599860749788738E-14</v>
      </c>
      <c r="I421" s="8">
        <f t="shared" si="46"/>
        <v>9.3599860749788738E-14</v>
      </c>
    </row>
    <row r="422" spans="1:9" x14ac:dyDescent="0.2">
      <c r="A422" s="5">
        <v>1160</v>
      </c>
      <c r="B422" s="6">
        <v>0.61594199999999999</v>
      </c>
      <c r="C422" s="6">
        <f t="shared" si="42"/>
        <v>0.57294199999999995</v>
      </c>
      <c r="D422" s="6">
        <f t="shared" si="43"/>
        <v>664.61271999999997</v>
      </c>
      <c r="E422" s="6">
        <f t="shared" si="47"/>
        <v>-109.97724000000001</v>
      </c>
      <c r="F422" s="6">
        <f t="shared" si="48"/>
        <v>-4.6484999999999999E-3</v>
      </c>
      <c r="G422" s="6">
        <f t="shared" si="44"/>
        <v>467.1642241234286</v>
      </c>
      <c r="H422" s="7">
        <f t="shared" si="45"/>
        <v>9.2437309788235982E-14</v>
      </c>
      <c r="I422" s="8">
        <f t="shared" si="46"/>
        <v>9.2437309788235982E-14</v>
      </c>
    </row>
    <row r="423" spans="1:9" x14ac:dyDescent="0.2">
      <c r="A423" s="5">
        <v>1158</v>
      </c>
      <c r="B423" s="6">
        <v>0.62565199999999999</v>
      </c>
      <c r="C423" s="6">
        <f t="shared" si="42"/>
        <v>0.58265199999999995</v>
      </c>
      <c r="D423" s="6">
        <f t="shared" si="43"/>
        <v>674.71101599999997</v>
      </c>
      <c r="E423" s="6">
        <f t="shared" si="47"/>
        <v>-111.132834</v>
      </c>
      <c r="F423" s="6">
        <f t="shared" si="48"/>
        <v>-4.6412500000000134E-3</v>
      </c>
      <c r="G423" s="6">
        <f t="shared" si="44"/>
        <v>473.20798134321433</v>
      </c>
      <c r="H423" s="7">
        <f t="shared" si="45"/>
        <v>9.3779444325183452E-14</v>
      </c>
      <c r="I423" s="8">
        <f t="shared" si="46"/>
        <v>9.3779444325183452E-14</v>
      </c>
    </row>
    <row r="424" spans="1:9" x14ac:dyDescent="0.2">
      <c r="A424" s="5">
        <v>1156</v>
      </c>
      <c r="B424" s="6">
        <v>0.63450700000000004</v>
      </c>
      <c r="C424" s="6">
        <f t="shared" si="42"/>
        <v>0.59150700000000001</v>
      </c>
      <c r="D424" s="6">
        <f t="shared" si="43"/>
        <v>683.78209200000003</v>
      </c>
      <c r="E424" s="6">
        <f t="shared" si="47"/>
        <v>-112.30699300000001</v>
      </c>
      <c r="F424" s="6">
        <f t="shared" si="48"/>
        <v>-4.511000000000015E-3</v>
      </c>
      <c r="G424" s="6">
        <f t="shared" si="44"/>
        <v>478.70185426609828</v>
      </c>
      <c r="H424" s="7">
        <f t="shared" si="45"/>
        <v>9.7607421223571199E-14</v>
      </c>
      <c r="I424" s="8">
        <f t="shared" si="46"/>
        <v>9.7607421223571199E-14</v>
      </c>
    </row>
    <row r="425" spans="1:9" x14ac:dyDescent="0.2">
      <c r="A425" s="5">
        <v>1154</v>
      </c>
      <c r="B425" s="6">
        <v>0.64369600000000005</v>
      </c>
      <c r="C425" s="6">
        <f t="shared" si="42"/>
        <v>0.60069600000000001</v>
      </c>
      <c r="D425" s="6">
        <f t="shared" si="43"/>
        <v>693.20318399999996</v>
      </c>
      <c r="E425" s="6">
        <f t="shared" si="47"/>
        <v>-113.49919600000001</v>
      </c>
      <c r="F425" s="6">
        <f t="shared" si="48"/>
        <v>-4.3697499999999778E-3</v>
      </c>
      <c r="G425" s="6">
        <f t="shared" si="44"/>
        <v>484.38457149911699</v>
      </c>
      <c r="H425" s="7">
        <f t="shared" si="45"/>
        <v>1.0195869469919553E-13</v>
      </c>
      <c r="I425" s="8">
        <f t="shared" si="46"/>
        <v>1.0195869469919553E-13</v>
      </c>
    </row>
    <row r="426" spans="1:9" x14ac:dyDescent="0.2">
      <c r="A426" s="5">
        <v>1152</v>
      </c>
      <c r="B426" s="6">
        <v>0.65198599999999995</v>
      </c>
      <c r="C426" s="6">
        <f t="shared" si="42"/>
        <v>0.60898599999999992</v>
      </c>
      <c r="D426" s="6">
        <f t="shared" si="43"/>
        <v>701.55187199999989</v>
      </c>
      <c r="E426" s="6">
        <f t="shared" si="47"/>
        <v>-114.70887800000001</v>
      </c>
      <c r="F426" s="6">
        <f t="shared" si="48"/>
        <v>-4.151999999999989E-3</v>
      </c>
      <c r="G426" s="6">
        <f t="shared" si="44"/>
        <v>489.4947436877909</v>
      </c>
      <c r="H426" s="7">
        <f t="shared" si="45"/>
        <v>1.0843793634560367E-13</v>
      </c>
      <c r="I426" s="8">
        <f t="shared" si="46"/>
        <v>1.0843793634560367E-13</v>
      </c>
    </row>
    <row r="427" spans="1:9" x14ac:dyDescent="0.2">
      <c r="A427" s="5">
        <v>1150</v>
      </c>
      <c r="B427" s="6">
        <v>0.660304</v>
      </c>
      <c r="C427" s="6">
        <f t="shared" si="42"/>
        <v>0.61730399999999996</v>
      </c>
      <c r="D427" s="6">
        <f t="shared" si="43"/>
        <v>709.89959999999996</v>
      </c>
      <c r="E427" s="6">
        <f t="shared" si="47"/>
        <v>-115.93516800000002</v>
      </c>
      <c r="F427" s="6">
        <f t="shared" si="48"/>
        <v>-3.9710000000000023E-3</v>
      </c>
      <c r="G427" s="6">
        <f t="shared" si="44"/>
        <v>494.60553980665577</v>
      </c>
      <c r="H427" s="7">
        <f t="shared" si="45"/>
        <v>1.1456438960949578E-13</v>
      </c>
      <c r="I427" s="8">
        <f t="shared" si="46"/>
        <v>1.1456438960949578E-13</v>
      </c>
    </row>
    <row r="428" spans="1:9" x14ac:dyDescent="0.2">
      <c r="A428" s="5">
        <v>1148</v>
      </c>
      <c r="B428" s="6">
        <v>0.66786999999999996</v>
      </c>
      <c r="C428" s="6">
        <f t="shared" si="42"/>
        <v>0.62486999999999993</v>
      </c>
      <c r="D428" s="6">
        <f t="shared" si="43"/>
        <v>717.35075999999992</v>
      </c>
      <c r="E428" s="6">
        <f t="shared" si="47"/>
        <v>-117.17734200000002</v>
      </c>
      <c r="F428" s="6">
        <f t="shared" si="48"/>
        <v>-3.8262500000000033E-3</v>
      </c>
      <c r="G428" s="6">
        <f t="shared" si="44"/>
        <v>499.23915551467832</v>
      </c>
      <c r="H428" s="7">
        <f t="shared" si="45"/>
        <v>1.2001232614413903E-13</v>
      </c>
      <c r="I428" s="8">
        <f t="shared" si="46"/>
        <v>1.2001232614413903E-13</v>
      </c>
    </row>
    <row r="429" spans="1:9" x14ac:dyDescent="0.2">
      <c r="A429" s="5">
        <v>1146</v>
      </c>
      <c r="B429" s="6">
        <v>0.67560900000000002</v>
      </c>
      <c r="C429" s="6">
        <f t="shared" si="42"/>
        <v>0.63260899999999998</v>
      </c>
      <c r="D429" s="6">
        <f t="shared" si="43"/>
        <v>724.96991400000002</v>
      </c>
      <c r="E429" s="6">
        <f t="shared" si="47"/>
        <v>-118.43482100000003</v>
      </c>
      <c r="F429" s="6">
        <f t="shared" si="48"/>
        <v>-4.2355000000000032E-3</v>
      </c>
      <c r="G429" s="6">
        <f t="shared" si="44"/>
        <v>503.96324293423777</v>
      </c>
      <c r="H429" s="7">
        <f t="shared" si="45"/>
        <v>1.0944217920271408E-13</v>
      </c>
      <c r="I429" s="8">
        <f t="shared" si="46"/>
        <v>1.0944217920271408E-13</v>
      </c>
    </row>
    <row r="430" spans="1:9" x14ac:dyDescent="0.2">
      <c r="A430" s="5">
        <v>1144</v>
      </c>
      <c r="B430" s="6">
        <v>0.68481199999999998</v>
      </c>
      <c r="C430" s="6">
        <f t="shared" si="42"/>
        <v>0.64181199999999994</v>
      </c>
      <c r="D430" s="6">
        <f t="shared" si="43"/>
        <v>734.2329279999999</v>
      </c>
      <c r="E430" s="6">
        <f t="shared" si="47"/>
        <v>-119.70924200000003</v>
      </c>
      <c r="F430" s="6">
        <f t="shared" si="48"/>
        <v>-4.644750000000003E-3</v>
      </c>
      <c r="G430" s="6">
        <f t="shared" si="44"/>
        <v>509.56258813235189</v>
      </c>
      <c r="H430" s="7">
        <f t="shared" si="45"/>
        <v>1.0090803465002869E-13</v>
      </c>
      <c r="I430" s="8">
        <f t="shared" si="46"/>
        <v>1.0090803465002869E-13</v>
      </c>
    </row>
    <row r="431" spans="1:9" x14ac:dyDescent="0.2">
      <c r="A431" s="5">
        <v>1142</v>
      </c>
      <c r="B431" s="6">
        <v>0.69418800000000003</v>
      </c>
      <c r="C431" s="6">
        <f t="shared" si="42"/>
        <v>0.65118799999999999</v>
      </c>
      <c r="D431" s="6">
        <f t="shared" si="43"/>
        <v>743.65669600000001</v>
      </c>
      <c r="E431" s="6">
        <f t="shared" si="47"/>
        <v>-121.00224200000004</v>
      </c>
      <c r="F431" s="6">
        <f t="shared" si="48"/>
        <v>-4.1882500000000045E-3</v>
      </c>
      <c r="G431" s="6">
        <f t="shared" si="44"/>
        <v>515.24843904200293</v>
      </c>
      <c r="H431" s="7">
        <f t="shared" si="45"/>
        <v>1.1315523316417479E-13</v>
      </c>
      <c r="I431" s="8">
        <f t="shared" si="46"/>
        <v>1.1315523316417479E-13</v>
      </c>
    </row>
    <row r="432" spans="1:9" x14ac:dyDescent="0.2">
      <c r="A432" s="5">
        <v>1140</v>
      </c>
      <c r="B432" s="6">
        <v>0.70156499999999999</v>
      </c>
      <c r="C432" s="6">
        <f t="shared" si="42"/>
        <v>0.65856499999999996</v>
      </c>
      <c r="D432" s="6">
        <f t="shared" si="43"/>
        <v>750.76409999999998</v>
      </c>
      <c r="E432" s="6">
        <f t="shared" si="47"/>
        <v>-122.31199500000004</v>
      </c>
      <c r="F432" s="6">
        <f t="shared" si="48"/>
        <v>-3.8442499999999935E-3</v>
      </c>
      <c r="G432" s="6">
        <f t="shared" si="44"/>
        <v>519.70729022123669</v>
      </c>
      <c r="H432" s="7">
        <f t="shared" si="45"/>
        <v>1.243476958341636E-13</v>
      </c>
      <c r="I432" s="8">
        <f t="shared" si="46"/>
        <v>1.243476958341636E-13</v>
      </c>
    </row>
    <row r="433" spans="1:9" x14ac:dyDescent="0.2">
      <c r="A433" s="5">
        <v>1138</v>
      </c>
      <c r="B433" s="6">
        <v>0.709565</v>
      </c>
      <c r="C433" s="6">
        <f t="shared" si="42"/>
        <v>0.66656499999999996</v>
      </c>
      <c r="D433" s="6">
        <f t="shared" si="43"/>
        <v>758.55097000000001</v>
      </c>
      <c r="E433" s="6">
        <f t="shared" si="47"/>
        <v>-123.63712500000004</v>
      </c>
      <c r="F433" s="6">
        <f t="shared" si="48"/>
        <v>-3.5580000000000056E-3</v>
      </c>
      <c r="G433" s="6">
        <f t="shared" si="44"/>
        <v>524.52669884721877</v>
      </c>
      <c r="H433" s="7">
        <f t="shared" si="45"/>
        <v>1.3559766517287215E-13</v>
      </c>
      <c r="I433" s="8">
        <f t="shared" si="46"/>
        <v>1.3559766517287215E-13</v>
      </c>
    </row>
    <row r="434" spans="1:9" x14ac:dyDescent="0.2">
      <c r="A434" s="5">
        <v>1136</v>
      </c>
      <c r="B434" s="6">
        <v>0.71579700000000002</v>
      </c>
      <c r="C434" s="6">
        <f t="shared" si="42"/>
        <v>0.67279699999999998</v>
      </c>
      <c r="D434" s="6">
        <f t="shared" si="43"/>
        <v>764.29739199999995</v>
      </c>
      <c r="E434" s="6">
        <f t="shared" si="47"/>
        <v>-124.97648700000003</v>
      </c>
      <c r="F434" s="6">
        <f t="shared" si="48"/>
        <v>-3.797250000000002E-3</v>
      </c>
      <c r="G434" s="6">
        <f t="shared" si="44"/>
        <v>528.26855416685885</v>
      </c>
      <c r="H434" s="7">
        <f t="shared" si="45"/>
        <v>1.2796055793805958E-13</v>
      </c>
      <c r="I434" s="8">
        <f t="shared" si="46"/>
        <v>1.2796055793805958E-13</v>
      </c>
    </row>
    <row r="435" spans="1:9" x14ac:dyDescent="0.2">
      <c r="A435" s="5">
        <v>1134</v>
      </c>
      <c r="B435" s="6">
        <v>0.72475400000000001</v>
      </c>
      <c r="C435" s="6">
        <f t="shared" si="42"/>
        <v>0.68175399999999997</v>
      </c>
      <c r="D435" s="6">
        <f t="shared" si="43"/>
        <v>773.10903599999995</v>
      </c>
      <c r="E435" s="6">
        <f t="shared" si="47"/>
        <v>-126.33103800000004</v>
      </c>
      <c r="F435" s="6">
        <f t="shared" si="48"/>
        <v>-4.7572499999999907E-3</v>
      </c>
      <c r="G435" s="6">
        <f t="shared" si="44"/>
        <v>533.62865654972393</v>
      </c>
      <c r="H435" s="7">
        <f t="shared" si="45"/>
        <v>1.0317482126438844E-13</v>
      </c>
      <c r="I435" s="8">
        <f t="shared" si="46"/>
        <v>1.0317482126438844E-13</v>
      </c>
    </row>
    <row r="436" spans="1:9" x14ac:dyDescent="0.2">
      <c r="A436" s="5">
        <v>1132</v>
      </c>
      <c r="B436" s="6">
        <v>0.73482599999999998</v>
      </c>
      <c r="C436" s="6">
        <f t="shared" si="42"/>
        <v>0.69182599999999994</v>
      </c>
      <c r="D436" s="6">
        <f t="shared" si="43"/>
        <v>783.14703199999997</v>
      </c>
      <c r="E436" s="6">
        <f t="shared" si="47"/>
        <v>-127.70461800000004</v>
      </c>
      <c r="F436" s="6">
        <f t="shared" si="48"/>
        <v>-4.9855000000000038E-3</v>
      </c>
      <c r="G436" s="6">
        <f t="shared" si="44"/>
        <v>539.63586000983537</v>
      </c>
      <c r="H436" s="7">
        <f t="shared" si="45"/>
        <v>9.9559484095088952E-14</v>
      </c>
      <c r="I436" s="8">
        <f t="shared" si="46"/>
        <v>9.9559484095088952E-14</v>
      </c>
    </row>
    <row r="437" spans="1:9" x14ac:dyDescent="0.2">
      <c r="A437" s="5">
        <v>1130</v>
      </c>
      <c r="B437" s="6">
        <v>0.74469600000000002</v>
      </c>
      <c r="C437" s="6">
        <f t="shared" si="42"/>
        <v>0.70169599999999999</v>
      </c>
      <c r="D437" s="6">
        <f t="shared" si="43"/>
        <v>792.91647999999998</v>
      </c>
      <c r="E437" s="6">
        <f t="shared" si="47"/>
        <v>-129.09814000000003</v>
      </c>
      <c r="F437" s="6">
        <f t="shared" si="48"/>
        <v>-5.340499999999998E-3</v>
      </c>
      <c r="G437" s="6">
        <f t="shared" si="44"/>
        <v>545.50284540214079</v>
      </c>
      <c r="H437" s="7">
        <f t="shared" si="45"/>
        <v>9.3951919430654158E-14</v>
      </c>
      <c r="I437" s="8">
        <f t="shared" si="46"/>
        <v>9.3951919430654158E-14</v>
      </c>
    </row>
    <row r="438" spans="1:9" x14ac:dyDescent="0.2">
      <c r="A438" s="5">
        <v>1128</v>
      </c>
      <c r="B438" s="6">
        <v>0.75618799999999997</v>
      </c>
      <c r="C438" s="6">
        <f t="shared" si="42"/>
        <v>0.71318799999999993</v>
      </c>
      <c r="D438" s="6">
        <f t="shared" si="43"/>
        <v>804.47606399999995</v>
      </c>
      <c r="E438" s="6">
        <f t="shared" si="47"/>
        <v>-130.51302400000003</v>
      </c>
      <c r="F438" s="6">
        <f t="shared" si="48"/>
        <v>-5.7534999999999947E-3</v>
      </c>
      <c r="G438" s="6">
        <f t="shared" si="44"/>
        <v>552.31100589336415</v>
      </c>
      <c r="H438" s="7">
        <f t="shared" si="45"/>
        <v>8.8296225021261446E-14</v>
      </c>
      <c r="I438" s="8">
        <f t="shared" si="46"/>
        <v>8.8296225021261446E-14</v>
      </c>
    </row>
    <row r="439" spans="1:9" x14ac:dyDescent="0.2">
      <c r="A439" s="5">
        <v>1126</v>
      </c>
      <c r="B439" s="6">
        <v>0.76771</v>
      </c>
      <c r="C439" s="6">
        <f t="shared" si="42"/>
        <v>0.72470999999999997</v>
      </c>
      <c r="D439" s="6">
        <f t="shared" si="43"/>
        <v>816.02346</v>
      </c>
      <c r="E439" s="6">
        <f t="shared" si="47"/>
        <v>-131.95092200000002</v>
      </c>
      <c r="F439" s="6">
        <f t="shared" si="48"/>
        <v>-5.4132500000000083E-3</v>
      </c>
      <c r="G439" s="6">
        <f t="shared" si="44"/>
        <v>559.11389516693475</v>
      </c>
      <c r="H439" s="7">
        <f t="shared" si="45"/>
        <v>9.5002001970360506E-14</v>
      </c>
      <c r="I439" s="8">
        <f t="shared" si="46"/>
        <v>9.5002001970360506E-14</v>
      </c>
    </row>
    <row r="440" spans="1:9" x14ac:dyDescent="0.2">
      <c r="A440" s="5">
        <v>1124</v>
      </c>
      <c r="B440" s="6">
        <v>0.777841</v>
      </c>
      <c r="C440" s="6">
        <f t="shared" si="42"/>
        <v>0.73484099999999997</v>
      </c>
      <c r="D440" s="6">
        <f t="shared" si="43"/>
        <v>825.96128399999998</v>
      </c>
      <c r="E440" s="6">
        <f t="shared" si="47"/>
        <v>-133.41047300000002</v>
      </c>
      <c r="F440" s="6">
        <f t="shared" si="48"/>
        <v>-5.0507499999999927E-3</v>
      </c>
      <c r="G440" s="6">
        <f t="shared" si="44"/>
        <v>565.0752397656629</v>
      </c>
      <c r="H440" s="7">
        <f t="shared" si="45"/>
        <v>1.0290606265566817E-13</v>
      </c>
      <c r="I440" s="8">
        <f t="shared" si="46"/>
        <v>1.0290606265566817E-13</v>
      </c>
    </row>
    <row r="441" spans="1:9" x14ac:dyDescent="0.2">
      <c r="A441" s="5">
        <v>1122</v>
      </c>
      <c r="B441" s="6">
        <v>0.78791299999999997</v>
      </c>
      <c r="C441" s="6">
        <f t="shared" si="42"/>
        <v>0.74491299999999994</v>
      </c>
      <c r="D441" s="6">
        <f t="shared" si="43"/>
        <v>835.79238599999996</v>
      </c>
      <c r="E441" s="6">
        <f t="shared" si="47"/>
        <v>-134.89022700000004</v>
      </c>
      <c r="F441" s="6">
        <f t="shared" si="48"/>
        <v>-5.2534999999999943E-3</v>
      </c>
      <c r="G441" s="6">
        <f t="shared" si="44"/>
        <v>570.98172322577432</v>
      </c>
      <c r="H441" s="7">
        <f t="shared" si="45"/>
        <v>9.9968695880060992E-14</v>
      </c>
      <c r="I441" s="8">
        <f t="shared" si="46"/>
        <v>9.9968695880060992E-14</v>
      </c>
    </row>
    <row r="442" spans="1:9" x14ac:dyDescent="0.2">
      <c r="A442" s="5">
        <v>1120</v>
      </c>
      <c r="B442" s="6">
        <v>0.79885499999999998</v>
      </c>
      <c r="C442" s="6">
        <f t="shared" si="42"/>
        <v>0.75585499999999994</v>
      </c>
      <c r="D442" s="6">
        <f t="shared" si="43"/>
        <v>846.55759999999998</v>
      </c>
      <c r="E442" s="6">
        <f t="shared" si="47"/>
        <v>-136.39099500000003</v>
      </c>
      <c r="F442" s="6">
        <f t="shared" si="48"/>
        <v>-5.6340000000000001E-3</v>
      </c>
      <c r="G442" s="6">
        <f t="shared" si="44"/>
        <v>577.3765133739613</v>
      </c>
      <c r="H442" s="7">
        <f t="shared" si="45"/>
        <v>9.4261170251865059E-14</v>
      </c>
      <c r="I442" s="8">
        <f t="shared" si="46"/>
        <v>9.4261170251865059E-14</v>
      </c>
    </row>
    <row r="443" spans="1:9" x14ac:dyDescent="0.2">
      <c r="A443" s="5">
        <v>1118</v>
      </c>
      <c r="B443" s="6">
        <v>0.81044899999999997</v>
      </c>
      <c r="C443" s="6">
        <f t="shared" si="42"/>
        <v>0.76744899999999994</v>
      </c>
      <c r="D443" s="6">
        <f t="shared" si="43"/>
        <v>858.00798199999997</v>
      </c>
      <c r="E443" s="6">
        <f t="shared" si="47"/>
        <v>-137.91429900000003</v>
      </c>
      <c r="F443" s="6">
        <f t="shared" si="48"/>
        <v>-5.9637500000000176E-3</v>
      </c>
      <c r="G443" s="6">
        <f t="shared" si="44"/>
        <v>584.1291613251658</v>
      </c>
      <c r="H443" s="7">
        <f t="shared" si="45"/>
        <v>9.0090711052621253E-14</v>
      </c>
      <c r="I443" s="8">
        <f t="shared" si="46"/>
        <v>9.0090711052621253E-14</v>
      </c>
    </row>
    <row r="444" spans="1:9" x14ac:dyDescent="0.2">
      <c r="A444" s="5">
        <v>1116</v>
      </c>
      <c r="B444" s="6">
        <v>0.82271000000000005</v>
      </c>
      <c r="C444" s="6">
        <f t="shared" si="42"/>
        <v>0.77971000000000001</v>
      </c>
      <c r="D444" s="6">
        <f t="shared" si="43"/>
        <v>870.15636000000006</v>
      </c>
      <c r="E444" s="6">
        <f t="shared" si="47"/>
        <v>-139.46145800000002</v>
      </c>
      <c r="F444" s="6">
        <f t="shared" si="48"/>
        <v>-5.8912500000000145E-3</v>
      </c>
      <c r="G444" s="6">
        <f t="shared" si="44"/>
        <v>591.24576547056165</v>
      </c>
      <c r="H444" s="7">
        <f t="shared" si="45"/>
        <v>9.2310509245490273E-14</v>
      </c>
      <c r="I444" s="8">
        <f t="shared" si="46"/>
        <v>9.2310509245490273E-14</v>
      </c>
    </row>
    <row r="445" spans="1:9" x14ac:dyDescent="0.2">
      <c r="A445" s="5">
        <v>1114</v>
      </c>
      <c r="B445" s="6">
        <v>0.83401400000000003</v>
      </c>
      <c r="C445" s="6">
        <f t="shared" si="42"/>
        <v>0.79101399999999999</v>
      </c>
      <c r="D445" s="6">
        <f t="shared" si="43"/>
        <v>881.18959599999994</v>
      </c>
      <c r="E445" s="6">
        <f t="shared" si="47"/>
        <v>-141.03218200000003</v>
      </c>
      <c r="F445" s="6">
        <f t="shared" si="48"/>
        <v>-5.7609999999999884E-3</v>
      </c>
      <c r="G445" s="6">
        <f t="shared" si="44"/>
        <v>597.7842938590743</v>
      </c>
      <c r="H445" s="7">
        <f t="shared" si="45"/>
        <v>9.544148351879219E-14</v>
      </c>
      <c r="I445" s="8">
        <f t="shared" si="46"/>
        <v>9.544148351879219E-14</v>
      </c>
    </row>
    <row r="446" spans="1:9" x14ac:dyDescent="0.2">
      <c r="A446" s="5">
        <v>1112</v>
      </c>
      <c r="B446" s="6">
        <v>0.84575400000000001</v>
      </c>
      <c r="C446" s="6">
        <f t="shared" si="42"/>
        <v>0.80275399999999997</v>
      </c>
      <c r="D446" s="6">
        <f t="shared" si="43"/>
        <v>892.66244799999993</v>
      </c>
      <c r="E446" s="6">
        <f t="shared" si="47"/>
        <v>-142.62595000000005</v>
      </c>
      <c r="F446" s="6">
        <f t="shared" si="48"/>
        <v>-5.7319999999999871E-3</v>
      </c>
      <c r="G446" s="6">
        <f t="shared" si="44"/>
        <v>604.55153601770303</v>
      </c>
      <c r="H446" s="7">
        <f t="shared" si="45"/>
        <v>9.7010267804737498E-14</v>
      </c>
      <c r="I446" s="8">
        <f t="shared" si="46"/>
        <v>9.7010267804737498E-14</v>
      </c>
    </row>
    <row r="447" spans="1:9" x14ac:dyDescent="0.2">
      <c r="A447" s="5">
        <v>1110</v>
      </c>
      <c r="B447" s="6">
        <v>0.85694199999999998</v>
      </c>
      <c r="C447" s="6">
        <f t="shared" si="42"/>
        <v>0.81394199999999994</v>
      </c>
      <c r="D447" s="6">
        <f t="shared" si="43"/>
        <v>903.47561999999994</v>
      </c>
      <c r="E447" s="6">
        <f t="shared" si="47"/>
        <v>-144.24264600000004</v>
      </c>
      <c r="F447" s="6">
        <f t="shared" si="48"/>
        <v>-5.9454999999999925E-3</v>
      </c>
      <c r="G447" s="6">
        <f t="shared" si="44"/>
        <v>610.97821498113899</v>
      </c>
      <c r="H447" s="7">
        <f t="shared" si="45"/>
        <v>9.4520910872040442E-14</v>
      </c>
      <c r="I447" s="8">
        <f t="shared" si="46"/>
        <v>9.4520910872040442E-14</v>
      </c>
    </row>
    <row r="448" spans="1:9" x14ac:dyDescent="0.2">
      <c r="A448" s="5">
        <v>1108</v>
      </c>
      <c r="B448" s="6">
        <v>0.86953599999999998</v>
      </c>
      <c r="C448" s="6">
        <f t="shared" si="42"/>
        <v>0.82653599999999994</v>
      </c>
      <c r="D448" s="6">
        <f t="shared" si="43"/>
        <v>915.80188799999996</v>
      </c>
      <c r="E448" s="6">
        <f t="shared" si="47"/>
        <v>-145.88312400000004</v>
      </c>
      <c r="F448" s="6">
        <f t="shared" si="48"/>
        <v>-5.9710000000000041E-3</v>
      </c>
      <c r="G448" s="6">
        <f t="shared" si="44"/>
        <v>618.18734901059133</v>
      </c>
      <c r="H448" s="7">
        <f t="shared" si="45"/>
        <v>9.52277664664518E-14</v>
      </c>
      <c r="I448" s="8">
        <f t="shared" si="46"/>
        <v>9.52277664664518E-14</v>
      </c>
    </row>
    <row r="449" spans="1:9" x14ac:dyDescent="0.2">
      <c r="A449" s="5">
        <v>1106</v>
      </c>
      <c r="B449" s="6">
        <v>0.880826</v>
      </c>
      <c r="C449" s="6">
        <f t="shared" si="42"/>
        <v>0.83782599999999996</v>
      </c>
      <c r="D449" s="6">
        <f t="shared" si="43"/>
        <v>926.63555599999995</v>
      </c>
      <c r="E449" s="6">
        <f t="shared" si="47"/>
        <v>-147.54748600000005</v>
      </c>
      <c r="F449" s="6">
        <f t="shared" si="48"/>
        <v>-6.0942499999999955E-3</v>
      </c>
      <c r="G449" s="6">
        <f t="shared" si="44"/>
        <v>624.62745943400853</v>
      </c>
      <c r="H449" s="7">
        <f t="shared" si="45"/>
        <v>9.4273875912539453E-14</v>
      </c>
      <c r="I449" s="8">
        <f t="shared" si="46"/>
        <v>9.4273875912539453E-14</v>
      </c>
    </row>
    <row r="450" spans="1:9" x14ac:dyDescent="0.2">
      <c r="A450" s="5">
        <v>1104</v>
      </c>
      <c r="B450" s="6">
        <v>0.89391299999999996</v>
      </c>
      <c r="C450" s="6">
        <f t="shared" ref="C450:C513" si="49">B450-$B$2</f>
        <v>0.85091299999999992</v>
      </c>
      <c r="D450" s="6">
        <f t="shared" ref="D450:D513" si="50">A450*C450</f>
        <v>939.40795199999991</v>
      </c>
      <c r="E450" s="6">
        <f t="shared" si="47"/>
        <v>-149.23622500000005</v>
      </c>
      <c r="F450" s="6">
        <f t="shared" si="48"/>
        <v>-6.4095000000000124E-3</v>
      </c>
      <c r="G450" s="6">
        <f t="shared" ref="G450:G513" si="51">(A450-$L$5)*C450-E450</f>
        <v>632.06645152003694</v>
      </c>
      <c r="H450" s="7">
        <f t="shared" ref="H450:H513" si="52">IF(ABS(F450)&lt;0.000000001,"",-(G450)/(2*$L$4*F450)*0.000000000001)</f>
        <v>9.070456483578598E-14</v>
      </c>
      <c r="I450" s="8">
        <f t="shared" ref="I450:I513" si="53">IF(AND(B450&gt;=0.5,B450&lt;=2.5,ISNUMBER(H450),H450&gt;0),H450,"")</f>
        <v>9.070456483578598E-14</v>
      </c>
    </row>
    <row r="451" spans="1:9" x14ac:dyDescent="0.2">
      <c r="A451" s="5">
        <v>1102</v>
      </c>
      <c r="B451" s="6">
        <v>0.90646400000000005</v>
      </c>
      <c r="C451" s="6">
        <f t="shared" si="49"/>
        <v>0.86346400000000001</v>
      </c>
      <c r="D451" s="6">
        <f t="shared" si="50"/>
        <v>951.537328</v>
      </c>
      <c r="E451" s="6">
        <f t="shared" ref="E451:E514" si="54">E450+(C450+C451)/2*(A451-A450)</f>
        <v>-150.95060200000006</v>
      </c>
      <c r="F451" s="6">
        <f t="shared" ref="F451:F514" si="55">(B452-B450)/(A452-A450)</f>
        <v>-6.286250000000021E-3</v>
      </c>
      <c r="G451" s="6">
        <f t="shared" si="51"/>
        <v>639.17566522812467</v>
      </c>
      <c r="H451" s="7">
        <f t="shared" si="52"/>
        <v>9.3523152942970881E-14</v>
      </c>
      <c r="I451" s="8">
        <f t="shared" si="53"/>
        <v>9.3523152942970881E-14</v>
      </c>
    </row>
    <row r="452" spans="1:9" x14ac:dyDescent="0.2">
      <c r="A452" s="5">
        <v>1100</v>
      </c>
      <c r="B452" s="6">
        <v>0.91905800000000004</v>
      </c>
      <c r="C452" s="6">
        <f t="shared" si="49"/>
        <v>0.876058</v>
      </c>
      <c r="D452" s="6">
        <f t="shared" si="50"/>
        <v>963.66380000000004</v>
      </c>
      <c r="E452" s="6">
        <f t="shared" si="54"/>
        <v>-152.69012400000005</v>
      </c>
      <c r="F452" s="6">
        <f t="shared" si="55"/>
        <v>-6.1159999999999826E-3</v>
      </c>
      <c r="G452" s="6">
        <f t="shared" si="51"/>
        <v>646.28404725757696</v>
      </c>
      <c r="H452" s="7">
        <f t="shared" si="52"/>
        <v>9.7195579968532521E-14</v>
      </c>
      <c r="I452" s="8">
        <f t="shared" si="53"/>
        <v>9.7195579968532521E-14</v>
      </c>
    </row>
    <row r="453" spans="1:9" x14ac:dyDescent="0.2">
      <c r="A453" s="5">
        <v>1098</v>
      </c>
      <c r="B453" s="6">
        <v>0.93092799999999998</v>
      </c>
      <c r="C453" s="6">
        <f t="shared" si="49"/>
        <v>0.88792799999999994</v>
      </c>
      <c r="D453" s="6">
        <f t="shared" si="50"/>
        <v>974.94494399999996</v>
      </c>
      <c r="E453" s="6">
        <f t="shared" si="54"/>
        <v>-154.45411000000004</v>
      </c>
      <c r="F453" s="6">
        <f t="shared" si="55"/>
        <v>-5.9565000000000035E-3</v>
      </c>
      <c r="G453" s="6">
        <f t="shared" si="51"/>
        <v>652.96004480637782</v>
      </c>
      <c r="H453" s="7">
        <f t="shared" si="52"/>
        <v>1.0082912941340932E-13</v>
      </c>
      <c r="I453" s="8">
        <f t="shared" si="53"/>
        <v>1.0082912941340932E-13</v>
      </c>
    </row>
    <row r="454" spans="1:9" x14ac:dyDescent="0.2">
      <c r="A454" s="5">
        <v>1096</v>
      </c>
      <c r="B454" s="6">
        <v>0.94288400000000006</v>
      </c>
      <c r="C454" s="6">
        <f t="shared" si="49"/>
        <v>0.89988400000000002</v>
      </c>
      <c r="D454" s="6">
        <f t="shared" si="50"/>
        <v>986.27286400000003</v>
      </c>
      <c r="E454" s="6">
        <f t="shared" si="54"/>
        <v>-156.24192200000005</v>
      </c>
      <c r="F454" s="6">
        <f t="shared" si="55"/>
        <v>-5.8694999999999997E-3</v>
      </c>
      <c r="G454" s="6">
        <f t="shared" si="51"/>
        <v>659.66049899790812</v>
      </c>
      <c r="H454" s="7">
        <f t="shared" si="52"/>
        <v>1.0337366840221784E-13</v>
      </c>
      <c r="I454" s="8">
        <f t="shared" si="53"/>
        <v>1.0337366840221784E-13</v>
      </c>
    </row>
    <row r="455" spans="1:9" x14ac:dyDescent="0.2">
      <c r="A455" s="5">
        <v>1094</v>
      </c>
      <c r="B455" s="6">
        <v>0.95440599999999998</v>
      </c>
      <c r="C455" s="6">
        <f t="shared" si="49"/>
        <v>0.91140599999999994</v>
      </c>
      <c r="D455" s="6">
        <f t="shared" si="50"/>
        <v>997.0781639999999</v>
      </c>
      <c r="E455" s="6">
        <f t="shared" si="54"/>
        <v>-158.05321200000006</v>
      </c>
      <c r="F455" s="6">
        <f t="shared" si="55"/>
        <v>-5.7572499999999915E-3</v>
      </c>
      <c r="G455" s="6">
        <f t="shared" si="51"/>
        <v>666.09468427147874</v>
      </c>
      <c r="H455" s="7">
        <f t="shared" si="52"/>
        <v>1.0641710390873249E-13</v>
      </c>
      <c r="I455" s="8">
        <f t="shared" si="53"/>
        <v>1.0641710390873249E-13</v>
      </c>
    </row>
    <row r="456" spans="1:9" x14ac:dyDescent="0.2">
      <c r="A456" s="5">
        <v>1092</v>
      </c>
      <c r="B456" s="6">
        <v>0.96591300000000002</v>
      </c>
      <c r="C456" s="6">
        <f t="shared" si="49"/>
        <v>0.92291299999999998</v>
      </c>
      <c r="D456" s="6">
        <f t="shared" si="50"/>
        <v>1007.820996</v>
      </c>
      <c r="E456" s="6">
        <f t="shared" si="54"/>
        <v>-159.88753100000005</v>
      </c>
      <c r="F456" s="6">
        <f t="shared" si="55"/>
        <v>-6.1954999999999927E-3</v>
      </c>
      <c r="G456" s="6">
        <f t="shared" si="51"/>
        <v>672.49747915387582</v>
      </c>
      <c r="H456" s="7">
        <f t="shared" si="52"/>
        <v>9.9840065140486637E-14</v>
      </c>
      <c r="I456" s="8">
        <f t="shared" si="53"/>
        <v>9.9840065140486637E-14</v>
      </c>
    </row>
    <row r="457" spans="1:9" x14ac:dyDescent="0.2">
      <c r="A457" s="5">
        <v>1090</v>
      </c>
      <c r="B457" s="6">
        <v>0.97918799999999995</v>
      </c>
      <c r="C457" s="6">
        <f t="shared" si="49"/>
        <v>0.93618799999999991</v>
      </c>
      <c r="D457" s="6">
        <f t="shared" si="50"/>
        <v>1020.4449199999999</v>
      </c>
      <c r="E457" s="6">
        <f t="shared" si="54"/>
        <v>-161.74663200000006</v>
      </c>
      <c r="F457" s="6">
        <f t="shared" si="55"/>
        <v>-6.4457500000000001E-3</v>
      </c>
      <c r="G457" s="6">
        <f t="shared" si="51"/>
        <v>679.85748534261484</v>
      </c>
      <c r="H457" s="7">
        <f t="shared" si="52"/>
        <v>9.7014127581914395E-14</v>
      </c>
      <c r="I457" s="8">
        <f t="shared" si="53"/>
        <v>9.7014127581914395E-14</v>
      </c>
    </row>
    <row r="458" spans="1:9" x14ac:dyDescent="0.2">
      <c r="A458" s="5">
        <v>1088</v>
      </c>
      <c r="B458" s="6">
        <v>0.99169600000000002</v>
      </c>
      <c r="C458" s="6">
        <f t="shared" si="49"/>
        <v>0.94869599999999998</v>
      </c>
      <c r="D458" s="6">
        <f t="shared" si="50"/>
        <v>1032.1812479999999</v>
      </c>
      <c r="E458" s="6">
        <f t="shared" si="54"/>
        <v>-163.63151600000006</v>
      </c>
      <c r="F458" s="6">
        <f t="shared" si="55"/>
        <v>-6.1415000000000219E-3</v>
      </c>
      <c r="G458" s="6">
        <f t="shared" si="51"/>
        <v>686.76723072933783</v>
      </c>
      <c r="H458" s="7">
        <f t="shared" si="52"/>
        <v>1.0285506064894146E-13</v>
      </c>
      <c r="I458" s="8">
        <f t="shared" si="53"/>
        <v>1.0285506064894146E-13</v>
      </c>
    </row>
    <row r="459" spans="1:9" x14ac:dyDescent="0.2">
      <c r="A459" s="5">
        <v>1086</v>
      </c>
      <c r="B459" s="6">
        <v>1.003754</v>
      </c>
      <c r="C459" s="6">
        <f t="shared" si="49"/>
        <v>0.960754</v>
      </c>
      <c r="D459" s="6">
        <f t="shared" si="50"/>
        <v>1043.3788440000001</v>
      </c>
      <c r="E459" s="6">
        <f t="shared" si="54"/>
        <v>-165.54096600000005</v>
      </c>
      <c r="F459" s="6">
        <f t="shared" si="55"/>
        <v>-6.4672500000000077E-3</v>
      </c>
      <c r="G459" s="6">
        <f t="shared" si="51"/>
        <v>693.40426838084932</v>
      </c>
      <c r="H459" s="7">
        <f t="shared" si="52"/>
        <v>9.861827858215728E-14</v>
      </c>
      <c r="I459" s="8">
        <f t="shared" si="53"/>
        <v>9.861827858215728E-14</v>
      </c>
    </row>
    <row r="460" spans="1:9" x14ac:dyDescent="0.2">
      <c r="A460" s="5">
        <v>1084</v>
      </c>
      <c r="B460" s="6">
        <v>1.0175650000000001</v>
      </c>
      <c r="C460" s="6">
        <f t="shared" si="49"/>
        <v>0.97456500000000001</v>
      </c>
      <c r="D460" s="6">
        <f t="shared" si="50"/>
        <v>1056.4284600000001</v>
      </c>
      <c r="E460" s="6">
        <f t="shared" si="54"/>
        <v>-167.47628500000005</v>
      </c>
      <c r="F460" s="6">
        <f t="shared" si="55"/>
        <v>-6.7172500000000079E-3</v>
      </c>
      <c r="G460" s="6">
        <f t="shared" si="51"/>
        <v>700.97858094752917</v>
      </c>
      <c r="H460" s="7">
        <f t="shared" si="52"/>
        <v>9.5985093476800023E-14</v>
      </c>
      <c r="I460" s="8">
        <f t="shared" si="53"/>
        <v>9.5985093476800023E-14</v>
      </c>
    </row>
    <row r="461" spans="1:9" x14ac:dyDescent="0.2">
      <c r="A461" s="5">
        <v>1082</v>
      </c>
      <c r="B461" s="6">
        <v>1.0306230000000001</v>
      </c>
      <c r="C461" s="6">
        <f t="shared" si="49"/>
        <v>0.98762300000000003</v>
      </c>
      <c r="D461" s="6">
        <f t="shared" si="50"/>
        <v>1068.608086</v>
      </c>
      <c r="E461" s="6">
        <f t="shared" si="54"/>
        <v>-169.43847300000004</v>
      </c>
      <c r="F461" s="6">
        <f t="shared" si="55"/>
        <v>-6.5617499999999773E-3</v>
      </c>
      <c r="G461" s="6">
        <f t="shared" si="51"/>
        <v>708.11381267728837</v>
      </c>
      <c r="H461" s="7">
        <f t="shared" si="52"/>
        <v>9.9259924905576069E-14</v>
      </c>
      <c r="I461" s="8">
        <f t="shared" si="53"/>
        <v>9.9259924905576069E-14</v>
      </c>
    </row>
    <row r="462" spans="1:9" x14ac:dyDescent="0.2">
      <c r="A462" s="5">
        <v>1080</v>
      </c>
      <c r="B462" s="6">
        <v>1.043812</v>
      </c>
      <c r="C462" s="6">
        <f t="shared" si="49"/>
        <v>1.000812</v>
      </c>
      <c r="D462" s="6">
        <f t="shared" si="50"/>
        <v>1080.8769600000001</v>
      </c>
      <c r="E462" s="6">
        <f t="shared" si="54"/>
        <v>-171.42690800000005</v>
      </c>
      <c r="F462" s="6">
        <f t="shared" si="55"/>
        <v>-6.3079999999999803E-3</v>
      </c>
      <c r="G462" s="6">
        <f t="shared" si="51"/>
        <v>715.29424822329804</v>
      </c>
      <c r="H462" s="7">
        <f t="shared" si="52"/>
        <v>1.0429983093511788E-13</v>
      </c>
      <c r="I462" s="8">
        <f t="shared" si="53"/>
        <v>1.0429983093511788E-13</v>
      </c>
    </row>
    <row r="463" spans="1:9" x14ac:dyDescent="0.2">
      <c r="A463" s="5">
        <v>1078</v>
      </c>
      <c r="B463" s="6">
        <v>1.055855</v>
      </c>
      <c r="C463" s="6">
        <f t="shared" si="49"/>
        <v>1.0128550000000001</v>
      </c>
      <c r="D463" s="6">
        <f t="shared" si="50"/>
        <v>1091.85769</v>
      </c>
      <c r="E463" s="6">
        <f t="shared" si="54"/>
        <v>-173.44057500000005</v>
      </c>
      <c r="F463" s="6">
        <f t="shared" si="55"/>
        <v>-5.8405000000000262E-3</v>
      </c>
      <c r="G463" s="6">
        <f t="shared" si="51"/>
        <v>721.82668548363597</v>
      </c>
      <c r="H463" s="7">
        <f t="shared" si="52"/>
        <v>1.136772245381459E-13</v>
      </c>
      <c r="I463" s="8">
        <f t="shared" si="53"/>
        <v>1.136772245381459E-13</v>
      </c>
    </row>
    <row r="464" spans="1:9" x14ac:dyDescent="0.2">
      <c r="A464" s="5">
        <v>1076</v>
      </c>
      <c r="B464" s="6">
        <v>1.0671740000000001</v>
      </c>
      <c r="C464" s="6">
        <f t="shared" si="49"/>
        <v>1.0241740000000001</v>
      </c>
      <c r="D464" s="6">
        <f t="shared" si="50"/>
        <v>1102.0112240000001</v>
      </c>
      <c r="E464" s="6">
        <f t="shared" si="54"/>
        <v>-175.47760400000004</v>
      </c>
      <c r="F464" s="6">
        <f t="shared" si="55"/>
        <v>-6.141249999999987E-3</v>
      </c>
      <c r="G464" s="6">
        <f t="shared" si="51"/>
        <v>727.94376826332234</v>
      </c>
      <c r="H464" s="7">
        <f t="shared" si="52"/>
        <v>1.0902638481518432E-13</v>
      </c>
      <c r="I464" s="8">
        <f t="shared" si="53"/>
        <v>1.0902638481518432E-13</v>
      </c>
    </row>
    <row r="465" spans="1:9" x14ac:dyDescent="0.2">
      <c r="A465" s="5">
        <v>1074</v>
      </c>
      <c r="B465" s="6">
        <v>1.0804199999999999</v>
      </c>
      <c r="C465" s="6">
        <f t="shared" si="49"/>
        <v>1.03742</v>
      </c>
      <c r="D465" s="6">
        <f t="shared" si="50"/>
        <v>1114.1890800000001</v>
      </c>
      <c r="E465" s="6">
        <f t="shared" si="54"/>
        <v>-177.53919800000006</v>
      </c>
      <c r="F465" s="6">
        <f t="shared" si="55"/>
        <v>-6.3515000000000099E-3</v>
      </c>
      <c r="G465" s="6">
        <f t="shared" si="51"/>
        <v>735.07576009579213</v>
      </c>
      <c r="H465" s="7">
        <f t="shared" si="52"/>
        <v>1.0645016906248861E-13</v>
      </c>
      <c r="I465" s="8">
        <f t="shared" si="53"/>
        <v>1.0645016906248861E-13</v>
      </c>
    </row>
    <row r="466" spans="1:9" x14ac:dyDescent="0.2">
      <c r="A466" s="5">
        <v>1072</v>
      </c>
      <c r="B466" s="6">
        <v>1.0925800000000001</v>
      </c>
      <c r="C466" s="6">
        <f t="shared" si="49"/>
        <v>1.0495800000000002</v>
      </c>
      <c r="D466" s="6">
        <f t="shared" si="50"/>
        <v>1125.1497600000002</v>
      </c>
      <c r="E466" s="6">
        <f t="shared" si="54"/>
        <v>-179.62619800000004</v>
      </c>
      <c r="F466" s="6">
        <f t="shared" si="55"/>
        <v>-6.3805000000000112E-3</v>
      </c>
      <c r="G466" s="6">
        <f t="shared" si="51"/>
        <v>741.59870120728499</v>
      </c>
      <c r="H466" s="7">
        <f t="shared" si="52"/>
        <v>1.0690667042963867E-13</v>
      </c>
      <c r="I466" s="8">
        <f t="shared" si="53"/>
        <v>1.0690667042963867E-13</v>
      </c>
    </row>
    <row r="467" spans="1:9" x14ac:dyDescent="0.2">
      <c r="A467" s="5">
        <v>1070</v>
      </c>
      <c r="B467" s="6">
        <v>1.105942</v>
      </c>
      <c r="C467" s="6">
        <f t="shared" si="49"/>
        <v>1.0629420000000001</v>
      </c>
      <c r="D467" s="6">
        <f t="shared" si="50"/>
        <v>1137.3479400000001</v>
      </c>
      <c r="E467" s="6">
        <f t="shared" si="54"/>
        <v>-181.73872000000006</v>
      </c>
      <c r="F467" s="6">
        <f t="shared" si="55"/>
        <v>-6.296999999999997E-3</v>
      </c>
      <c r="G467" s="6">
        <f t="shared" si="51"/>
        <v>748.73970246483157</v>
      </c>
      <c r="H467" s="7">
        <f t="shared" si="52"/>
        <v>1.0936735914646391E-13</v>
      </c>
      <c r="I467" s="8">
        <f t="shared" si="53"/>
        <v>1.0936735914646391E-13</v>
      </c>
    </row>
    <row r="468" spans="1:9" x14ac:dyDescent="0.2">
      <c r="A468" s="5">
        <v>1068</v>
      </c>
      <c r="B468" s="6">
        <v>1.1177680000000001</v>
      </c>
      <c r="C468" s="6">
        <f t="shared" si="49"/>
        <v>1.0747680000000002</v>
      </c>
      <c r="D468" s="6">
        <f t="shared" si="50"/>
        <v>1147.8522240000002</v>
      </c>
      <c r="E468" s="6">
        <f t="shared" si="54"/>
        <v>-183.87643000000006</v>
      </c>
      <c r="F468" s="6">
        <f t="shared" si="55"/>
        <v>-6.0507499999999936E-3</v>
      </c>
      <c r="G468" s="6">
        <f t="shared" si="51"/>
        <v>755.03617326618962</v>
      </c>
      <c r="H468" s="7">
        <f t="shared" si="52"/>
        <v>1.1477547682459567E-13</v>
      </c>
      <c r="I468" s="8">
        <f t="shared" si="53"/>
        <v>1.1477547682459567E-13</v>
      </c>
    </row>
    <row r="469" spans="1:9" x14ac:dyDescent="0.2">
      <c r="A469" s="5">
        <v>1066</v>
      </c>
      <c r="B469" s="6">
        <v>1.130145</v>
      </c>
      <c r="C469" s="6">
        <f t="shared" si="49"/>
        <v>1.087145</v>
      </c>
      <c r="D469" s="6">
        <f t="shared" si="50"/>
        <v>1158.8965700000001</v>
      </c>
      <c r="E469" s="6">
        <f t="shared" si="54"/>
        <v>-186.03834300000005</v>
      </c>
      <c r="F469" s="6">
        <f t="shared" si="55"/>
        <v>-6.4564999999999761E-3</v>
      </c>
      <c r="G469" s="6">
        <f t="shared" si="51"/>
        <v>761.60125683666206</v>
      </c>
      <c r="H469" s="7">
        <f t="shared" si="52"/>
        <v>1.0849783019466052E-13</v>
      </c>
      <c r="I469" s="8">
        <f t="shared" si="53"/>
        <v>1.0849783019466052E-13</v>
      </c>
    </row>
    <row r="470" spans="1:9" x14ac:dyDescent="0.2">
      <c r="A470" s="5">
        <v>1064</v>
      </c>
      <c r="B470" s="6">
        <v>1.143594</v>
      </c>
      <c r="C470" s="6">
        <f t="shared" si="49"/>
        <v>1.1005940000000001</v>
      </c>
      <c r="D470" s="6">
        <f t="shared" si="50"/>
        <v>1171.0320160000001</v>
      </c>
      <c r="E470" s="6">
        <f t="shared" si="54"/>
        <v>-188.22608200000005</v>
      </c>
      <c r="F470" s="6">
        <f t="shared" si="55"/>
        <v>-6.7825000000000246E-3</v>
      </c>
      <c r="G470" s="6">
        <f t="shared" si="51"/>
        <v>768.70805916301617</v>
      </c>
      <c r="H470" s="7">
        <f t="shared" si="52"/>
        <v>1.0424666930338858E-13</v>
      </c>
      <c r="I470" s="8">
        <f t="shared" si="53"/>
        <v>1.0424666930338858E-13</v>
      </c>
    </row>
    <row r="471" spans="1:9" x14ac:dyDescent="0.2">
      <c r="A471" s="5">
        <v>1062</v>
      </c>
      <c r="B471" s="6">
        <v>1.1572750000000001</v>
      </c>
      <c r="C471" s="6">
        <f t="shared" si="49"/>
        <v>1.1142750000000001</v>
      </c>
      <c r="D471" s="6">
        <f t="shared" si="50"/>
        <v>1183.3600500000002</v>
      </c>
      <c r="E471" s="6">
        <f t="shared" si="54"/>
        <v>-190.44095100000004</v>
      </c>
      <c r="F471" s="6">
        <f t="shared" si="55"/>
        <v>-6.7355000000000054E-3</v>
      </c>
      <c r="G471" s="6">
        <f t="shared" si="51"/>
        <v>775.91009433952388</v>
      </c>
      <c r="H471" s="7">
        <f t="shared" si="52"/>
        <v>1.0595760122479375E-13</v>
      </c>
      <c r="I471" s="8">
        <f t="shared" si="53"/>
        <v>1.0595760122479375E-13</v>
      </c>
    </row>
    <row r="472" spans="1:9" x14ac:dyDescent="0.2">
      <c r="A472" s="5">
        <v>1060</v>
      </c>
      <c r="B472" s="6">
        <v>1.170536</v>
      </c>
      <c r="C472" s="6">
        <f t="shared" si="49"/>
        <v>1.1275360000000001</v>
      </c>
      <c r="D472" s="6">
        <f t="shared" si="50"/>
        <v>1195.1881600000002</v>
      </c>
      <c r="E472" s="6">
        <f t="shared" si="54"/>
        <v>-192.68276200000005</v>
      </c>
      <c r="F472" s="6">
        <f t="shared" si="55"/>
        <v>-6.5072499999999645E-3</v>
      </c>
      <c r="G472" s="6">
        <f t="shared" si="51"/>
        <v>782.86450856316742</v>
      </c>
      <c r="H472" s="7">
        <f t="shared" si="52"/>
        <v>1.1065719793931827E-13</v>
      </c>
      <c r="I472" s="8">
        <f t="shared" si="53"/>
        <v>1.1065719793931827E-13</v>
      </c>
    </row>
    <row r="473" spans="1:9" x14ac:dyDescent="0.2">
      <c r="A473" s="5">
        <v>1058</v>
      </c>
      <c r="B473" s="6">
        <v>1.1833039999999999</v>
      </c>
      <c r="C473" s="6">
        <f t="shared" si="49"/>
        <v>1.140304</v>
      </c>
      <c r="D473" s="6">
        <f t="shared" si="50"/>
        <v>1206.441632</v>
      </c>
      <c r="E473" s="6">
        <f t="shared" si="54"/>
        <v>-194.95060200000006</v>
      </c>
      <c r="F473" s="6">
        <f t="shared" si="55"/>
        <v>-6.4457499999999723E-3</v>
      </c>
      <c r="G473" s="6">
        <f t="shared" si="51"/>
        <v>789.53484473023468</v>
      </c>
      <c r="H473" s="7">
        <f t="shared" si="52"/>
        <v>1.1266483904111998E-13</v>
      </c>
      <c r="I473" s="8">
        <f t="shared" si="53"/>
        <v>1.1266483904111998E-13</v>
      </c>
    </row>
    <row r="474" spans="1:9" x14ac:dyDescent="0.2">
      <c r="A474" s="5">
        <v>1056</v>
      </c>
      <c r="B474" s="6">
        <v>1.1963189999999999</v>
      </c>
      <c r="C474" s="6">
        <f t="shared" si="49"/>
        <v>1.153319</v>
      </c>
      <c r="D474" s="6">
        <f t="shared" si="50"/>
        <v>1217.9048640000001</v>
      </c>
      <c r="E474" s="6">
        <f t="shared" si="54"/>
        <v>-197.24422500000006</v>
      </c>
      <c r="F474" s="6">
        <f t="shared" si="55"/>
        <v>-6.6270000000000495E-3</v>
      </c>
      <c r="G474" s="6">
        <f t="shared" si="51"/>
        <v>796.30819013862936</v>
      </c>
      <c r="H474" s="7">
        <f t="shared" si="52"/>
        <v>1.105235353080719E-13</v>
      </c>
      <c r="I474" s="8">
        <f t="shared" si="53"/>
        <v>1.105235353080719E-13</v>
      </c>
    </row>
    <row r="475" spans="1:9" x14ac:dyDescent="0.2">
      <c r="A475" s="5">
        <v>1054</v>
      </c>
      <c r="B475" s="6">
        <v>1.2098120000000001</v>
      </c>
      <c r="C475" s="6">
        <f t="shared" si="49"/>
        <v>1.1668120000000002</v>
      </c>
      <c r="D475" s="6">
        <f t="shared" si="50"/>
        <v>1229.8198480000001</v>
      </c>
      <c r="E475" s="6">
        <f t="shared" si="54"/>
        <v>-199.56435600000006</v>
      </c>
      <c r="F475" s="6">
        <f t="shared" si="55"/>
        <v>-6.4527500000000071E-3</v>
      </c>
      <c r="G475" s="6">
        <f t="shared" si="51"/>
        <v>803.30331321242659</v>
      </c>
      <c r="H475" s="7">
        <f t="shared" si="52"/>
        <v>1.1450521723022953E-13</v>
      </c>
      <c r="I475" s="8">
        <f t="shared" si="53"/>
        <v>1.1450521723022953E-13</v>
      </c>
    </row>
    <row r="476" spans="1:9" x14ac:dyDescent="0.2">
      <c r="A476" s="5">
        <v>1052</v>
      </c>
      <c r="B476" s="6">
        <v>1.2221299999999999</v>
      </c>
      <c r="C476" s="6">
        <f t="shared" si="49"/>
        <v>1.17913</v>
      </c>
      <c r="D476" s="6">
        <f t="shared" si="50"/>
        <v>1240.4447600000001</v>
      </c>
      <c r="E476" s="6">
        <f t="shared" si="54"/>
        <v>-201.91029800000007</v>
      </c>
      <c r="F476" s="6">
        <f t="shared" si="55"/>
        <v>-6.7282499999999912E-3</v>
      </c>
      <c r="G476" s="6">
        <f t="shared" si="51"/>
        <v>809.66464964428224</v>
      </c>
      <c r="H476" s="7">
        <f t="shared" si="52"/>
        <v>1.1068623480831515E-13</v>
      </c>
      <c r="I476" s="8">
        <f t="shared" si="53"/>
        <v>1.1068623480831515E-13</v>
      </c>
    </row>
    <row r="477" spans="1:9" x14ac:dyDescent="0.2">
      <c r="A477" s="5">
        <v>1050</v>
      </c>
      <c r="B477" s="6">
        <v>1.2367250000000001</v>
      </c>
      <c r="C477" s="6">
        <f t="shared" si="49"/>
        <v>1.1937250000000001</v>
      </c>
      <c r="D477" s="6">
        <f t="shared" si="50"/>
        <v>1253.4112500000001</v>
      </c>
      <c r="E477" s="6">
        <f t="shared" si="54"/>
        <v>-204.28315300000006</v>
      </c>
      <c r="F477" s="6">
        <f t="shared" si="55"/>
        <v>-7.1705000000000241E-3</v>
      </c>
      <c r="G477" s="6">
        <f t="shared" si="51"/>
        <v>817.17269825630854</v>
      </c>
      <c r="H477" s="7">
        <f t="shared" si="52"/>
        <v>1.048226089059281E-13</v>
      </c>
      <c r="I477" s="8">
        <f t="shared" si="53"/>
        <v>1.048226089059281E-13</v>
      </c>
    </row>
    <row r="478" spans="1:9" x14ac:dyDescent="0.2">
      <c r="A478" s="5">
        <v>1048</v>
      </c>
      <c r="B478" s="6">
        <v>1.250812</v>
      </c>
      <c r="C478" s="6">
        <f t="shared" si="49"/>
        <v>1.2078120000000001</v>
      </c>
      <c r="D478" s="6">
        <f t="shared" si="50"/>
        <v>1265.7869760000001</v>
      </c>
      <c r="E478" s="6">
        <f t="shared" si="54"/>
        <v>-206.68469000000005</v>
      </c>
      <c r="F478" s="6">
        <f t="shared" si="55"/>
        <v>-6.9672499999999804E-3</v>
      </c>
      <c r="G478" s="6">
        <f t="shared" si="51"/>
        <v>824.3912444205846</v>
      </c>
      <c r="H478" s="7">
        <f t="shared" si="52"/>
        <v>1.0883348413882808E-13</v>
      </c>
      <c r="I478" s="8">
        <f t="shared" si="53"/>
        <v>1.0883348413882808E-13</v>
      </c>
    </row>
    <row r="479" spans="1:9" x14ac:dyDescent="0.2">
      <c r="A479" s="5">
        <v>1046</v>
      </c>
      <c r="B479" s="6">
        <v>1.264594</v>
      </c>
      <c r="C479" s="6">
        <f t="shared" si="49"/>
        <v>1.2215940000000001</v>
      </c>
      <c r="D479" s="6">
        <f t="shared" si="50"/>
        <v>1277.7873240000001</v>
      </c>
      <c r="E479" s="6">
        <f t="shared" si="54"/>
        <v>-209.11409600000005</v>
      </c>
      <c r="F479" s="6">
        <f t="shared" si="55"/>
        <v>-7.0290000000000075E-3</v>
      </c>
      <c r="G479" s="6">
        <f t="shared" si="51"/>
        <v>831.42593663099524</v>
      </c>
      <c r="H479" s="7">
        <f t="shared" si="52"/>
        <v>1.0879791717386772E-13</v>
      </c>
      <c r="I479" s="8">
        <f t="shared" si="53"/>
        <v>1.0879791717386772E-13</v>
      </c>
    </row>
    <row r="480" spans="1:9" x14ac:dyDescent="0.2">
      <c r="A480" s="5">
        <v>1044</v>
      </c>
      <c r="B480" s="6">
        <v>1.2789280000000001</v>
      </c>
      <c r="C480" s="6">
        <f t="shared" si="49"/>
        <v>1.2359280000000001</v>
      </c>
      <c r="D480" s="6">
        <f t="shared" si="50"/>
        <v>1290.3088320000002</v>
      </c>
      <c r="E480" s="6">
        <f t="shared" si="54"/>
        <v>-211.57161800000006</v>
      </c>
      <c r="F480" s="6">
        <f t="shared" si="55"/>
        <v>-7.0545000000000191E-3</v>
      </c>
      <c r="G480" s="6">
        <f t="shared" si="51"/>
        <v>838.71371603659873</v>
      </c>
      <c r="H480" s="7">
        <f t="shared" si="52"/>
        <v>1.0935485368757995E-13</v>
      </c>
      <c r="I480" s="8">
        <f t="shared" si="53"/>
        <v>1.0935485368757995E-13</v>
      </c>
    </row>
    <row r="481" spans="1:9" x14ac:dyDescent="0.2">
      <c r="A481" s="5">
        <v>1042</v>
      </c>
      <c r="B481" s="6">
        <v>1.2928120000000001</v>
      </c>
      <c r="C481" s="6">
        <f t="shared" si="49"/>
        <v>1.2498120000000001</v>
      </c>
      <c r="D481" s="6">
        <f t="shared" si="50"/>
        <v>1302.3041040000001</v>
      </c>
      <c r="E481" s="6">
        <f t="shared" si="54"/>
        <v>-214.05735800000005</v>
      </c>
      <c r="F481" s="6">
        <f t="shared" si="55"/>
        <v>-6.9130000000000025E-3</v>
      </c>
      <c r="G481" s="6">
        <f t="shared" si="51"/>
        <v>845.74493570699065</v>
      </c>
      <c r="H481" s="7">
        <f t="shared" si="52"/>
        <v>1.1252872685759401E-13</v>
      </c>
      <c r="I481" s="8">
        <f t="shared" si="53"/>
        <v>1.1252872685759401E-13</v>
      </c>
    </row>
    <row r="482" spans="1:9" x14ac:dyDescent="0.2">
      <c r="A482" s="5">
        <v>1040</v>
      </c>
      <c r="B482" s="6">
        <v>1.3065800000000001</v>
      </c>
      <c r="C482" s="6">
        <f t="shared" si="49"/>
        <v>1.2635800000000001</v>
      </c>
      <c r="D482" s="6">
        <f t="shared" si="50"/>
        <v>1314.1232000000002</v>
      </c>
      <c r="E482" s="6">
        <f t="shared" si="54"/>
        <v>-216.57075000000006</v>
      </c>
      <c r="F482" s="6">
        <f t="shared" si="55"/>
        <v>-6.9057499999999883E-3</v>
      </c>
      <c r="G482" s="6">
        <f t="shared" si="51"/>
        <v>852.68987395230579</v>
      </c>
      <c r="H482" s="7">
        <f t="shared" si="52"/>
        <v>1.1357187866051989E-13</v>
      </c>
      <c r="I482" s="8">
        <f t="shared" si="53"/>
        <v>1.1357187866051989E-13</v>
      </c>
    </row>
    <row r="483" spans="1:9" x14ac:dyDescent="0.2">
      <c r="A483" s="5">
        <v>1038</v>
      </c>
      <c r="B483" s="6">
        <v>1.320435</v>
      </c>
      <c r="C483" s="6">
        <f t="shared" si="49"/>
        <v>1.2774350000000001</v>
      </c>
      <c r="D483" s="6">
        <f t="shared" si="50"/>
        <v>1325.9775300000001</v>
      </c>
      <c r="E483" s="6">
        <f t="shared" si="54"/>
        <v>-219.11176500000005</v>
      </c>
      <c r="F483" s="6">
        <f t="shared" si="55"/>
        <v>-7.1557499999999608E-3</v>
      </c>
      <c r="G483" s="6">
        <f t="shared" si="51"/>
        <v>859.6509872664285</v>
      </c>
      <c r="H483" s="7">
        <f t="shared" si="52"/>
        <v>1.1049880041699553E-13</v>
      </c>
      <c r="I483" s="8">
        <f t="shared" si="53"/>
        <v>1.1049880041699553E-13</v>
      </c>
    </row>
    <row r="484" spans="1:9" x14ac:dyDescent="0.2">
      <c r="A484" s="5">
        <v>1036</v>
      </c>
      <c r="B484" s="6">
        <v>1.3352029999999999</v>
      </c>
      <c r="C484" s="6">
        <f t="shared" si="49"/>
        <v>1.292203</v>
      </c>
      <c r="D484" s="6">
        <f t="shared" si="50"/>
        <v>1338.7223079999999</v>
      </c>
      <c r="E484" s="6">
        <f t="shared" si="54"/>
        <v>-221.68140300000005</v>
      </c>
      <c r="F484" s="6">
        <f t="shared" si="55"/>
        <v>-6.876749999999987E-3</v>
      </c>
      <c r="G484" s="6">
        <f t="shared" si="51"/>
        <v>867.0412795899914</v>
      </c>
      <c r="H484" s="7">
        <f t="shared" si="52"/>
        <v>1.1597038388355291E-13</v>
      </c>
      <c r="I484" s="8">
        <f t="shared" si="53"/>
        <v>1.1597038388355291E-13</v>
      </c>
    </row>
    <row r="485" spans="1:9" x14ac:dyDescent="0.2">
      <c r="A485" s="5">
        <v>1034</v>
      </c>
      <c r="B485" s="6">
        <v>1.347942</v>
      </c>
      <c r="C485" s="6">
        <f t="shared" si="49"/>
        <v>1.304942</v>
      </c>
      <c r="D485" s="6">
        <f t="shared" si="50"/>
        <v>1349.3100280000001</v>
      </c>
      <c r="E485" s="6">
        <f t="shared" si="54"/>
        <v>-224.27854800000006</v>
      </c>
      <c r="F485" s="6">
        <f t="shared" si="55"/>
        <v>-7.1740000000000137E-3</v>
      </c>
      <c r="G485" s="6">
        <f t="shared" si="51"/>
        <v>873.39072940078972</v>
      </c>
      <c r="H485" s="7">
        <f t="shared" si="52"/>
        <v>1.1197930345631085E-13</v>
      </c>
      <c r="I485" s="8">
        <f t="shared" si="53"/>
        <v>1.1197930345631085E-13</v>
      </c>
    </row>
    <row r="486" spans="1:9" x14ac:dyDescent="0.2">
      <c r="A486" s="5">
        <v>1032</v>
      </c>
      <c r="B486" s="6">
        <v>1.363899</v>
      </c>
      <c r="C486" s="6">
        <f t="shared" si="49"/>
        <v>1.320899</v>
      </c>
      <c r="D486" s="6">
        <f t="shared" si="50"/>
        <v>1363.167768</v>
      </c>
      <c r="E486" s="6">
        <f t="shared" si="54"/>
        <v>-226.90438900000007</v>
      </c>
      <c r="F486" s="6">
        <f t="shared" si="55"/>
        <v>-7.4637499999999912E-3</v>
      </c>
      <c r="G486" s="6">
        <f t="shared" si="51"/>
        <v>881.31220033138914</v>
      </c>
      <c r="H486" s="7">
        <f t="shared" si="52"/>
        <v>1.086083596262719E-13</v>
      </c>
      <c r="I486" s="8">
        <f t="shared" si="53"/>
        <v>1.086083596262719E-13</v>
      </c>
    </row>
    <row r="487" spans="1:9" x14ac:dyDescent="0.2">
      <c r="A487" s="5">
        <v>1030</v>
      </c>
      <c r="B487" s="6">
        <v>1.3777969999999999</v>
      </c>
      <c r="C487" s="6">
        <f t="shared" si="49"/>
        <v>1.334797</v>
      </c>
      <c r="D487" s="6">
        <f t="shared" si="50"/>
        <v>1374.8409100000001</v>
      </c>
      <c r="E487" s="6">
        <f t="shared" si="54"/>
        <v>-229.56008500000007</v>
      </c>
      <c r="F487" s="6">
        <f t="shared" si="55"/>
        <v>-6.4600000000000213E-3</v>
      </c>
      <c r="G487" s="6">
        <f t="shared" si="51"/>
        <v>888.1837339668765</v>
      </c>
      <c r="H487" s="7">
        <f t="shared" si="52"/>
        <v>1.264622351914415E-13</v>
      </c>
      <c r="I487" s="8">
        <f t="shared" si="53"/>
        <v>1.264622351914415E-13</v>
      </c>
    </row>
    <row r="488" spans="1:9" x14ac:dyDescent="0.2">
      <c r="A488" s="5">
        <v>1028</v>
      </c>
      <c r="B488" s="6">
        <v>1.3897390000000001</v>
      </c>
      <c r="C488" s="6">
        <f t="shared" si="49"/>
        <v>1.3467390000000001</v>
      </c>
      <c r="D488" s="6">
        <f t="shared" si="50"/>
        <v>1384.4476920000002</v>
      </c>
      <c r="E488" s="6">
        <f t="shared" si="54"/>
        <v>-232.24162100000007</v>
      </c>
      <c r="F488" s="6">
        <f t="shared" si="55"/>
        <v>-6.2717500000000204E-3</v>
      </c>
      <c r="G488" s="6">
        <f t="shared" si="51"/>
        <v>894.06428619331132</v>
      </c>
      <c r="H488" s="7">
        <f t="shared" si="52"/>
        <v>1.3112049042009426E-13</v>
      </c>
      <c r="I488" s="8">
        <f t="shared" si="53"/>
        <v>1.3112049042009426E-13</v>
      </c>
    </row>
    <row r="489" spans="1:9" x14ac:dyDescent="0.2">
      <c r="A489" s="5">
        <v>1026</v>
      </c>
      <c r="B489" s="6">
        <v>1.402884</v>
      </c>
      <c r="C489" s="6">
        <f t="shared" si="49"/>
        <v>1.3598840000000001</v>
      </c>
      <c r="D489" s="6">
        <f t="shared" si="50"/>
        <v>1395.240984</v>
      </c>
      <c r="E489" s="6">
        <f t="shared" si="54"/>
        <v>-234.94824400000007</v>
      </c>
      <c r="F489" s="6">
        <f t="shared" si="55"/>
        <v>-6.6267499999999591E-3</v>
      </c>
      <c r="G489" s="6">
        <f t="shared" si="51"/>
        <v>900.51093699187811</v>
      </c>
      <c r="H489" s="7">
        <f t="shared" si="52"/>
        <v>1.2499106293411431E-13</v>
      </c>
      <c r="I489" s="8">
        <f t="shared" si="53"/>
        <v>1.2499106293411431E-13</v>
      </c>
    </row>
    <row r="490" spans="1:9" x14ac:dyDescent="0.2">
      <c r="A490" s="5">
        <v>1024</v>
      </c>
      <c r="B490" s="6">
        <v>1.4162459999999999</v>
      </c>
      <c r="C490" s="6">
        <f t="shared" si="49"/>
        <v>1.373246</v>
      </c>
      <c r="D490" s="6">
        <f t="shared" si="50"/>
        <v>1406.203904</v>
      </c>
      <c r="E490" s="6">
        <f t="shared" si="54"/>
        <v>-237.68137400000006</v>
      </c>
      <c r="F490" s="6">
        <f t="shared" si="55"/>
        <v>-6.7174999999999874E-3</v>
      </c>
      <c r="G490" s="6">
        <f t="shared" si="51"/>
        <v>907.0372862494246</v>
      </c>
      <c r="H490" s="7">
        <f t="shared" si="52"/>
        <v>1.2419611804491665E-13</v>
      </c>
      <c r="I490" s="8">
        <f t="shared" si="53"/>
        <v>1.2419611804491665E-13</v>
      </c>
    </row>
    <row r="491" spans="1:9" x14ac:dyDescent="0.2">
      <c r="A491" s="5">
        <v>1022</v>
      </c>
      <c r="B491" s="6">
        <v>1.429754</v>
      </c>
      <c r="C491" s="6">
        <f t="shared" si="49"/>
        <v>1.386754</v>
      </c>
      <c r="D491" s="6">
        <f t="shared" si="50"/>
        <v>1417.2625880000001</v>
      </c>
      <c r="E491" s="6">
        <f t="shared" si="54"/>
        <v>-240.44137400000005</v>
      </c>
      <c r="F491" s="6">
        <f t="shared" si="55"/>
        <v>-6.8660000000000387E-3</v>
      </c>
      <c r="G491" s="6">
        <f t="shared" si="51"/>
        <v>913.60792971439537</v>
      </c>
      <c r="H491" s="7">
        <f t="shared" si="52"/>
        <v>1.223901924234685E-13</v>
      </c>
      <c r="I491" s="8">
        <f t="shared" si="53"/>
        <v>1.223901924234685E-13</v>
      </c>
    </row>
    <row r="492" spans="1:9" x14ac:dyDescent="0.2">
      <c r="A492" s="5">
        <v>1020</v>
      </c>
      <c r="B492" s="6">
        <v>1.44371</v>
      </c>
      <c r="C492" s="6">
        <f t="shared" si="49"/>
        <v>1.4007100000000001</v>
      </c>
      <c r="D492" s="6">
        <f t="shared" si="50"/>
        <v>1428.7242000000001</v>
      </c>
      <c r="E492" s="6">
        <f t="shared" si="54"/>
        <v>-243.22883800000005</v>
      </c>
      <c r="F492" s="6">
        <f t="shared" si="55"/>
        <v>-7.3695000000000288E-3</v>
      </c>
      <c r="G492" s="6">
        <f t="shared" si="51"/>
        <v>920.36858006242119</v>
      </c>
      <c r="H492" s="7">
        <f t="shared" si="52"/>
        <v>1.1487203563022061E-13</v>
      </c>
      <c r="I492" s="8">
        <f t="shared" si="53"/>
        <v>1.1487203563022061E-13</v>
      </c>
    </row>
    <row r="493" spans="1:9" x14ac:dyDescent="0.2">
      <c r="A493" s="5">
        <v>1018</v>
      </c>
      <c r="B493" s="6">
        <v>1.4592320000000001</v>
      </c>
      <c r="C493" s="6">
        <f t="shared" si="49"/>
        <v>1.4162320000000002</v>
      </c>
      <c r="D493" s="6">
        <f t="shared" si="50"/>
        <v>1441.7241760000002</v>
      </c>
      <c r="E493" s="6">
        <f t="shared" si="54"/>
        <v>-246.04578000000006</v>
      </c>
      <c r="F493" s="6">
        <f t="shared" si="55"/>
        <v>-7.2427499999999645E-3</v>
      </c>
      <c r="G493" s="6">
        <f t="shared" si="51"/>
        <v>927.85679764898293</v>
      </c>
      <c r="H493" s="7">
        <f t="shared" si="52"/>
        <v>1.1783329314559635E-13</v>
      </c>
      <c r="I493" s="8">
        <f t="shared" si="53"/>
        <v>1.1783329314559635E-13</v>
      </c>
    </row>
    <row r="494" spans="1:9" x14ac:dyDescent="0.2">
      <c r="A494" s="5">
        <v>1016</v>
      </c>
      <c r="B494" s="6">
        <v>1.4726809999999999</v>
      </c>
      <c r="C494" s="6">
        <f t="shared" si="49"/>
        <v>1.429681</v>
      </c>
      <c r="D494" s="6">
        <f t="shared" si="50"/>
        <v>1452.5558960000001</v>
      </c>
      <c r="E494" s="6">
        <f t="shared" si="54"/>
        <v>-248.89169300000006</v>
      </c>
      <c r="F494" s="6">
        <f t="shared" si="55"/>
        <v>-7.0869999999999544E-3</v>
      </c>
      <c r="G494" s="6">
        <f t="shared" si="51"/>
        <v>934.31804797533698</v>
      </c>
      <c r="H494" s="7">
        <f t="shared" si="52"/>
        <v>1.2126147918643219E-13</v>
      </c>
      <c r="I494" s="8">
        <f t="shared" si="53"/>
        <v>1.2126147918643219E-13</v>
      </c>
    </row>
    <row r="495" spans="1:9" x14ac:dyDescent="0.2">
      <c r="A495" s="5">
        <v>1014</v>
      </c>
      <c r="B495" s="6">
        <v>1.4875799999999999</v>
      </c>
      <c r="C495" s="6">
        <f t="shared" si="49"/>
        <v>1.44458</v>
      </c>
      <c r="D495" s="6">
        <f t="shared" si="50"/>
        <v>1464.80412</v>
      </c>
      <c r="E495" s="6">
        <f t="shared" si="54"/>
        <v>-251.76595400000005</v>
      </c>
      <c r="F495" s="6">
        <f t="shared" si="55"/>
        <v>-7.1957500000000008E-3</v>
      </c>
      <c r="G495" s="6">
        <f t="shared" si="51"/>
        <v>941.44611811515051</v>
      </c>
      <c r="H495" s="7">
        <f t="shared" si="52"/>
        <v>1.2033998664477574E-13</v>
      </c>
      <c r="I495" s="8">
        <f t="shared" si="53"/>
        <v>1.2033998664477574E-13</v>
      </c>
    </row>
    <row r="496" spans="1:9" x14ac:dyDescent="0.2">
      <c r="A496" s="5">
        <v>1012</v>
      </c>
      <c r="B496" s="6">
        <v>1.5014639999999999</v>
      </c>
      <c r="C496" s="6">
        <f t="shared" si="49"/>
        <v>1.458464</v>
      </c>
      <c r="D496" s="6">
        <f t="shared" si="50"/>
        <v>1475.9655680000001</v>
      </c>
      <c r="E496" s="6">
        <f t="shared" si="54"/>
        <v>-254.66899800000004</v>
      </c>
      <c r="F496" s="6">
        <f t="shared" si="55"/>
        <v>-6.6882500000000067E-3</v>
      </c>
      <c r="G496" s="6">
        <f t="shared" si="51"/>
        <v>948.06081778554244</v>
      </c>
      <c r="H496" s="7">
        <f t="shared" si="52"/>
        <v>1.3038098452418428E-13</v>
      </c>
      <c r="I496" s="8">
        <f t="shared" si="53"/>
        <v>1.3038098452418428E-13</v>
      </c>
    </row>
    <row r="497" spans="1:9" x14ac:dyDescent="0.2">
      <c r="A497" s="5">
        <v>1010</v>
      </c>
      <c r="B497" s="6">
        <v>1.5143329999999999</v>
      </c>
      <c r="C497" s="6">
        <f t="shared" si="49"/>
        <v>1.471333</v>
      </c>
      <c r="D497" s="6">
        <f t="shared" si="50"/>
        <v>1486.0463299999999</v>
      </c>
      <c r="E497" s="6">
        <f t="shared" si="54"/>
        <v>-257.59879500000005</v>
      </c>
      <c r="F497" s="6">
        <f t="shared" si="55"/>
        <v>-6.6665000000000196E-3</v>
      </c>
      <c r="G497" s="6">
        <f t="shared" si="51"/>
        <v>954.16620698651286</v>
      </c>
      <c r="H497" s="7">
        <f t="shared" si="52"/>
        <v>1.3164873920227008E-13</v>
      </c>
      <c r="I497" s="8">
        <f t="shared" si="53"/>
        <v>1.3164873920227008E-13</v>
      </c>
    </row>
    <row r="498" spans="1:9" x14ac:dyDescent="0.2">
      <c r="A498" s="5">
        <v>1008</v>
      </c>
      <c r="B498" s="6">
        <v>1.52813</v>
      </c>
      <c r="C498" s="6">
        <f t="shared" si="49"/>
        <v>1.4851300000000001</v>
      </c>
      <c r="D498" s="6">
        <f t="shared" si="50"/>
        <v>1497.0110400000001</v>
      </c>
      <c r="E498" s="6">
        <f t="shared" si="54"/>
        <v>-260.55525800000004</v>
      </c>
      <c r="F498" s="6">
        <f t="shared" si="55"/>
        <v>-6.9492500000000179E-3</v>
      </c>
      <c r="G498" s="6">
        <f t="shared" si="51"/>
        <v>960.6842695880971</v>
      </c>
      <c r="H498" s="7">
        <f t="shared" si="52"/>
        <v>1.2715495838311604E-13</v>
      </c>
      <c r="I498" s="8">
        <f t="shared" si="53"/>
        <v>1.2715495838311604E-13</v>
      </c>
    </row>
    <row r="499" spans="1:9" x14ac:dyDescent="0.2">
      <c r="A499" s="5">
        <v>1006</v>
      </c>
      <c r="B499" s="6">
        <v>1.54213</v>
      </c>
      <c r="C499" s="6">
        <f t="shared" si="49"/>
        <v>1.4991300000000001</v>
      </c>
      <c r="D499" s="6">
        <f t="shared" si="50"/>
        <v>1508.1247800000001</v>
      </c>
      <c r="E499" s="6">
        <f t="shared" si="54"/>
        <v>-263.53951800000004</v>
      </c>
      <c r="F499" s="6">
        <f t="shared" si="55"/>
        <v>-6.6014999999999824E-3</v>
      </c>
      <c r="G499" s="6">
        <f t="shared" si="51"/>
        <v>967.27023468356583</v>
      </c>
      <c r="H499" s="7">
        <f t="shared" si="52"/>
        <v>1.3477078323107943E-13</v>
      </c>
      <c r="I499" s="8">
        <f t="shared" si="53"/>
        <v>1.3477078323107943E-13</v>
      </c>
    </row>
    <row r="500" spans="1:9" x14ac:dyDescent="0.2">
      <c r="A500" s="5">
        <v>1004</v>
      </c>
      <c r="B500" s="6">
        <v>1.5545359999999999</v>
      </c>
      <c r="C500" s="6">
        <f t="shared" si="49"/>
        <v>1.511536</v>
      </c>
      <c r="D500" s="6">
        <f t="shared" si="50"/>
        <v>1517.582144</v>
      </c>
      <c r="E500" s="6">
        <f t="shared" si="54"/>
        <v>-266.55018400000006</v>
      </c>
      <c r="F500" s="6">
        <f t="shared" si="55"/>
        <v>-6.2499999999999778E-3</v>
      </c>
      <c r="G500" s="6">
        <f t="shared" si="51"/>
        <v>973.08152861030749</v>
      </c>
      <c r="H500" s="7">
        <f t="shared" si="52"/>
        <v>1.4320552297429152E-13</v>
      </c>
      <c r="I500" s="8">
        <f t="shared" si="53"/>
        <v>1.4320552297429152E-13</v>
      </c>
    </row>
    <row r="501" spans="1:9" x14ac:dyDescent="0.2">
      <c r="A501" s="5">
        <v>1002</v>
      </c>
      <c r="B501" s="6">
        <v>1.5671299999999999</v>
      </c>
      <c r="C501" s="6">
        <f t="shared" si="49"/>
        <v>1.52413</v>
      </c>
      <c r="D501" s="6">
        <f t="shared" si="50"/>
        <v>1527.1782599999999</v>
      </c>
      <c r="E501" s="6">
        <f t="shared" si="54"/>
        <v>-269.58585000000005</v>
      </c>
      <c r="F501" s="6">
        <f t="shared" si="55"/>
        <v>-6.4202500000000162E-3</v>
      </c>
      <c r="G501" s="6">
        <f t="shared" si="51"/>
        <v>978.95569863975982</v>
      </c>
      <c r="H501" s="7">
        <f t="shared" si="52"/>
        <v>1.4024960784059116E-13</v>
      </c>
      <c r="I501" s="8">
        <f t="shared" si="53"/>
        <v>1.4024960784059116E-13</v>
      </c>
    </row>
    <row r="502" spans="1:9" x14ac:dyDescent="0.2">
      <c r="A502" s="5">
        <v>1000</v>
      </c>
      <c r="B502" s="6">
        <v>1.580217</v>
      </c>
      <c r="C502" s="6">
        <f t="shared" si="49"/>
        <v>1.5372170000000001</v>
      </c>
      <c r="D502" s="6">
        <f t="shared" si="50"/>
        <v>1537.2170000000001</v>
      </c>
      <c r="E502" s="6">
        <f t="shared" si="54"/>
        <v>-272.64719700000006</v>
      </c>
      <c r="F502" s="6">
        <f t="shared" si="55"/>
        <v>-6.8697500000000078E-3</v>
      </c>
      <c r="G502" s="6">
        <f t="shared" si="51"/>
        <v>985.03364272578824</v>
      </c>
      <c r="H502" s="7">
        <f t="shared" si="52"/>
        <v>1.3188660446675528E-13</v>
      </c>
      <c r="I502" s="8">
        <f t="shared" si="53"/>
        <v>1.3188660446675528E-13</v>
      </c>
    </row>
    <row r="503" spans="1:9" x14ac:dyDescent="0.2">
      <c r="A503" s="5">
        <v>998</v>
      </c>
      <c r="B503" s="6">
        <v>1.5946089999999999</v>
      </c>
      <c r="C503" s="6">
        <f t="shared" si="49"/>
        <v>1.551609</v>
      </c>
      <c r="D503" s="6">
        <f t="shared" si="50"/>
        <v>1548.505782</v>
      </c>
      <c r="E503" s="6">
        <f t="shared" si="54"/>
        <v>-275.73602300000005</v>
      </c>
      <c r="F503" s="6">
        <f t="shared" si="55"/>
        <v>-6.4022499999999982E-3</v>
      </c>
      <c r="G503" s="6">
        <f t="shared" si="51"/>
        <v>991.68887884393007</v>
      </c>
      <c r="H503" s="7">
        <f t="shared" si="52"/>
        <v>1.4247326284669835E-13</v>
      </c>
      <c r="I503" s="8">
        <f t="shared" si="53"/>
        <v>1.4247326284669835E-13</v>
      </c>
    </row>
    <row r="504" spans="1:9" x14ac:dyDescent="0.2">
      <c r="A504" s="5">
        <v>996</v>
      </c>
      <c r="B504" s="6">
        <v>1.605826</v>
      </c>
      <c r="C504" s="6">
        <f t="shared" si="49"/>
        <v>1.562826</v>
      </c>
      <c r="D504" s="6">
        <f t="shared" si="50"/>
        <v>1556.5746960000001</v>
      </c>
      <c r="E504" s="6">
        <f t="shared" si="54"/>
        <v>-278.85045800000006</v>
      </c>
      <c r="F504" s="6">
        <f t="shared" si="55"/>
        <v>-6.2897500000000384E-3</v>
      </c>
      <c r="G504" s="6">
        <f t="shared" si="51"/>
        <v>996.85347816363515</v>
      </c>
      <c r="H504" s="7">
        <f t="shared" si="52"/>
        <v>1.457768296597041E-13</v>
      </c>
      <c r="I504" s="8">
        <f t="shared" si="53"/>
        <v>1.457768296597041E-13</v>
      </c>
    </row>
    <row r="505" spans="1:9" x14ac:dyDescent="0.2">
      <c r="A505" s="5">
        <v>994</v>
      </c>
      <c r="B505" s="6">
        <v>1.6197680000000001</v>
      </c>
      <c r="C505" s="6">
        <f t="shared" si="49"/>
        <v>1.5767680000000002</v>
      </c>
      <c r="D505" s="6">
        <f t="shared" si="50"/>
        <v>1567.3073920000002</v>
      </c>
      <c r="E505" s="6">
        <f t="shared" si="54"/>
        <v>-281.99005200000005</v>
      </c>
      <c r="F505" s="6">
        <f t="shared" si="55"/>
        <v>-6.9782500000000192E-3</v>
      </c>
      <c r="G505" s="6">
        <f t="shared" si="51"/>
        <v>1003.2448545465656</v>
      </c>
      <c r="H505" s="7">
        <f t="shared" si="52"/>
        <v>1.3223638645570885E-13</v>
      </c>
      <c r="I505" s="8">
        <f t="shared" si="53"/>
        <v>1.3223638645570885E-13</v>
      </c>
    </row>
    <row r="506" spans="1:9" x14ac:dyDescent="0.2">
      <c r="A506" s="5">
        <v>992</v>
      </c>
      <c r="B506" s="6">
        <v>1.6337390000000001</v>
      </c>
      <c r="C506" s="6">
        <f t="shared" si="49"/>
        <v>1.5907390000000001</v>
      </c>
      <c r="D506" s="6">
        <f t="shared" si="50"/>
        <v>1578.0130880000002</v>
      </c>
      <c r="E506" s="6">
        <f t="shared" si="54"/>
        <v>-285.15755900000005</v>
      </c>
      <c r="F506" s="6">
        <f t="shared" si="55"/>
        <v>-6.7354999999999499E-3</v>
      </c>
      <c r="G506" s="6">
        <f t="shared" si="51"/>
        <v>1009.6215832857649</v>
      </c>
      <c r="H506" s="7">
        <f t="shared" si="52"/>
        <v>1.3787303695385055E-13</v>
      </c>
      <c r="I506" s="8">
        <f t="shared" si="53"/>
        <v>1.3787303695385055E-13</v>
      </c>
    </row>
    <row r="507" spans="1:9" x14ac:dyDescent="0.2">
      <c r="A507" s="5">
        <v>990</v>
      </c>
      <c r="B507" s="6">
        <v>1.6467099999999999</v>
      </c>
      <c r="C507" s="6">
        <f t="shared" si="49"/>
        <v>1.60371</v>
      </c>
      <c r="D507" s="6">
        <f t="shared" si="50"/>
        <v>1587.6729</v>
      </c>
      <c r="E507" s="6">
        <f t="shared" si="54"/>
        <v>-288.35200800000007</v>
      </c>
      <c r="F507" s="6">
        <f t="shared" si="55"/>
        <v>-6.2102499999999727E-3</v>
      </c>
      <c r="G507" s="6">
        <f t="shared" si="51"/>
        <v>1015.5159439467167</v>
      </c>
      <c r="H507" s="7">
        <f t="shared" si="52"/>
        <v>1.5040705893851655E-13</v>
      </c>
      <c r="I507" s="8">
        <f t="shared" si="53"/>
        <v>1.5040705893851655E-13</v>
      </c>
    </row>
    <row r="508" spans="1:9" x14ac:dyDescent="0.2">
      <c r="A508" s="5">
        <v>988</v>
      </c>
      <c r="B508" s="6">
        <v>1.6585799999999999</v>
      </c>
      <c r="C508" s="6">
        <f t="shared" si="49"/>
        <v>1.61558</v>
      </c>
      <c r="D508" s="6">
        <f t="shared" si="50"/>
        <v>1596.1930400000001</v>
      </c>
      <c r="E508" s="6">
        <f t="shared" si="54"/>
        <v>-291.57129800000007</v>
      </c>
      <c r="F508" s="6">
        <f t="shared" si="55"/>
        <v>-6.3622500000000137E-3</v>
      </c>
      <c r="G508" s="6">
        <f t="shared" si="51"/>
        <v>1020.8862414955175</v>
      </c>
      <c r="H508" s="7">
        <f t="shared" si="52"/>
        <v>1.4759008291952404E-13</v>
      </c>
      <c r="I508" s="8">
        <f t="shared" si="53"/>
        <v>1.4759008291952404E-13</v>
      </c>
    </row>
    <row r="509" spans="1:9" x14ac:dyDescent="0.2">
      <c r="A509" s="5">
        <v>986</v>
      </c>
      <c r="B509" s="6">
        <v>1.672159</v>
      </c>
      <c r="C509" s="6">
        <f t="shared" si="49"/>
        <v>1.629159</v>
      </c>
      <c r="D509" s="6">
        <f t="shared" si="50"/>
        <v>1606.350774</v>
      </c>
      <c r="E509" s="6">
        <f t="shared" si="54"/>
        <v>-294.81603700000005</v>
      </c>
      <c r="F509" s="6">
        <f t="shared" si="55"/>
        <v>-6.7679999999999962E-3</v>
      </c>
      <c r="G509" s="6">
        <f t="shared" si="51"/>
        <v>1027.0025772120439</v>
      </c>
      <c r="H509" s="7">
        <f t="shared" si="52"/>
        <v>1.3957310486728171E-13</v>
      </c>
      <c r="I509" s="8">
        <f t="shared" si="53"/>
        <v>1.3957310486728171E-13</v>
      </c>
    </row>
    <row r="510" spans="1:9" x14ac:dyDescent="0.2">
      <c r="A510" s="5">
        <v>984</v>
      </c>
      <c r="B510" s="6">
        <v>1.6856519999999999</v>
      </c>
      <c r="C510" s="6">
        <f t="shared" si="49"/>
        <v>1.642652</v>
      </c>
      <c r="D510" s="6">
        <f t="shared" si="50"/>
        <v>1616.3695680000001</v>
      </c>
      <c r="E510" s="6">
        <f t="shared" si="54"/>
        <v>-298.08784800000006</v>
      </c>
      <c r="F510" s="6">
        <f t="shared" si="55"/>
        <v>-6.413250000000037E-3</v>
      </c>
      <c r="G510" s="6">
        <f t="shared" si="51"/>
        <v>1033.0531902858409</v>
      </c>
      <c r="H510" s="7">
        <f t="shared" si="52"/>
        <v>1.4816139884435394E-13</v>
      </c>
      <c r="I510" s="8">
        <f t="shared" si="53"/>
        <v>1.4816139884435394E-13</v>
      </c>
    </row>
    <row r="511" spans="1:9" x14ac:dyDescent="0.2">
      <c r="A511" s="5">
        <v>982</v>
      </c>
      <c r="B511" s="6">
        <v>1.6978120000000001</v>
      </c>
      <c r="C511" s="6">
        <f t="shared" si="49"/>
        <v>1.6548120000000002</v>
      </c>
      <c r="D511" s="6">
        <f t="shared" si="50"/>
        <v>1625.0253840000003</v>
      </c>
      <c r="E511" s="6">
        <f t="shared" si="54"/>
        <v>-301.38531200000006</v>
      </c>
      <c r="F511" s="6">
        <f t="shared" si="55"/>
        <v>-6.2102500000000282E-3</v>
      </c>
      <c r="G511" s="6">
        <f t="shared" si="51"/>
        <v>1038.4817313973338</v>
      </c>
      <c r="H511" s="7">
        <f t="shared" si="52"/>
        <v>1.5380849893287889E-13</v>
      </c>
      <c r="I511" s="8">
        <f t="shared" si="53"/>
        <v>1.5380849893287889E-13</v>
      </c>
    </row>
    <row r="512" spans="1:9" x14ac:dyDescent="0.2">
      <c r="A512" s="5">
        <v>980</v>
      </c>
      <c r="B512" s="6">
        <v>1.710493</v>
      </c>
      <c r="C512" s="6">
        <f t="shared" si="49"/>
        <v>1.6674930000000001</v>
      </c>
      <c r="D512" s="6">
        <f t="shared" si="50"/>
        <v>1634.1431400000001</v>
      </c>
      <c r="E512" s="6">
        <f t="shared" si="54"/>
        <v>-304.70761700000003</v>
      </c>
      <c r="F512" s="6">
        <f t="shared" si="55"/>
        <v>-7.2389999999999954E-3</v>
      </c>
      <c r="G512" s="6">
        <f t="shared" si="51"/>
        <v>1044.1174984955937</v>
      </c>
      <c r="H512" s="7">
        <f t="shared" si="52"/>
        <v>1.3266652508212892E-13</v>
      </c>
      <c r="I512" s="8">
        <f t="shared" si="53"/>
        <v>1.3266652508212892E-13</v>
      </c>
    </row>
    <row r="513" spans="1:9" x14ac:dyDescent="0.2">
      <c r="A513" s="5">
        <v>978</v>
      </c>
      <c r="B513" s="6">
        <v>1.7267680000000001</v>
      </c>
      <c r="C513" s="6">
        <f t="shared" si="49"/>
        <v>1.6837680000000002</v>
      </c>
      <c r="D513" s="6">
        <f t="shared" si="50"/>
        <v>1646.7251040000001</v>
      </c>
      <c r="E513" s="6">
        <f t="shared" si="54"/>
        <v>-308.05887800000005</v>
      </c>
      <c r="F513" s="6">
        <f t="shared" si="55"/>
        <v>-8.0687500000000134E-3</v>
      </c>
      <c r="G513" s="6">
        <f t="shared" si="51"/>
        <v>1051.3179829190758</v>
      </c>
      <c r="H513" s="7">
        <f t="shared" si="52"/>
        <v>1.1984457780890676E-13</v>
      </c>
      <c r="I513" s="8">
        <f t="shared" si="53"/>
        <v>1.1984457780890676E-13</v>
      </c>
    </row>
    <row r="514" spans="1:9" x14ac:dyDescent="0.2">
      <c r="A514" s="5">
        <v>976</v>
      </c>
      <c r="B514" s="6">
        <v>1.7427680000000001</v>
      </c>
      <c r="C514" s="6">
        <f t="shared" ref="C514:C577" si="56">B514-$B$2</f>
        <v>1.6997680000000002</v>
      </c>
      <c r="D514" s="6">
        <f t="shared" ref="D514:D577" si="57">A514*C514</f>
        <v>1658.9735680000001</v>
      </c>
      <c r="E514" s="6">
        <f t="shared" si="54"/>
        <v>-311.44241400000004</v>
      </c>
      <c r="F514" s="6">
        <f t="shared" si="55"/>
        <v>-7.068749999999957E-3</v>
      </c>
      <c r="G514" s="6">
        <f t="shared" ref="G514:G577" si="58">(A514-$L$5)*C514-E514</f>
        <v>1058.3648001710401</v>
      </c>
      <c r="H514" s="7">
        <f t="shared" ref="H514:H577" si="59">IF(ABS(F514)&lt;0.000000001,"",-(G514)/(2*$L$4*F514)*0.000000000001)</f>
        <v>1.3771565795714285E-13</v>
      </c>
      <c r="I514" s="8">
        <f t="shared" ref="I514:I577" si="60">IF(AND(B514&gt;=0.5,B514&lt;=2.5,ISNUMBER(H514),H514&gt;0),H514,"")</f>
        <v>1.3771565795714285E-13</v>
      </c>
    </row>
    <row r="515" spans="1:9" x14ac:dyDescent="0.2">
      <c r="A515" s="5">
        <v>974</v>
      </c>
      <c r="B515" s="6">
        <v>1.7550429999999999</v>
      </c>
      <c r="C515" s="6">
        <f t="shared" si="56"/>
        <v>1.712043</v>
      </c>
      <c r="D515" s="6">
        <f t="shared" si="57"/>
        <v>1667.529882</v>
      </c>
      <c r="E515" s="6">
        <f t="shared" ref="E515:E578" si="61">E514+(C514+C515)/2*(A515-A514)</f>
        <v>-314.85422500000004</v>
      </c>
      <c r="F515" s="6">
        <f t="shared" ref="F515:F578" si="62">(B516-B514)/(A516-A514)</f>
        <v>-6.8187499999999845E-3</v>
      </c>
      <c r="G515" s="6">
        <f t="shared" si="58"/>
        <v>1063.7464802815311</v>
      </c>
      <c r="H515" s="7">
        <f t="shared" si="59"/>
        <v>1.4349075623507789E-13</v>
      </c>
      <c r="I515" s="8">
        <f t="shared" si="60"/>
        <v>1.4349075623507789E-13</v>
      </c>
    </row>
    <row r="516" spans="1:9" x14ac:dyDescent="0.2">
      <c r="A516" s="5">
        <v>972</v>
      </c>
      <c r="B516" s="6">
        <v>1.770043</v>
      </c>
      <c r="C516" s="6">
        <f t="shared" si="56"/>
        <v>1.7270430000000001</v>
      </c>
      <c r="D516" s="6">
        <f t="shared" si="57"/>
        <v>1678.6857960000002</v>
      </c>
      <c r="E516" s="6">
        <f t="shared" si="61"/>
        <v>-318.29331100000002</v>
      </c>
      <c r="F516" s="6">
        <f t="shared" si="62"/>
        <v>-6.7755000000000454E-3</v>
      </c>
      <c r="G516" s="6">
        <f t="shared" si="58"/>
        <v>1070.2928714552477</v>
      </c>
      <c r="H516" s="7">
        <f t="shared" si="59"/>
        <v>1.4529539151052778E-13</v>
      </c>
      <c r="I516" s="8">
        <f t="shared" si="60"/>
        <v>1.4529539151052778E-13</v>
      </c>
    </row>
    <row r="517" spans="1:9" x14ac:dyDescent="0.2">
      <c r="A517" s="5">
        <v>970</v>
      </c>
      <c r="B517" s="6">
        <v>1.7821450000000001</v>
      </c>
      <c r="C517" s="6">
        <f t="shared" si="56"/>
        <v>1.7391450000000002</v>
      </c>
      <c r="D517" s="6">
        <f t="shared" si="57"/>
        <v>1686.9706500000002</v>
      </c>
      <c r="E517" s="6">
        <f t="shared" si="61"/>
        <v>-321.75949900000001</v>
      </c>
      <c r="F517" s="6">
        <f t="shared" si="62"/>
        <v>-6.3225000000000087E-3</v>
      </c>
      <c r="G517" s="6">
        <f t="shared" si="58"/>
        <v>1075.5502958542022</v>
      </c>
      <c r="H517" s="7">
        <f t="shared" si="59"/>
        <v>1.5647048990419024E-13</v>
      </c>
      <c r="I517" s="8">
        <f t="shared" si="60"/>
        <v>1.5647048990419024E-13</v>
      </c>
    </row>
    <row r="518" spans="1:9" x14ac:dyDescent="0.2">
      <c r="A518" s="5">
        <v>968</v>
      </c>
      <c r="B518" s="6">
        <v>1.7953330000000001</v>
      </c>
      <c r="C518" s="6">
        <f t="shared" si="56"/>
        <v>1.7523330000000001</v>
      </c>
      <c r="D518" s="6">
        <f t="shared" si="57"/>
        <v>1696.2583440000001</v>
      </c>
      <c r="E518" s="6">
        <f t="shared" si="61"/>
        <v>-325.25097699999998</v>
      </c>
      <c r="F518" s="6">
        <f t="shared" si="62"/>
        <v>-7.2102499999999736E-3</v>
      </c>
      <c r="G518" s="6">
        <f t="shared" si="58"/>
        <v>1081.2531309741337</v>
      </c>
      <c r="H518" s="7">
        <f t="shared" si="59"/>
        <v>1.3793281866128332E-13</v>
      </c>
      <c r="I518" s="8">
        <f t="shared" si="60"/>
        <v>1.3793281866128332E-13</v>
      </c>
    </row>
    <row r="519" spans="1:9" x14ac:dyDescent="0.2">
      <c r="A519" s="5">
        <v>966</v>
      </c>
      <c r="B519" s="6">
        <v>1.810986</v>
      </c>
      <c r="C519" s="6">
        <f t="shared" si="56"/>
        <v>1.7679860000000001</v>
      </c>
      <c r="D519" s="6">
        <f t="shared" si="57"/>
        <v>1707.874476</v>
      </c>
      <c r="E519" s="6">
        <f t="shared" si="61"/>
        <v>-328.77129599999995</v>
      </c>
      <c r="F519" s="6">
        <f t="shared" si="62"/>
        <v>-6.7827500000000041E-3</v>
      </c>
      <c r="G519" s="6">
        <f t="shared" si="58"/>
        <v>1087.9905903769456</v>
      </c>
      <c r="H519" s="7">
        <f t="shared" si="59"/>
        <v>1.4754003615914067E-13</v>
      </c>
      <c r="I519" s="8">
        <f t="shared" si="60"/>
        <v>1.4754003615914067E-13</v>
      </c>
    </row>
    <row r="520" spans="1:9" x14ac:dyDescent="0.2">
      <c r="A520" s="5">
        <v>964</v>
      </c>
      <c r="B520" s="6">
        <v>1.8224640000000001</v>
      </c>
      <c r="C520" s="6">
        <f t="shared" si="56"/>
        <v>1.7794640000000002</v>
      </c>
      <c r="D520" s="6">
        <f t="shared" si="57"/>
        <v>1715.4032960000002</v>
      </c>
      <c r="E520" s="6">
        <f t="shared" si="61"/>
        <v>-332.31874599999998</v>
      </c>
      <c r="F520" s="6">
        <f t="shared" si="62"/>
        <v>-6.1050000000000271E-3</v>
      </c>
      <c r="G520" s="6">
        <f t="shared" si="58"/>
        <v>1092.9080649030736</v>
      </c>
      <c r="H520" s="7">
        <f t="shared" si="59"/>
        <v>1.6466015457104738E-13</v>
      </c>
      <c r="I520" s="8">
        <f t="shared" si="60"/>
        <v>1.6466015457104738E-13</v>
      </c>
    </row>
    <row r="521" spans="1:9" x14ac:dyDescent="0.2">
      <c r="A521" s="5">
        <v>962</v>
      </c>
      <c r="B521" s="6">
        <v>1.8354060000000001</v>
      </c>
      <c r="C521" s="6">
        <f t="shared" si="56"/>
        <v>1.7924060000000002</v>
      </c>
      <c r="D521" s="6">
        <f t="shared" si="57"/>
        <v>1724.2945720000002</v>
      </c>
      <c r="E521" s="6">
        <f t="shared" si="61"/>
        <v>-335.89061599999997</v>
      </c>
      <c r="F521" s="6">
        <f t="shared" si="62"/>
        <v>-6.6087499999999966E-3</v>
      </c>
      <c r="G521" s="6">
        <f t="shared" si="58"/>
        <v>1098.426871207756</v>
      </c>
      <c r="H521" s="7">
        <f t="shared" si="59"/>
        <v>1.5287708089966415E-13</v>
      </c>
      <c r="I521" s="8">
        <f t="shared" si="60"/>
        <v>1.5287708089966415E-13</v>
      </c>
    </row>
    <row r="522" spans="1:9" x14ac:dyDescent="0.2">
      <c r="A522" s="5">
        <v>960</v>
      </c>
      <c r="B522" s="6">
        <v>1.8488990000000001</v>
      </c>
      <c r="C522" s="6">
        <f t="shared" si="56"/>
        <v>1.8058990000000001</v>
      </c>
      <c r="D522" s="6">
        <f t="shared" si="57"/>
        <v>1733.6630400000001</v>
      </c>
      <c r="E522" s="6">
        <f t="shared" si="61"/>
        <v>-339.48892099999995</v>
      </c>
      <c r="F522" s="6">
        <f t="shared" si="62"/>
        <v>-6.5724999999999811E-3</v>
      </c>
      <c r="G522" s="6">
        <f t="shared" si="58"/>
        <v>1104.1536522815531</v>
      </c>
      <c r="H522" s="7">
        <f t="shared" si="59"/>
        <v>1.5452169906014567E-13</v>
      </c>
      <c r="I522" s="8">
        <f t="shared" si="60"/>
        <v>1.5452169906014567E-13</v>
      </c>
    </row>
    <row r="523" spans="1:9" x14ac:dyDescent="0.2">
      <c r="A523" s="5">
        <v>958</v>
      </c>
      <c r="B523" s="6">
        <v>1.861696</v>
      </c>
      <c r="C523" s="6">
        <f t="shared" si="56"/>
        <v>1.8186960000000001</v>
      </c>
      <c r="D523" s="6">
        <f t="shared" si="57"/>
        <v>1742.3107680000001</v>
      </c>
      <c r="E523" s="6">
        <f t="shared" si="61"/>
        <v>-343.11351599999995</v>
      </c>
      <c r="F523" s="6">
        <f t="shared" si="62"/>
        <v>-6.2462500000000087E-3</v>
      </c>
      <c r="G523" s="6">
        <f t="shared" si="58"/>
        <v>1109.5594388048896</v>
      </c>
      <c r="H523" s="7">
        <f t="shared" si="59"/>
        <v>1.6338860546716375E-13</v>
      </c>
      <c r="I523" s="8">
        <f t="shared" si="60"/>
        <v>1.6338860546716375E-13</v>
      </c>
    </row>
    <row r="524" spans="1:9" x14ac:dyDescent="0.2">
      <c r="A524" s="5">
        <v>956</v>
      </c>
      <c r="B524" s="6">
        <v>1.8738840000000001</v>
      </c>
      <c r="C524" s="6">
        <f t="shared" si="56"/>
        <v>1.8308840000000002</v>
      </c>
      <c r="D524" s="6">
        <f t="shared" si="57"/>
        <v>1750.3251040000002</v>
      </c>
      <c r="E524" s="6">
        <f t="shared" si="61"/>
        <v>-346.76309599999996</v>
      </c>
      <c r="F524" s="6">
        <f t="shared" si="62"/>
        <v>-6.4092499999999775E-3</v>
      </c>
      <c r="G524" s="6">
        <f t="shared" si="58"/>
        <v>1114.6835918465733</v>
      </c>
      <c r="H524" s="7">
        <f t="shared" si="59"/>
        <v>1.5996867682625184E-13</v>
      </c>
      <c r="I524" s="8">
        <f t="shared" si="60"/>
        <v>1.5996867682625184E-13</v>
      </c>
    </row>
    <row r="525" spans="1:9" x14ac:dyDescent="0.2">
      <c r="A525" s="5">
        <v>954</v>
      </c>
      <c r="B525" s="6">
        <v>1.8873329999999999</v>
      </c>
      <c r="C525" s="6">
        <f t="shared" si="56"/>
        <v>1.844333</v>
      </c>
      <c r="D525" s="6">
        <f t="shared" si="57"/>
        <v>1759.493682</v>
      </c>
      <c r="E525" s="6">
        <f t="shared" si="61"/>
        <v>-350.43831299999994</v>
      </c>
      <c r="F525" s="6">
        <f t="shared" si="62"/>
        <v>-6.3514999999999544E-3</v>
      </c>
      <c r="G525" s="6">
        <f t="shared" si="58"/>
        <v>1120.3110041729276</v>
      </c>
      <c r="H525" s="7">
        <f t="shared" si="59"/>
        <v>1.6223810152743228E-13</v>
      </c>
      <c r="I525" s="8">
        <f t="shared" si="60"/>
        <v>1.6223810152743228E-13</v>
      </c>
    </row>
    <row r="526" spans="1:9" x14ac:dyDescent="0.2">
      <c r="A526" s="5">
        <v>952</v>
      </c>
      <c r="B526" s="6">
        <v>1.8992899999999999</v>
      </c>
      <c r="C526" s="6">
        <f t="shared" si="56"/>
        <v>1.85629</v>
      </c>
      <c r="D526" s="6">
        <f t="shared" si="57"/>
        <v>1767.1880799999999</v>
      </c>
      <c r="E526" s="6">
        <f t="shared" si="61"/>
        <v>-354.13893599999994</v>
      </c>
      <c r="F526" s="6">
        <f t="shared" si="62"/>
        <v>-5.9060000000000223E-3</v>
      </c>
      <c r="G526" s="6">
        <f t="shared" si="58"/>
        <v>1125.2902107905361</v>
      </c>
      <c r="H526" s="7">
        <f t="shared" si="59"/>
        <v>1.7525146394422163E-13</v>
      </c>
      <c r="I526" s="8">
        <f t="shared" si="60"/>
        <v>1.7525146394422163E-13</v>
      </c>
    </row>
    <row r="527" spans="1:9" x14ac:dyDescent="0.2">
      <c r="A527" s="5">
        <v>950</v>
      </c>
      <c r="B527" s="6">
        <v>1.910957</v>
      </c>
      <c r="C527" s="6">
        <f t="shared" si="56"/>
        <v>1.8679570000000001</v>
      </c>
      <c r="D527" s="6">
        <f t="shared" si="57"/>
        <v>1774.55915</v>
      </c>
      <c r="E527" s="6">
        <f t="shared" si="61"/>
        <v>-357.86318299999994</v>
      </c>
      <c r="F527" s="6">
        <f t="shared" si="62"/>
        <v>-5.8877500000000249E-3</v>
      </c>
      <c r="G527" s="6">
        <f t="shared" si="58"/>
        <v>1130.1253198454526</v>
      </c>
      <c r="H527" s="7">
        <f t="shared" si="59"/>
        <v>1.7655003187787689E-13</v>
      </c>
      <c r="I527" s="8">
        <f t="shared" si="60"/>
        <v>1.7655003187787689E-13</v>
      </c>
    </row>
    <row r="528" spans="1:9" x14ac:dyDescent="0.2">
      <c r="A528" s="5">
        <v>948</v>
      </c>
      <c r="B528" s="6">
        <v>1.922841</v>
      </c>
      <c r="C528" s="6">
        <f t="shared" si="56"/>
        <v>1.8798410000000001</v>
      </c>
      <c r="D528" s="6">
        <f t="shared" si="57"/>
        <v>1782.0892680000002</v>
      </c>
      <c r="E528" s="6">
        <f t="shared" si="61"/>
        <v>-361.61098099999992</v>
      </c>
      <c r="F528" s="6">
        <f t="shared" si="62"/>
        <v>-5.6809999999999916E-3</v>
      </c>
      <c r="G528" s="6">
        <f t="shared" si="58"/>
        <v>1135.0265913593489</v>
      </c>
      <c r="H528" s="7">
        <f t="shared" si="59"/>
        <v>1.837688100957451E-13</v>
      </c>
      <c r="I528" s="8">
        <f t="shared" si="60"/>
        <v>1.837688100957451E-13</v>
      </c>
    </row>
    <row r="529" spans="1:9" x14ac:dyDescent="0.2">
      <c r="A529" s="5">
        <v>946</v>
      </c>
      <c r="B529" s="6">
        <v>1.933681</v>
      </c>
      <c r="C529" s="6">
        <f t="shared" si="56"/>
        <v>1.8906810000000001</v>
      </c>
      <c r="D529" s="6">
        <f t="shared" si="57"/>
        <v>1788.5842259999999</v>
      </c>
      <c r="E529" s="6">
        <f t="shared" si="61"/>
        <v>-365.38150299999995</v>
      </c>
      <c r="F529" s="6">
        <f t="shared" si="62"/>
        <v>-5.5397500000000099E-3</v>
      </c>
      <c r="G529" s="6">
        <f t="shared" si="58"/>
        <v>1139.4756100475547</v>
      </c>
      <c r="H529" s="7">
        <f t="shared" si="59"/>
        <v>1.8919315685701194E-13</v>
      </c>
      <c r="I529" s="8">
        <f t="shared" si="60"/>
        <v>1.8919315685701194E-13</v>
      </c>
    </row>
    <row r="530" spans="1:9" x14ac:dyDescent="0.2">
      <c r="A530" s="5">
        <v>944</v>
      </c>
      <c r="B530" s="6">
        <v>1.9450000000000001</v>
      </c>
      <c r="C530" s="6">
        <f t="shared" si="56"/>
        <v>1.9020000000000001</v>
      </c>
      <c r="D530" s="6">
        <f t="shared" si="57"/>
        <v>1795.4880000000001</v>
      </c>
      <c r="E530" s="6">
        <f t="shared" si="61"/>
        <v>-369.17418399999997</v>
      </c>
      <c r="F530" s="6">
        <f t="shared" si="62"/>
        <v>-5.7102500000000278E-3</v>
      </c>
      <c r="G530" s="6">
        <f t="shared" si="58"/>
        <v>1144.0985848272412</v>
      </c>
      <c r="H530" s="7">
        <f t="shared" si="59"/>
        <v>1.8428877457320703E-13</v>
      </c>
      <c r="I530" s="8">
        <f t="shared" si="60"/>
        <v>1.8428877457320703E-13</v>
      </c>
    </row>
    <row r="531" spans="1:9" x14ac:dyDescent="0.2">
      <c r="A531" s="5">
        <v>942</v>
      </c>
      <c r="B531" s="6">
        <v>1.9565220000000001</v>
      </c>
      <c r="C531" s="6">
        <f t="shared" si="56"/>
        <v>1.9135220000000002</v>
      </c>
      <c r="D531" s="6">
        <f t="shared" si="57"/>
        <v>1802.5377240000003</v>
      </c>
      <c r="E531" s="6">
        <f t="shared" si="61"/>
        <v>-372.98970599999996</v>
      </c>
      <c r="F531" s="6">
        <f t="shared" si="62"/>
        <v>-6.2319999999999598E-3</v>
      </c>
      <c r="G531" s="6">
        <f t="shared" si="58"/>
        <v>1148.781426100812</v>
      </c>
      <c r="H531" s="7">
        <f t="shared" si="59"/>
        <v>1.6955106292595366E-13</v>
      </c>
      <c r="I531" s="8">
        <f t="shared" si="60"/>
        <v>1.6955106292595366E-13</v>
      </c>
    </row>
    <row r="532" spans="1:9" x14ac:dyDescent="0.2">
      <c r="A532" s="5">
        <v>940</v>
      </c>
      <c r="B532" s="6">
        <v>1.9699279999999999</v>
      </c>
      <c r="C532" s="6">
        <f t="shared" si="56"/>
        <v>1.926928</v>
      </c>
      <c r="D532" s="6">
        <f t="shared" si="57"/>
        <v>1811.31232</v>
      </c>
      <c r="E532" s="6">
        <f t="shared" si="61"/>
        <v>-376.83015599999993</v>
      </c>
      <c r="F532" s="6">
        <f t="shared" si="62"/>
        <v>-6.3874999999999904E-3</v>
      </c>
      <c r="G532" s="6">
        <f t="shared" si="58"/>
        <v>1154.2031621058013</v>
      </c>
      <c r="H532" s="7">
        <f t="shared" si="59"/>
        <v>1.6620416504391294E-13</v>
      </c>
      <c r="I532" s="8">
        <f t="shared" si="60"/>
        <v>1.6620416504391294E-13</v>
      </c>
    </row>
    <row r="533" spans="1:9" x14ac:dyDescent="0.2">
      <c r="A533" s="5">
        <v>938</v>
      </c>
      <c r="B533" s="6">
        <v>1.9820720000000001</v>
      </c>
      <c r="C533" s="6">
        <f t="shared" si="56"/>
        <v>1.9390720000000001</v>
      </c>
      <c r="D533" s="6">
        <f t="shared" si="57"/>
        <v>1818.8495360000002</v>
      </c>
      <c r="E533" s="6">
        <f t="shared" si="61"/>
        <v>-380.69615599999992</v>
      </c>
      <c r="F533" s="6">
        <f t="shared" si="62"/>
        <v>-5.7210000000000316E-3</v>
      </c>
      <c r="G533" s="6">
        <f t="shared" si="58"/>
        <v>1159.0902244000422</v>
      </c>
      <c r="H533" s="7">
        <f t="shared" si="59"/>
        <v>1.8635276955574833E-13</v>
      </c>
      <c r="I533" s="8">
        <f t="shared" si="60"/>
        <v>1.8635276955574833E-13</v>
      </c>
    </row>
    <row r="534" spans="1:9" x14ac:dyDescent="0.2">
      <c r="A534" s="5">
        <v>936</v>
      </c>
      <c r="B534" s="6">
        <v>1.992812</v>
      </c>
      <c r="C534" s="6">
        <f t="shared" si="56"/>
        <v>1.9498120000000001</v>
      </c>
      <c r="D534" s="6">
        <f t="shared" si="57"/>
        <v>1825.024032</v>
      </c>
      <c r="E534" s="6">
        <f t="shared" si="61"/>
        <v>-384.58503999999994</v>
      </c>
      <c r="F534" s="6">
        <f t="shared" si="62"/>
        <v>-5.2572499999999911E-3</v>
      </c>
      <c r="G534" s="6">
        <f t="shared" si="58"/>
        <v>1163.390800480423</v>
      </c>
      <c r="H534" s="7">
        <f t="shared" si="59"/>
        <v>2.0354364706988519E-13</v>
      </c>
      <c r="I534" s="8">
        <f t="shared" si="60"/>
        <v>2.0354364706988519E-13</v>
      </c>
    </row>
    <row r="535" spans="1:9" x14ac:dyDescent="0.2">
      <c r="A535" s="5">
        <v>934</v>
      </c>
      <c r="B535" s="6">
        <v>2.003101</v>
      </c>
      <c r="C535" s="6">
        <f t="shared" si="56"/>
        <v>1.9601010000000001</v>
      </c>
      <c r="D535" s="6">
        <f t="shared" si="57"/>
        <v>1830.734334</v>
      </c>
      <c r="E535" s="6">
        <f t="shared" si="61"/>
        <v>-388.49495299999995</v>
      </c>
      <c r="F535" s="6">
        <f t="shared" si="62"/>
        <v>-5.2862499999999923E-3</v>
      </c>
      <c r="G535" s="6">
        <f t="shared" si="58"/>
        <v>1167.4902063995144</v>
      </c>
      <c r="H535" s="7">
        <f t="shared" si="59"/>
        <v>2.0314030690703996E-13</v>
      </c>
      <c r="I535" s="8">
        <f t="shared" si="60"/>
        <v>2.0314030690703996E-13</v>
      </c>
    </row>
    <row r="536" spans="1:9" x14ac:dyDescent="0.2">
      <c r="A536" s="5">
        <v>932</v>
      </c>
      <c r="B536" s="6">
        <v>2.013957</v>
      </c>
      <c r="C536" s="6">
        <f t="shared" si="56"/>
        <v>1.9709570000000001</v>
      </c>
      <c r="D536" s="6">
        <f t="shared" si="57"/>
        <v>1836.931924</v>
      </c>
      <c r="E536" s="6">
        <f t="shared" si="61"/>
        <v>-392.42601099999996</v>
      </c>
      <c r="F536" s="6">
        <f t="shared" si="62"/>
        <v>-5.7427500000000187E-3</v>
      </c>
      <c r="G536" s="6">
        <f t="shared" si="58"/>
        <v>1171.793807904972</v>
      </c>
      <c r="H536" s="7">
        <f t="shared" si="59"/>
        <v>1.8768166367764149E-13</v>
      </c>
      <c r="I536" s="8">
        <f t="shared" si="60"/>
        <v>1.8768166367764149E-13</v>
      </c>
    </row>
    <row r="537" spans="1:9" x14ac:dyDescent="0.2">
      <c r="A537" s="5">
        <v>930</v>
      </c>
      <c r="B537" s="6">
        <v>2.0260720000000001</v>
      </c>
      <c r="C537" s="6">
        <f t="shared" si="56"/>
        <v>1.9830720000000002</v>
      </c>
      <c r="D537" s="6">
        <f t="shared" si="57"/>
        <v>1844.2569600000002</v>
      </c>
      <c r="E537" s="6">
        <f t="shared" si="61"/>
        <v>-396.38003999999995</v>
      </c>
      <c r="F537" s="6">
        <f t="shared" si="62"/>
        <v>-6.1122500000000413E-3</v>
      </c>
      <c r="G537" s="6">
        <f t="shared" si="58"/>
        <v>1176.5722798429438</v>
      </c>
      <c r="H537" s="7">
        <f t="shared" si="59"/>
        <v>1.7705494437248854E-13</v>
      </c>
      <c r="I537" s="8">
        <f t="shared" si="60"/>
        <v>1.7705494437248854E-13</v>
      </c>
    </row>
    <row r="538" spans="1:9" x14ac:dyDescent="0.2">
      <c r="A538" s="5">
        <v>928</v>
      </c>
      <c r="B538" s="6">
        <v>2.0384060000000002</v>
      </c>
      <c r="C538" s="6">
        <f t="shared" si="56"/>
        <v>1.9954060000000002</v>
      </c>
      <c r="D538" s="6">
        <f t="shared" si="57"/>
        <v>1851.7367680000002</v>
      </c>
      <c r="E538" s="6">
        <f t="shared" si="61"/>
        <v>-400.35851799999995</v>
      </c>
      <c r="F538" s="6">
        <f t="shared" si="62"/>
        <v>-5.8152499999999385E-3</v>
      </c>
      <c r="G538" s="6">
        <f t="shared" si="58"/>
        <v>1181.4124630920517</v>
      </c>
      <c r="H538" s="7">
        <f t="shared" si="59"/>
        <v>1.8686317098806746E-13</v>
      </c>
      <c r="I538" s="8">
        <f t="shared" si="60"/>
        <v>1.8686317098806746E-13</v>
      </c>
    </row>
    <row r="539" spans="1:9" x14ac:dyDescent="0.2">
      <c r="A539" s="5">
        <v>926</v>
      </c>
      <c r="B539" s="6">
        <v>2.0493329999999998</v>
      </c>
      <c r="C539" s="6">
        <f t="shared" si="56"/>
        <v>2.0063329999999997</v>
      </c>
      <c r="D539" s="6">
        <f t="shared" si="57"/>
        <v>1857.8643579999998</v>
      </c>
      <c r="E539" s="6">
        <f t="shared" si="61"/>
        <v>-404.36025699999993</v>
      </c>
      <c r="F539" s="6">
        <f t="shared" si="62"/>
        <v>-5.7389999999999386E-3</v>
      </c>
      <c r="G539" s="6">
        <f t="shared" si="58"/>
        <v>1185.6786488490648</v>
      </c>
      <c r="H539" s="7">
        <f t="shared" si="59"/>
        <v>1.9002963356092383E-13</v>
      </c>
      <c r="I539" s="8">
        <f t="shared" si="60"/>
        <v>1.9002963356092383E-13</v>
      </c>
    </row>
    <row r="540" spans="1:9" x14ac:dyDescent="0.2">
      <c r="A540" s="5">
        <v>924</v>
      </c>
      <c r="B540" s="6">
        <v>2.0613619999999999</v>
      </c>
      <c r="C540" s="6">
        <f t="shared" si="56"/>
        <v>2.0183619999999998</v>
      </c>
      <c r="D540" s="6">
        <f t="shared" si="57"/>
        <v>1864.9664879999998</v>
      </c>
      <c r="E540" s="6">
        <f t="shared" si="61"/>
        <v>-408.38495199999994</v>
      </c>
      <c r="F540" s="6">
        <f t="shared" si="62"/>
        <v>-6.1415000000000219E-3</v>
      </c>
      <c r="G540" s="6">
        <f t="shared" si="58"/>
        <v>1190.3510261443071</v>
      </c>
      <c r="H540" s="7">
        <f t="shared" si="59"/>
        <v>1.7827528966048583E-13</v>
      </c>
      <c r="I540" s="8">
        <f t="shared" si="60"/>
        <v>1.7827528966048583E-13</v>
      </c>
    </row>
    <row r="541" spans="1:9" x14ac:dyDescent="0.2">
      <c r="A541" s="5">
        <v>922</v>
      </c>
      <c r="B541" s="6">
        <v>2.0738989999999999</v>
      </c>
      <c r="C541" s="6">
        <f t="shared" si="56"/>
        <v>2.0308989999999998</v>
      </c>
      <c r="D541" s="6">
        <f t="shared" si="57"/>
        <v>1872.4888779999999</v>
      </c>
      <c r="E541" s="6">
        <f t="shared" si="61"/>
        <v>-412.43421299999994</v>
      </c>
      <c r="F541" s="6">
        <f t="shared" si="62"/>
        <v>-5.7282499999999903E-3</v>
      </c>
      <c r="G541" s="6">
        <f t="shared" si="58"/>
        <v>1195.1956498872992</v>
      </c>
      <c r="H541" s="7">
        <f t="shared" si="59"/>
        <v>1.9191441489756181E-13</v>
      </c>
      <c r="I541" s="8">
        <f t="shared" si="60"/>
        <v>1.9191441489756181E-13</v>
      </c>
    </row>
    <row r="542" spans="1:9" x14ac:dyDescent="0.2">
      <c r="A542" s="5">
        <v>920</v>
      </c>
      <c r="B542" s="6">
        <v>2.0842749999999999</v>
      </c>
      <c r="C542" s="6">
        <f t="shared" si="56"/>
        <v>2.0412749999999997</v>
      </c>
      <c r="D542" s="6">
        <f t="shared" si="57"/>
        <v>1877.9729999999997</v>
      </c>
      <c r="E542" s="6">
        <f t="shared" si="61"/>
        <v>-416.50638699999996</v>
      </c>
      <c r="F542" s="6">
        <f t="shared" si="62"/>
        <v>-5.0287500000000263E-3</v>
      </c>
      <c r="G542" s="6">
        <f t="shared" si="58"/>
        <v>1199.1844548751978</v>
      </c>
      <c r="H542" s="7">
        <f t="shared" si="59"/>
        <v>2.1933932406601546E-13</v>
      </c>
      <c r="I542" s="8">
        <f t="shared" si="60"/>
        <v>2.1933932406601546E-13</v>
      </c>
    </row>
    <row r="543" spans="1:9" x14ac:dyDescent="0.2">
      <c r="A543" s="5">
        <v>918</v>
      </c>
      <c r="B543" s="6">
        <v>2.094014</v>
      </c>
      <c r="C543" s="6">
        <f t="shared" si="56"/>
        <v>2.0510139999999999</v>
      </c>
      <c r="D543" s="6">
        <f t="shared" si="57"/>
        <v>1882.8308519999998</v>
      </c>
      <c r="E543" s="6">
        <f t="shared" si="61"/>
        <v>-420.59867599999995</v>
      </c>
      <c r="F543" s="6">
        <f t="shared" si="62"/>
        <v>-5.3407500000000052E-3</v>
      </c>
      <c r="G543" s="6">
        <f t="shared" si="58"/>
        <v>1202.908902451253</v>
      </c>
      <c r="H543" s="7">
        <f t="shared" si="59"/>
        <v>2.0716722376158466E-13</v>
      </c>
      <c r="I543" s="8">
        <f t="shared" si="60"/>
        <v>2.0716722376158466E-13</v>
      </c>
    </row>
    <row r="544" spans="1:9" x14ac:dyDescent="0.2">
      <c r="A544" s="5">
        <v>916</v>
      </c>
      <c r="B544" s="6">
        <v>2.1056379999999999</v>
      </c>
      <c r="C544" s="6">
        <f t="shared" si="56"/>
        <v>2.0626379999999997</v>
      </c>
      <c r="D544" s="6">
        <f t="shared" si="57"/>
        <v>1889.3764079999999</v>
      </c>
      <c r="E544" s="6">
        <f t="shared" si="61"/>
        <v>-424.71232799999996</v>
      </c>
      <c r="F544" s="6">
        <f t="shared" si="62"/>
        <v>-5.333499999999991E-3</v>
      </c>
      <c r="G544" s="6">
        <f t="shared" si="58"/>
        <v>1207.3309751848049</v>
      </c>
      <c r="H544" s="7">
        <f t="shared" si="59"/>
        <v>2.0821144579036107E-13</v>
      </c>
      <c r="I544" s="8">
        <f t="shared" si="60"/>
        <v>2.0821144579036107E-13</v>
      </c>
    </row>
    <row r="545" spans="1:9" x14ac:dyDescent="0.2">
      <c r="A545" s="5">
        <v>914</v>
      </c>
      <c r="B545" s="6">
        <v>2.115348</v>
      </c>
      <c r="C545" s="6">
        <f t="shared" si="56"/>
        <v>2.0723479999999999</v>
      </c>
      <c r="D545" s="6">
        <f t="shared" si="57"/>
        <v>1894.1260719999998</v>
      </c>
      <c r="E545" s="6">
        <f t="shared" si="61"/>
        <v>-428.84731399999998</v>
      </c>
      <c r="F545" s="6">
        <f t="shared" si="62"/>
        <v>-4.8477500000000395E-3</v>
      </c>
      <c r="G545" s="6">
        <f t="shared" si="58"/>
        <v>1211.0054924045908</v>
      </c>
      <c r="H545" s="7">
        <f t="shared" si="59"/>
        <v>2.2977165590019266E-13</v>
      </c>
      <c r="I545" s="8">
        <f t="shared" si="60"/>
        <v>2.2977165590019266E-13</v>
      </c>
    </row>
    <row r="546" spans="1:9" x14ac:dyDescent="0.2">
      <c r="A546" s="5">
        <v>912</v>
      </c>
      <c r="B546" s="6">
        <v>2.1250290000000001</v>
      </c>
      <c r="C546" s="6">
        <f t="shared" si="56"/>
        <v>2.0820289999999999</v>
      </c>
      <c r="D546" s="6">
        <f t="shared" si="57"/>
        <v>1898.810448</v>
      </c>
      <c r="E546" s="6">
        <f t="shared" si="61"/>
        <v>-433.00169099999999</v>
      </c>
      <c r="F546" s="6">
        <f t="shared" si="62"/>
        <v>-4.7862499999999919E-3</v>
      </c>
      <c r="G546" s="6">
        <f t="shared" si="58"/>
        <v>1214.6496732681073</v>
      </c>
      <c r="H546" s="7">
        <f t="shared" si="59"/>
        <v>2.3342438035204964E-13</v>
      </c>
      <c r="I546" s="8">
        <f t="shared" si="60"/>
        <v>2.3342438035204964E-13</v>
      </c>
    </row>
    <row r="547" spans="1:9" x14ac:dyDescent="0.2">
      <c r="A547" s="5">
        <v>910</v>
      </c>
      <c r="B547" s="6">
        <v>2.134493</v>
      </c>
      <c r="C547" s="6">
        <f t="shared" si="56"/>
        <v>2.0914929999999998</v>
      </c>
      <c r="D547" s="6">
        <f t="shared" si="57"/>
        <v>1903.2586299999998</v>
      </c>
      <c r="E547" s="6">
        <f t="shared" si="61"/>
        <v>-437.17521299999999</v>
      </c>
      <c r="F547" s="6">
        <f t="shared" si="62"/>
        <v>-5.1232500000000236E-3</v>
      </c>
      <c r="G547" s="6">
        <f t="shared" si="58"/>
        <v>1218.193241672644</v>
      </c>
      <c r="H547" s="7">
        <f t="shared" si="59"/>
        <v>2.1870624960662252E-13</v>
      </c>
      <c r="I547" s="8">
        <f t="shared" si="60"/>
        <v>2.1870624960662252E-13</v>
      </c>
    </row>
    <row r="548" spans="1:9" x14ac:dyDescent="0.2">
      <c r="A548" s="5">
        <v>908</v>
      </c>
      <c r="B548" s="6">
        <v>2.1455220000000002</v>
      </c>
      <c r="C548" s="6">
        <f t="shared" si="56"/>
        <v>2.102522</v>
      </c>
      <c r="D548" s="6">
        <f t="shared" si="57"/>
        <v>1909.089976</v>
      </c>
      <c r="E548" s="6">
        <f t="shared" si="61"/>
        <v>-441.36922799999996</v>
      </c>
      <c r="F548" s="6">
        <f t="shared" si="62"/>
        <v>-5.4130000000000011E-3</v>
      </c>
      <c r="G548" s="6">
        <f t="shared" si="58"/>
        <v>1222.3007288896385</v>
      </c>
      <c r="H548" s="7">
        <f t="shared" si="59"/>
        <v>2.0769717998436542E-13</v>
      </c>
      <c r="I548" s="8">
        <f t="shared" si="60"/>
        <v>2.0769717998436542E-13</v>
      </c>
    </row>
    <row r="549" spans="1:9" x14ac:dyDescent="0.2">
      <c r="A549" s="5">
        <v>906</v>
      </c>
      <c r="B549" s="6">
        <v>2.156145</v>
      </c>
      <c r="C549" s="6">
        <f t="shared" si="56"/>
        <v>2.1131449999999998</v>
      </c>
      <c r="D549" s="6">
        <f t="shared" si="57"/>
        <v>1914.5093699999998</v>
      </c>
      <c r="E549" s="6">
        <f t="shared" si="61"/>
        <v>-445.58489499999996</v>
      </c>
      <c r="F549" s="6">
        <f t="shared" si="62"/>
        <v>-5.0724999999999243E-3</v>
      </c>
      <c r="G549" s="6">
        <f t="shared" si="58"/>
        <v>1226.2357651188645</v>
      </c>
      <c r="H549" s="7">
        <f t="shared" si="59"/>
        <v>2.2235273688232961E-13</v>
      </c>
      <c r="I549" s="8">
        <f t="shared" si="60"/>
        <v>2.2235273688232961E-13</v>
      </c>
    </row>
    <row r="550" spans="1:9" x14ac:dyDescent="0.2">
      <c r="A550" s="5">
        <v>904</v>
      </c>
      <c r="B550" s="6">
        <v>2.1658119999999998</v>
      </c>
      <c r="C550" s="6">
        <f t="shared" si="56"/>
        <v>2.1228119999999997</v>
      </c>
      <c r="D550" s="6">
        <f t="shared" si="57"/>
        <v>1919.0220479999998</v>
      </c>
      <c r="E550" s="6">
        <f t="shared" si="61"/>
        <v>-449.82085199999995</v>
      </c>
      <c r="F550" s="6">
        <f t="shared" si="62"/>
        <v>-4.6522500000000244E-3</v>
      </c>
      <c r="G550" s="6">
        <f t="shared" si="58"/>
        <v>1229.7973400172855</v>
      </c>
      <c r="H550" s="7">
        <f t="shared" si="59"/>
        <v>2.4314260259813184E-13</v>
      </c>
      <c r="I550" s="8">
        <f t="shared" si="60"/>
        <v>2.4314260259813184E-13</v>
      </c>
    </row>
    <row r="551" spans="1:9" x14ac:dyDescent="0.2">
      <c r="A551" s="5">
        <v>902</v>
      </c>
      <c r="B551" s="6">
        <v>2.1747540000000001</v>
      </c>
      <c r="C551" s="6">
        <f t="shared" si="56"/>
        <v>2.1317539999999999</v>
      </c>
      <c r="D551" s="6">
        <f t="shared" si="57"/>
        <v>1922.8421079999998</v>
      </c>
      <c r="E551" s="6">
        <f t="shared" si="61"/>
        <v>-454.07541799999996</v>
      </c>
      <c r="F551" s="6">
        <f t="shared" si="62"/>
        <v>-4.362250000000012E-3</v>
      </c>
      <c r="G551" s="6">
        <f t="shared" si="58"/>
        <v>1233.0739220089772</v>
      </c>
      <c r="H551" s="7">
        <f t="shared" si="59"/>
        <v>2.5999746765607667E-13</v>
      </c>
      <c r="I551" s="8">
        <f t="shared" si="60"/>
        <v>2.5999746765607667E-13</v>
      </c>
    </row>
    <row r="552" spans="1:9" x14ac:dyDescent="0.2">
      <c r="A552" s="5">
        <v>900</v>
      </c>
      <c r="B552" s="6">
        <v>2.1832609999999999</v>
      </c>
      <c r="C552" s="6">
        <f t="shared" si="56"/>
        <v>2.1402609999999997</v>
      </c>
      <c r="D552" s="6">
        <f t="shared" si="57"/>
        <v>1926.2348999999997</v>
      </c>
      <c r="E552" s="6">
        <f t="shared" si="61"/>
        <v>-458.34743299999997</v>
      </c>
      <c r="F552" s="6">
        <f t="shared" si="62"/>
        <v>-4.5435000000000336E-3</v>
      </c>
      <c r="G552" s="6">
        <f t="shared" si="58"/>
        <v>1236.1740946566308</v>
      </c>
      <c r="H552" s="7">
        <f t="shared" si="59"/>
        <v>2.5025321302477275E-13</v>
      </c>
      <c r="I552" s="8">
        <f t="shared" si="60"/>
        <v>2.5025321302477275E-13</v>
      </c>
    </row>
    <row r="553" spans="1:9" x14ac:dyDescent="0.2">
      <c r="A553" s="5">
        <v>898</v>
      </c>
      <c r="B553" s="6">
        <v>2.1929280000000002</v>
      </c>
      <c r="C553" s="6">
        <f t="shared" si="56"/>
        <v>2.1499280000000001</v>
      </c>
      <c r="D553" s="6">
        <f t="shared" si="57"/>
        <v>1930.635344</v>
      </c>
      <c r="E553" s="6">
        <f t="shared" si="61"/>
        <v>-462.63762199999996</v>
      </c>
      <c r="F553" s="6">
        <f t="shared" si="62"/>
        <v>-5.1992499999999886E-3</v>
      </c>
      <c r="G553" s="6">
        <f t="shared" si="58"/>
        <v>1239.677667555052</v>
      </c>
      <c r="H553" s="7">
        <f t="shared" si="59"/>
        <v>2.19310100224072E-13</v>
      </c>
      <c r="I553" s="8">
        <f t="shared" si="60"/>
        <v>2.19310100224072E-13</v>
      </c>
    </row>
    <row r="554" spans="1:9" x14ac:dyDescent="0.2">
      <c r="A554" s="5">
        <v>896</v>
      </c>
      <c r="B554" s="6">
        <v>2.2040579999999999</v>
      </c>
      <c r="C554" s="6">
        <f t="shared" si="56"/>
        <v>2.1610579999999997</v>
      </c>
      <c r="D554" s="6">
        <f t="shared" si="57"/>
        <v>1936.3079679999996</v>
      </c>
      <c r="E554" s="6">
        <f t="shared" si="61"/>
        <v>-466.94860799999998</v>
      </c>
      <c r="F554" s="6">
        <f t="shared" si="62"/>
        <v>-5.0939999999999319E-3</v>
      </c>
      <c r="G554" s="6">
        <f t="shared" si="58"/>
        <v>1243.6892098059495</v>
      </c>
      <c r="H554" s="7">
        <f t="shared" si="59"/>
        <v>2.2456573045688193E-13</v>
      </c>
      <c r="I554" s="8">
        <f t="shared" si="60"/>
        <v>2.2456573045688193E-13</v>
      </c>
    </row>
    <row r="555" spans="1:9" x14ac:dyDescent="0.2">
      <c r="A555" s="5">
        <v>894</v>
      </c>
      <c r="B555" s="6">
        <v>2.2133039999999999</v>
      </c>
      <c r="C555" s="6">
        <f t="shared" si="56"/>
        <v>2.1703039999999998</v>
      </c>
      <c r="D555" s="6">
        <f t="shared" si="57"/>
        <v>1940.2517759999998</v>
      </c>
      <c r="E555" s="6">
        <f t="shared" si="61"/>
        <v>-471.27996999999999</v>
      </c>
      <c r="F555" s="6">
        <f t="shared" si="62"/>
        <v>-4.5362500000000194E-3</v>
      </c>
      <c r="G555" s="6">
        <f t="shared" si="58"/>
        <v>1247.0032173254283</v>
      </c>
      <c r="H555" s="7">
        <f t="shared" si="59"/>
        <v>2.5284894683219267E-13</v>
      </c>
      <c r="I555" s="8">
        <f t="shared" si="60"/>
        <v>2.5284894683219267E-13</v>
      </c>
    </row>
    <row r="556" spans="1:9" x14ac:dyDescent="0.2">
      <c r="A556" s="5">
        <v>892</v>
      </c>
      <c r="B556" s="6">
        <v>2.2222029999999999</v>
      </c>
      <c r="C556" s="6">
        <f t="shared" si="56"/>
        <v>2.1792029999999998</v>
      </c>
      <c r="D556" s="6">
        <f t="shared" si="57"/>
        <v>1943.8490759999997</v>
      </c>
      <c r="E556" s="6">
        <f t="shared" si="61"/>
        <v>-475.62947700000001</v>
      </c>
      <c r="F556" s="6">
        <f t="shared" si="62"/>
        <v>-4.6125000000000194E-3</v>
      </c>
      <c r="G556" s="6">
        <f t="shared" si="58"/>
        <v>1250.1750529957551</v>
      </c>
      <c r="H556" s="7">
        <f t="shared" si="59"/>
        <v>2.4930156539376152E-13</v>
      </c>
      <c r="I556" s="8">
        <f t="shared" si="60"/>
        <v>2.4930156539376152E-13</v>
      </c>
    </row>
    <row r="557" spans="1:9" x14ac:dyDescent="0.2">
      <c r="A557" s="5">
        <v>890</v>
      </c>
      <c r="B557" s="6">
        <v>2.231754</v>
      </c>
      <c r="C557" s="6">
        <f t="shared" si="56"/>
        <v>2.1887539999999999</v>
      </c>
      <c r="D557" s="6">
        <f t="shared" si="57"/>
        <v>1947.9910599999998</v>
      </c>
      <c r="E557" s="6">
        <f t="shared" si="61"/>
        <v>-479.997434</v>
      </c>
      <c r="F557" s="6">
        <f t="shared" si="62"/>
        <v>-4.7645000000000604E-3</v>
      </c>
      <c r="G557" s="6">
        <f t="shared" si="58"/>
        <v>1253.5601764690996</v>
      </c>
      <c r="H557" s="7">
        <f t="shared" si="59"/>
        <v>2.4200169724507835E-13</v>
      </c>
      <c r="I557" s="8">
        <f t="shared" si="60"/>
        <v>2.4200169724507835E-13</v>
      </c>
    </row>
    <row r="558" spans="1:9" x14ac:dyDescent="0.2">
      <c r="A558" s="5">
        <v>888</v>
      </c>
      <c r="B558" s="6">
        <v>2.2412610000000002</v>
      </c>
      <c r="C558" s="6">
        <f t="shared" si="56"/>
        <v>2.198261</v>
      </c>
      <c r="D558" s="6">
        <f t="shared" si="57"/>
        <v>1952.0557679999999</v>
      </c>
      <c r="E558" s="6">
        <f t="shared" si="61"/>
        <v>-484.38444900000002</v>
      </c>
      <c r="F558" s="6">
        <f t="shared" si="62"/>
        <v>-4.9455000000000471E-3</v>
      </c>
      <c r="G558" s="6">
        <f t="shared" si="58"/>
        <v>1256.9106911950012</v>
      </c>
      <c r="H558" s="7">
        <f t="shared" si="59"/>
        <v>2.3376784344405328E-13</v>
      </c>
      <c r="I558" s="8">
        <f t="shared" si="60"/>
        <v>2.3376784344405328E-13</v>
      </c>
    </row>
    <row r="559" spans="1:9" x14ac:dyDescent="0.2">
      <c r="A559" s="5">
        <v>886</v>
      </c>
      <c r="B559" s="6">
        <v>2.2515360000000002</v>
      </c>
      <c r="C559" s="6">
        <f t="shared" si="56"/>
        <v>2.2085360000000001</v>
      </c>
      <c r="D559" s="6">
        <f t="shared" si="57"/>
        <v>1956.762896</v>
      </c>
      <c r="E559" s="6">
        <f t="shared" si="61"/>
        <v>-488.791246</v>
      </c>
      <c r="F559" s="6">
        <f t="shared" si="62"/>
        <v>-5.3079999999999794E-3</v>
      </c>
      <c r="G559" s="6">
        <f t="shared" si="58"/>
        <v>1260.5113191489968</v>
      </c>
      <c r="H559" s="7">
        <f t="shared" si="59"/>
        <v>2.1842703572325226E-13</v>
      </c>
      <c r="I559" s="8">
        <f t="shared" si="60"/>
        <v>2.1842703572325226E-13</v>
      </c>
    </row>
    <row r="560" spans="1:9" x14ac:dyDescent="0.2">
      <c r="A560" s="5">
        <v>884</v>
      </c>
      <c r="B560" s="6">
        <v>2.2624930000000001</v>
      </c>
      <c r="C560" s="6">
        <f t="shared" si="56"/>
        <v>2.2194929999999999</v>
      </c>
      <c r="D560" s="6">
        <f t="shared" si="57"/>
        <v>1962.0318119999999</v>
      </c>
      <c r="E560" s="6">
        <f t="shared" si="61"/>
        <v>-493.21927499999998</v>
      </c>
      <c r="F560" s="6">
        <f t="shared" si="62"/>
        <v>-5.4202499999999043E-3</v>
      </c>
      <c r="G560" s="6">
        <f t="shared" si="58"/>
        <v>1264.3290236883574</v>
      </c>
      <c r="H560" s="7">
        <f t="shared" si="59"/>
        <v>2.1455139656268482E-13</v>
      </c>
      <c r="I560" s="8">
        <f t="shared" si="60"/>
        <v>2.1455139656268482E-13</v>
      </c>
    </row>
    <row r="561" spans="1:9" x14ac:dyDescent="0.2">
      <c r="A561" s="5">
        <v>882</v>
      </c>
      <c r="B561" s="6">
        <v>2.2732169999999998</v>
      </c>
      <c r="C561" s="6">
        <f t="shared" si="56"/>
        <v>2.2302169999999997</v>
      </c>
      <c r="D561" s="6">
        <f t="shared" si="57"/>
        <v>1967.0513939999996</v>
      </c>
      <c r="E561" s="6">
        <f t="shared" si="61"/>
        <v>-497.66898499999996</v>
      </c>
      <c r="F561" s="6">
        <f t="shared" si="62"/>
        <v>-4.8152499999999376E-3</v>
      </c>
      <c r="G561" s="6">
        <f t="shared" si="58"/>
        <v>1268.0440969514864</v>
      </c>
      <c r="H561" s="7">
        <f t="shared" si="59"/>
        <v>2.4221780991436038E-13</v>
      </c>
      <c r="I561" s="8">
        <f t="shared" si="60"/>
        <v>2.4221780991436038E-13</v>
      </c>
    </row>
    <row r="562" spans="1:9" x14ac:dyDescent="0.2">
      <c r="A562" s="5">
        <v>880</v>
      </c>
      <c r="B562" s="6">
        <v>2.2817539999999998</v>
      </c>
      <c r="C562" s="6">
        <f t="shared" si="56"/>
        <v>2.2387539999999997</v>
      </c>
      <c r="D562" s="6">
        <f t="shared" si="57"/>
        <v>1970.1035199999997</v>
      </c>
      <c r="E562" s="6">
        <f t="shared" si="61"/>
        <v>-502.13795599999997</v>
      </c>
      <c r="F562" s="6">
        <f t="shared" si="62"/>
        <v>-4.2755000000000987E-3</v>
      </c>
      <c r="G562" s="6">
        <f t="shared" si="58"/>
        <v>1270.9844623814874</v>
      </c>
      <c r="H562" s="7">
        <f t="shared" si="59"/>
        <v>2.7342856731864757E-13</v>
      </c>
      <c r="I562" s="8">
        <f t="shared" si="60"/>
        <v>2.7342856731864757E-13</v>
      </c>
    </row>
    <row r="563" spans="1:9" x14ac:dyDescent="0.2">
      <c r="A563" s="5">
        <v>878</v>
      </c>
      <c r="B563" s="6">
        <v>2.2903190000000002</v>
      </c>
      <c r="C563" s="6">
        <f t="shared" si="56"/>
        <v>2.2473190000000001</v>
      </c>
      <c r="D563" s="6">
        <f t="shared" si="57"/>
        <v>1973.146082</v>
      </c>
      <c r="E563" s="6">
        <f t="shared" si="61"/>
        <v>-506.62402899999995</v>
      </c>
      <c r="F563" s="6">
        <f t="shared" si="62"/>
        <v>-4.0904999999999969E-3</v>
      </c>
      <c r="G563" s="6">
        <f t="shared" si="58"/>
        <v>1273.9173417416796</v>
      </c>
      <c r="H563" s="7">
        <f t="shared" si="59"/>
        <v>2.8645434159879251E-13</v>
      </c>
      <c r="I563" s="8">
        <f t="shared" si="60"/>
        <v>2.8645434159879251E-13</v>
      </c>
    </row>
    <row r="564" spans="1:9" x14ac:dyDescent="0.2">
      <c r="A564" s="5">
        <v>876</v>
      </c>
      <c r="B564" s="6">
        <v>2.2981159999999998</v>
      </c>
      <c r="C564" s="6">
        <f t="shared" si="56"/>
        <v>2.2551159999999997</v>
      </c>
      <c r="D564" s="6">
        <f t="shared" si="57"/>
        <v>1975.4816159999998</v>
      </c>
      <c r="E564" s="6">
        <f t="shared" si="61"/>
        <v>-511.12646399999994</v>
      </c>
      <c r="F564" s="6">
        <f t="shared" si="62"/>
        <v>-4.3042499999998984E-3</v>
      </c>
      <c r="G564" s="6">
        <f t="shared" si="58"/>
        <v>1276.5716438737772</v>
      </c>
      <c r="H564" s="7">
        <f t="shared" si="59"/>
        <v>2.7279616550974832E-13</v>
      </c>
      <c r="I564" s="8">
        <f t="shared" si="60"/>
        <v>2.7279616550974832E-13</v>
      </c>
    </row>
    <row r="565" spans="1:9" x14ac:dyDescent="0.2">
      <c r="A565" s="5">
        <v>874</v>
      </c>
      <c r="B565" s="6">
        <v>2.3075359999999998</v>
      </c>
      <c r="C565" s="6">
        <f t="shared" si="56"/>
        <v>2.2645359999999997</v>
      </c>
      <c r="D565" s="6">
        <f t="shared" si="57"/>
        <v>1979.2044639999997</v>
      </c>
      <c r="E565" s="6">
        <f t="shared" si="61"/>
        <v>-515.64611599999989</v>
      </c>
      <c r="F565" s="6">
        <f t="shared" si="62"/>
        <v>-4.7607500000000913E-3</v>
      </c>
      <c r="G565" s="6">
        <f t="shared" si="58"/>
        <v>1279.7596175308713</v>
      </c>
      <c r="H565" s="7">
        <f t="shared" si="59"/>
        <v>2.4725414573950094E-13</v>
      </c>
      <c r="I565" s="8">
        <f t="shared" si="60"/>
        <v>2.4725414573950094E-13</v>
      </c>
    </row>
    <row r="566" spans="1:9" x14ac:dyDescent="0.2">
      <c r="A566" s="5">
        <v>872</v>
      </c>
      <c r="B566" s="6">
        <v>2.3171590000000002</v>
      </c>
      <c r="C566" s="6">
        <f t="shared" si="56"/>
        <v>2.274159</v>
      </c>
      <c r="D566" s="6">
        <f t="shared" si="57"/>
        <v>1983.066648</v>
      </c>
      <c r="E566" s="6">
        <f t="shared" si="61"/>
        <v>-520.18481099999985</v>
      </c>
      <c r="F566" s="6">
        <f t="shared" si="62"/>
        <v>-4.9130000000000562E-3</v>
      </c>
      <c r="G566" s="6">
        <f t="shared" si="58"/>
        <v>1282.9970456818496</v>
      </c>
      <c r="H566" s="7">
        <f t="shared" si="59"/>
        <v>2.4019803403388105E-13</v>
      </c>
      <c r="I566" s="8">
        <f t="shared" si="60"/>
        <v>2.4019803403388105E-13</v>
      </c>
    </row>
    <row r="567" spans="1:9" x14ac:dyDescent="0.2">
      <c r="A567" s="5">
        <v>870</v>
      </c>
      <c r="B567" s="6">
        <v>2.327188</v>
      </c>
      <c r="C567" s="6">
        <f t="shared" si="56"/>
        <v>2.2841879999999999</v>
      </c>
      <c r="D567" s="6">
        <f t="shared" si="57"/>
        <v>1987.2435599999999</v>
      </c>
      <c r="E567" s="6">
        <f t="shared" si="61"/>
        <v>-524.74315799999988</v>
      </c>
      <c r="F567" s="6">
        <f t="shared" si="62"/>
        <v>-4.9059999999999659E-3</v>
      </c>
      <c r="G567" s="6">
        <f t="shared" si="58"/>
        <v>1286.3510048205962</v>
      </c>
      <c r="H567" s="7">
        <f t="shared" si="59"/>
        <v>2.4116956636506671E-13</v>
      </c>
      <c r="I567" s="8">
        <f t="shared" si="60"/>
        <v>2.4116956636506671E-13</v>
      </c>
    </row>
    <row r="568" spans="1:9" x14ac:dyDescent="0.2">
      <c r="A568" s="5">
        <v>868</v>
      </c>
      <c r="B568" s="6">
        <v>2.3367830000000001</v>
      </c>
      <c r="C568" s="6">
        <f t="shared" si="56"/>
        <v>2.2937829999999999</v>
      </c>
      <c r="D568" s="6">
        <f t="shared" si="57"/>
        <v>1991.0036439999999</v>
      </c>
      <c r="E568" s="6">
        <f t="shared" si="61"/>
        <v>-529.32112899999993</v>
      </c>
      <c r="F568" s="6">
        <f t="shared" si="62"/>
        <v>-4.9927499999999903E-3</v>
      </c>
      <c r="G568" s="6">
        <f t="shared" si="58"/>
        <v>1289.5406330413834</v>
      </c>
      <c r="H568" s="7">
        <f t="shared" si="59"/>
        <v>2.3756681055105069E-13</v>
      </c>
      <c r="I568" s="8">
        <f t="shared" si="60"/>
        <v>2.3756681055105069E-13</v>
      </c>
    </row>
    <row r="569" spans="1:9" x14ac:dyDescent="0.2">
      <c r="A569" s="5">
        <v>866</v>
      </c>
      <c r="B569" s="6">
        <v>2.347159</v>
      </c>
      <c r="C569" s="6">
        <f t="shared" si="56"/>
        <v>2.3041589999999998</v>
      </c>
      <c r="D569" s="6">
        <f t="shared" si="57"/>
        <v>1995.4016939999999</v>
      </c>
      <c r="E569" s="6">
        <f t="shared" si="61"/>
        <v>-533.91907099999992</v>
      </c>
      <c r="F569" s="6">
        <f t="shared" si="62"/>
        <v>-4.8294999999999311E-3</v>
      </c>
      <c r="G569" s="6">
        <f t="shared" si="58"/>
        <v>1292.9691340292823</v>
      </c>
      <c r="H569" s="7">
        <f t="shared" si="59"/>
        <v>2.4625017246099742E-13</v>
      </c>
      <c r="I569" s="8">
        <f t="shared" si="60"/>
        <v>2.4625017246099742E-13</v>
      </c>
    </row>
    <row r="570" spans="1:9" x14ac:dyDescent="0.2">
      <c r="A570" s="5">
        <v>864</v>
      </c>
      <c r="B570" s="6">
        <v>2.3561009999999998</v>
      </c>
      <c r="C570" s="6">
        <f t="shared" si="56"/>
        <v>2.3131009999999996</v>
      </c>
      <c r="D570" s="6">
        <f t="shared" si="57"/>
        <v>1998.5192639999996</v>
      </c>
      <c r="E570" s="6">
        <f t="shared" si="61"/>
        <v>-538.5363309999999</v>
      </c>
      <c r="F570" s="6">
        <f t="shared" si="62"/>
        <v>-4.402250000000052E-3</v>
      </c>
      <c r="G570" s="6">
        <f t="shared" si="58"/>
        <v>1295.9059200209736</v>
      </c>
      <c r="H570" s="7">
        <f t="shared" si="59"/>
        <v>2.707630066296535E-13</v>
      </c>
      <c r="I570" s="8">
        <f t="shared" si="60"/>
        <v>2.707630066296535E-13</v>
      </c>
    </row>
    <row r="571" spans="1:9" x14ac:dyDescent="0.2">
      <c r="A571" s="5">
        <v>862</v>
      </c>
      <c r="B571" s="6">
        <v>2.3647680000000002</v>
      </c>
      <c r="C571" s="6">
        <f t="shared" si="56"/>
        <v>2.3217680000000001</v>
      </c>
      <c r="D571" s="6">
        <f t="shared" si="57"/>
        <v>2001.364016</v>
      </c>
      <c r="E571" s="6">
        <f t="shared" si="61"/>
        <v>-543.17119999999989</v>
      </c>
      <c r="F571" s="6">
        <f t="shared" si="62"/>
        <v>-4.326250000000087E-3</v>
      </c>
      <c r="G571" s="6">
        <f t="shared" si="58"/>
        <v>1298.7350548411473</v>
      </c>
      <c r="H571" s="7">
        <f t="shared" si="59"/>
        <v>2.7612104410803984E-13</v>
      </c>
      <c r="I571" s="8">
        <f t="shared" si="60"/>
        <v>2.7612104410803984E-13</v>
      </c>
    </row>
    <row r="572" spans="1:9" x14ac:dyDescent="0.2">
      <c r="A572" s="5">
        <v>860</v>
      </c>
      <c r="B572" s="6">
        <v>2.3734060000000001</v>
      </c>
      <c r="C572" s="6">
        <f t="shared" si="56"/>
        <v>2.330406</v>
      </c>
      <c r="D572" s="6">
        <f t="shared" si="57"/>
        <v>2004.1491599999999</v>
      </c>
      <c r="E572" s="6">
        <f t="shared" si="61"/>
        <v>-547.82337399999983</v>
      </c>
      <c r="F572" s="6">
        <f t="shared" si="62"/>
        <v>-4.8839999999999995E-3</v>
      </c>
      <c r="G572" s="6">
        <f t="shared" si="58"/>
        <v>1301.5374473050513</v>
      </c>
      <c r="H572" s="7">
        <f t="shared" si="59"/>
        <v>2.4511594814732162E-13</v>
      </c>
      <c r="I572" s="8">
        <f t="shared" si="60"/>
        <v>2.4511594814732162E-13</v>
      </c>
    </row>
    <row r="573" spans="1:9" x14ac:dyDescent="0.2">
      <c r="A573" s="5">
        <v>858</v>
      </c>
      <c r="B573" s="6">
        <v>2.3843040000000002</v>
      </c>
      <c r="C573" s="6">
        <f t="shared" si="56"/>
        <v>2.3413040000000001</v>
      </c>
      <c r="D573" s="6">
        <f t="shared" si="57"/>
        <v>2008.8388320000001</v>
      </c>
      <c r="E573" s="6">
        <f t="shared" si="61"/>
        <v>-552.49508399999979</v>
      </c>
      <c r="F573" s="6">
        <f t="shared" si="62"/>
        <v>-4.7172500000000062E-3</v>
      </c>
      <c r="G573" s="6">
        <f t="shared" si="58"/>
        <v>1305.0512467057952</v>
      </c>
      <c r="H573" s="7">
        <f t="shared" si="59"/>
        <v>2.5446568705041887E-13</v>
      </c>
      <c r="I573" s="8">
        <f t="shared" si="60"/>
        <v>2.5446568705041887E-13</v>
      </c>
    </row>
    <row r="574" spans="1:9" x14ac:dyDescent="0.2">
      <c r="A574" s="5">
        <v>856</v>
      </c>
      <c r="B574" s="6">
        <v>2.3922750000000002</v>
      </c>
      <c r="C574" s="6">
        <f t="shared" si="56"/>
        <v>2.349275</v>
      </c>
      <c r="D574" s="6">
        <f t="shared" si="57"/>
        <v>2010.9793999999999</v>
      </c>
      <c r="E574" s="6">
        <f t="shared" si="61"/>
        <v>-557.18566299999975</v>
      </c>
      <c r="F574" s="6">
        <f t="shared" si="62"/>
        <v>-3.9239999999999275E-3</v>
      </c>
      <c r="G574" s="6">
        <f t="shared" si="58"/>
        <v>1307.6053629755081</v>
      </c>
      <c r="H574" s="7">
        <f t="shared" si="59"/>
        <v>3.0650548495727421E-13</v>
      </c>
      <c r="I574" s="8">
        <f t="shared" si="60"/>
        <v>3.0650548495727421E-13</v>
      </c>
    </row>
    <row r="575" spans="1:9" x14ac:dyDescent="0.2">
      <c r="A575" s="5">
        <v>854</v>
      </c>
      <c r="B575" s="6">
        <v>2.4</v>
      </c>
      <c r="C575" s="6">
        <f t="shared" si="56"/>
        <v>2.3569999999999998</v>
      </c>
      <c r="D575" s="6">
        <f t="shared" si="57"/>
        <v>2012.8779999999997</v>
      </c>
      <c r="E575" s="6">
        <f t="shared" si="61"/>
        <v>-561.89193799999975</v>
      </c>
      <c r="F575" s="6">
        <f t="shared" si="62"/>
        <v>-4.1487499999999233E-3</v>
      </c>
      <c r="G575" s="6">
        <f t="shared" si="58"/>
        <v>1310.065204429972</v>
      </c>
      <c r="H575" s="7">
        <f t="shared" si="59"/>
        <v>2.9044653698098204E-13</v>
      </c>
      <c r="I575" s="8">
        <f t="shared" si="60"/>
        <v>2.9044653698098204E-13</v>
      </c>
    </row>
    <row r="576" spans="1:9" x14ac:dyDescent="0.2">
      <c r="A576" s="5">
        <v>852</v>
      </c>
      <c r="B576" s="6">
        <v>2.4088699999999998</v>
      </c>
      <c r="C576" s="6">
        <f t="shared" si="56"/>
        <v>2.3658699999999997</v>
      </c>
      <c r="D576" s="6">
        <f t="shared" si="57"/>
        <v>2015.7212399999999</v>
      </c>
      <c r="E576" s="6">
        <f t="shared" si="61"/>
        <v>-566.6148079999997</v>
      </c>
      <c r="F576" s="6">
        <f t="shared" si="62"/>
        <v>-4.6847500000000153E-3</v>
      </c>
      <c r="G576" s="6">
        <f t="shared" si="58"/>
        <v>1312.8719037440296</v>
      </c>
      <c r="H576" s="7">
        <f t="shared" si="59"/>
        <v>2.5776650950289662E-13</v>
      </c>
      <c r="I576" s="8">
        <f t="shared" si="60"/>
        <v>2.5776650950289662E-13</v>
      </c>
    </row>
    <row r="577" spans="1:9" x14ac:dyDescent="0.2">
      <c r="A577" s="5">
        <v>850</v>
      </c>
      <c r="B577" s="6">
        <v>2.418739</v>
      </c>
      <c r="C577" s="6">
        <f t="shared" si="56"/>
        <v>2.3757389999999998</v>
      </c>
      <c r="D577" s="6">
        <f t="shared" si="57"/>
        <v>2019.3781499999998</v>
      </c>
      <c r="E577" s="6">
        <f t="shared" si="61"/>
        <v>-571.35641699999974</v>
      </c>
      <c r="F577" s="6">
        <f t="shared" si="62"/>
        <v>-4.4237500000000596E-3</v>
      </c>
      <c r="G577" s="6">
        <f t="shared" si="58"/>
        <v>1315.9749747102569</v>
      </c>
      <c r="H577" s="7">
        <f t="shared" si="59"/>
        <v>2.7361985676065752E-13</v>
      </c>
      <c r="I577" s="8">
        <f t="shared" si="60"/>
        <v>2.7361985676065752E-13</v>
      </c>
    </row>
    <row r="578" spans="1:9" x14ac:dyDescent="0.2">
      <c r="A578" s="5">
        <v>848</v>
      </c>
      <c r="B578" s="6">
        <v>2.4265650000000001</v>
      </c>
      <c r="C578" s="6">
        <f t="shared" ref="C578:C641" si="63">B578-$B$2</f>
        <v>2.3835649999999999</v>
      </c>
      <c r="D578" s="6">
        <f t="shared" ref="D578:D641" si="64">A578*C578</f>
        <v>2021.2631199999998</v>
      </c>
      <c r="E578" s="6">
        <f t="shared" si="61"/>
        <v>-576.11572099999978</v>
      </c>
      <c r="F578" s="6">
        <f t="shared" si="62"/>
        <v>-4.1232500000000227E-3</v>
      </c>
      <c r="G578" s="6">
        <f t="shared" ref="G578:G641" si="65">(A578-$L$5)*C578-E578</f>
        <v>1318.420021198624</v>
      </c>
      <c r="H578" s="7">
        <f t="shared" ref="H578:H641" si="66">IF(ABS(F578)&lt;0.000000001,"",-(G578)/(2*$L$4*F578)*0.000000000001)</f>
        <v>2.9410653740421478E-13</v>
      </c>
      <c r="I578" s="8">
        <f t="shared" ref="I578:I641" si="67">IF(AND(B578&gt;=0.5,B578&lt;=2.5,ISNUMBER(H578),H578&gt;0),H578,"")</f>
        <v>2.9410653740421478E-13</v>
      </c>
    </row>
    <row r="579" spans="1:9" x14ac:dyDescent="0.2">
      <c r="A579" s="5">
        <v>846</v>
      </c>
      <c r="B579" s="6">
        <v>2.4352320000000001</v>
      </c>
      <c r="C579" s="6">
        <f t="shared" si="63"/>
        <v>2.3922319999999999</v>
      </c>
      <c r="D579" s="6">
        <f t="shared" si="64"/>
        <v>2023.828272</v>
      </c>
      <c r="E579" s="6">
        <f t="shared" ref="E579:E642" si="68">E578+(C578+C579)/2*(A579-A578)</f>
        <v>-580.89151799999979</v>
      </c>
      <c r="F579" s="6">
        <f t="shared" ref="F579:F642" si="69">(B580-B578)/(A580-A578)</f>
        <v>-4.6122499999999844E-3</v>
      </c>
      <c r="G579" s="6">
        <f t="shared" si="65"/>
        <v>1321.1104840187973</v>
      </c>
      <c r="H579" s="7">
        <f t="shared" si="66"/>
        <v>2.634613153710423E-13</v>
      </c>
      <c r="I579" s="8">
        <f t="shared" si="67"/>
        <v>2.634613153710423E-13</v>
      </c>
    </row>
    <row r="580" spans="1:9" x14ac:dyDescent="0.2">
      <c r="A580" s="5">
        <v>844</v>
      </c>
      <c r="B580" s="6">
        <v>2.445014</v>
      </c>
      <c r="C580" s="6">
        <f t="shared" si="63"/>
        <v>2.4020139999999999</v>
      </c>
      <c r="D580" s="6">
        <f t="shared" si="64"/>
        <v>2027.299816</v>
      </c>
      <c r="E580" s="6">
        <f t="shared" si="68"/>
        <v>-585.68576399999984</v>
      </c>
      <c r="F580" s="6">
        <f t="shared" si="69"/>
        <v>-4.4817499999999511E-3</v>
      </c>
      <c r="G580" s="6">
        <f t="shared" si="65"/>
        <v>1324.1275079162169</v>
      </c>
      <c r="H580" s="7">
        <f t="shared" si="66"/>
        <v>2.7175199245756252E-13</v>
      </c>
      <c r="I580" s="8">
        <f t="shared" si="67"/>
        <v>2.7175199245756252E-13</v>
      </c>
    </row>
    <row r="581" spans="1:9" x14ac:dyDescent="0.2">
      <c r="A581" s="5">
        <v>842</v>
      </c>
      <c r="B581" s="6">
        <v>2.4531589999999999</v>
      </c>
      <c r="C581" s="6">
        <f t="shared" si="63"/>
        <v>2.4101589999999997</v>
      </c>
      <c r="D581" s="6">
        <f t="shared" si="64"/>
        <v>2029.3538779999997</v>
      </c>
      <c r="E581" s="6">
        <f t="shared" si="68"/>
        <v>-590.49793699999987</v>
      </c>
      <c r="F581" s="6">
        <f t="shared" si="69"/>
        <v>-2.9204999999999925E-3</v>
      </c>
      <c r="G581" s="6">
        <f t="shared" si="65"/>
        <v>1326.6233483235449</v>
      </c>
      <c r="H581" s="7">
        <f t="shared" si="66"/>
        <v>4.1781207024270093E-13</v>
      </c>
      <c r="I581" s="8">
        <f t="shared" si="67"/>
        <v>4.1781207024270093E-13</v>
      </c>
    </row>
    <row r="582" spans="1:9" x14ac:dyDescent="0.2">
      <c r="A582" s="5">
        <v>840</v>
      </c>
      <c r="B582" s="6">
        <v>2.456696</v>
      </c>
      <c r="C582" s="6">
        <f t="shared" si="63"/>
        <v>2.4136959999999998</v>
      </c>
      <c r="D582" s="6">
        <f t="shared" si="64"/>
        <v>2027.5046399999999</v>
      </c>
      <c r="E582" s="6">
        <f t="shared" si="68"/>
        <v>-595.32179199999985</v>
      </c>
      <c r="F582" s="6">
        <f t="shared" si="69"/>
        <v>-2.203000000000066E-3</v>
      </c>
      <c r="G582" s="6">
        <f t="shared" si="65"/>
        <v>1327.7001033623073</v>
      </c>
      <c r="H582" s="7">
        <f t="shared" si="66"/>
        <v>5.5433978389988442E-13</v>
      </c>
      <c r="I582" s="8">
        <f t="shared" si="67"/>
        <v>5.5433978389988442E-13</v>
      </c>
    </row>
    <row r="583" spans="1:9" x14ac:dyDescent="0.2">
      <c r="A583" s="5">
        <v>838</v>
      </c>
      <c r="B583" s="6">
        <v>2.4619710000000001</v>
      </c>
      <c r="C583" s="6">
        <f t="shared" si="63"/>
        <v>2.418971</v>
      </c>
      <c r="D583" s="6">
        <f t="shared" si="64"/>
        <v>2027.097698</v>
      </c>
      <c r="E583" s="6">
        <f t="shared" si="68"/>
        <v>-600.15445899999986</v>
      </c>
      <c r="F583" s="6">
        <f t="shared" si="69"/>
        <v>-3.4420000000000561E-3</v>
      </c>
      <c r="G583" s="6">
        <f t="shared" si="65"/>
        <v>1329.2954009250643</v>
      </c>
      <c r="H583" s="7">
        <f t="shared" si="66"/>
        <v>3.5522309384192397E-13</v>
      </c>
      <c r="I583" s="8">
        <f t="shared" si="67"/>
        <v>3.5522309384192397E-13</v>
      </c>
    </row>
    <row r="584" spans="1:9" x14ac:dyDescent="0.2">
      <c r="A584" s="5">
        <v>836</v>
      </c>
      <c r="B584" s="6">
        <v>2.4704640000000002</v>
      </c>
      <c r="C584" s="6">
        <f t="shared" si="63"/>
        <v>2.4274640000000001</v>
      </c>
      <c r="D584" s="6">
        <f t="shared" si="64"/>
        <v>2029.3599040000001</v>
      </c>
      <c r="E584" s="6">
        <f t="shared" si="68"/>
        <v>-605.0008939999999</v>
      </c>
      <c r="F584" s="6">
        <f t="shared" si="69"/>
        <v>-3.4419999999999451E-3</v>
      </c>
      <c r="G584" s="6">
        <f t="shared" si="65"/>
        <v>1331.8469196076226</v>
      </c>
      <c r="H584" s="7">
        <f t="shared" si="66"/>
        <v>3.5590492751094769E-13</v>
      </c>
      <c r="I584" s="8">
        <f t="shared" si="67"/>
        <v>3.5590492751094769E-13</v>
      </c>
    </row>
    <row r="585" spans="1:9" x14ac:dyDescent="0.2">
      <c r="A585" s="5">
        <v>834</v>
      </c>
      <c r="B585" s="6">
        <v>2.4757389999999999</v>
      </c>
      <c r="C585" s="6">
        <f t="shared" si="63"/>
        <v>2.4327389999999998</v>
      </c>
      <c r="D585" s="6">
        <f t="shared" si="64"/>
        <v>2028.9043259999999</v>
      </c>
      <c r="E585" s="6">
        <f t="shared" si="68"/>
        <v>-609.86109699999986</v>
      </c>
      <c r="F585" s="6">
        <f t="shared" si="69"/>
        <v>-3.2862499999999351E-3</v>
      </c>
      <c r="G585" s="6">
        <f t="shared" si="65"/>
        <v>1333.4211171703794</v>
      </c>
      <c r="H585" s="7">
        <f t="shared" si="66"/>
        <v>3.7321344934574083E-13</v>
      </c>
      <c r="I585" s="8">
        <f t="shared" si="67"/>
        <v>3.7321344934574083E-13</v>
      </c>
    </row>
    <row r="586" spans="1:9" x14ac:dyDescent="0.2">
      <c r="A586" s="5">
        <v>832</v>
      </c>
      <c r="B586" s="6">
        <v>2.483609</v>
      </c>
      <c r="C586" s="6">
        <f t="shared" si="63"/>
        <v>2.4406089999999998</v>
      </c>
      <c r="D586" s="6">
        <f t="shared" si="64"/>
        <v>2030.5866879999999</v>
      </c>
      <c r="E586" s="6">
        <f t="shared" si="68"/>
        <v>-614.73444499999982</v>
      </c>
      <c r="F586" s="6">
        <f t="shared" si="69"/>
        <v>-3.6122499999999835E-3</v>
      </c>
      <c r="G586" s="6">
        <f t="shared" si="65"/>
        <v>1335.7539904061891</v>
      </c>
      <c r="H586" s="7">
        <f t="shared" si="66"/>
        <v>3.4012553412375018E-13</v>
      </c>
      <c r="I586" s="8">
        <f t="shared" si="67"/>
        <v>3.4012553412375018E-13</v>
      </c>
    </row>
    <row r="587" spans="1:9" x14ac:dyDescent="0.2">
      <c r="A587" s="5">
        <v>830</v>
      </c>
      <c r="B587" s="6">
        <v>2.4901879999999998</v>
      </c>
      <c r="C587" s="6">
        <f t="shared" si="63"/>
        <v>2.4471879999999997</v>
      </c>
      <c r="D587" s="6">
        <f t="shared" si="64"/>
        <v>2031.1660399999998</v>
      </c>
      <c r="E587" s="6">
        <f t="shared" si="68"/>
        <v>-619.6222419999998</v>
      </c>
      <c r="F587" s="6">
        <f t="shared" si="69"/>
        <v>-2.9710000000000569E-3</v>
      </c>
      <c r="G587" s="6">
        <f t="shared" si="65"/>
        <v>1337.6910195749811</v>
      </c>
      <c r="H587" s="7">
        <f t="shared" si="66"/>
        <v>4.1413669753625103E-13</v>
      </c>
      <c r="I587" s="8">
        <f t="shared" si="67"/>
        <v>4.1413669753625103E-13</v>
      </c>
    </row>
    <row r="588" spans="1:9" x14ac:dyDescent="0.2">
      <c r="A588" s="5">
        <v>828</v>
      </c>
      <c r="B588" s="6">
        <v>2.4954930000000002</v>
      </c>
      <c r="C588" s="6">
        <f t="shared" si="63"/>
        <v>2.452493</v>
      </c>
      <c r="D588" s="6">
        <f t="shared" si="64"/>
        <v>2030.6642039999999</v>
      </c>
      <c r="E588" s="6">
        <f t="shared" si="68"/>
        <v>-624.52192299999979</v>
      </c>
      <c r="F588" s="6">
        <f t="shared" si="69"/>
        <v>-3.3914999999999917E-3</v>
      </c>
      <c r="G588" s="6">
        <f t="shared" si="65"/>
        <v>1339.2423399200857</v>
      </c>
      <c r="H588" s="7">
        <f t="shared" si="66"/>
        <v>3.6321009095480578E-13</v>
      </c>
      <c r="I588" s="8">
        <f t="shared" si="67"/>
        <v>3.6321009095480578E-13</v>
      </c>
    </row>
    <row r="589" spans="1:9" x14ac:dyDescent="0.2">
      <c r="A589" s="5">
        <v>826</v>
      </c>
      <c r="B589" s="6">
        <v>2.5037539999999998</v>
      </c>
      <c r="C589" s="6">
        <f t="shared" si="63"/>
        <v>2.4607539999999997</v>
      </c>
      <c r="D589" s="6">
        <f t="shared" si="64"/>
        <v>2032.5828039999997</v>
      </c>
      <c r="E589" s="6">
        <f t="shared" si="68"/>
        <v>-629.43516999999974</v>
      </c>
      <c r="F589" s="6">
        <f t="shared" si="69"/>
        <v>-3.7644999999999484E-3</v>
      </c>
      <c r="G589" s="6">
        <f t="shared" si="65"/>
        <v>1341.6415497524902</v>
      </c>
      <c r="H589" s="7">
        <f t="shared" si="66"/>
        <v>3.2780815571805414E-13</v>
      </c>
      <c r="I589" s="8" t="str">
        <f t="shared" si="67"/>
        <v/>
      </c>
    </row>
    <row r="590" spans="1:9" x14ac:dyDescent="0.2">
      <c r="A590" s="5">
        <v>824</v>
      </c>
      <c r="B590" s="6">
        <v>2.510551</v>
      </c>
      <c r="C590" s="6">
        <f t="shared" si="63"/>
        <v>2.4675509999999998</v>
      </c>
      <c r="D590" s="6">
        <f t="shared" si="64"/>
        <v>2033.2620239999999</v>
      </c>
      <c r="E590" s="6">
        <f t="shared" si="68"/>
        <v>-634.36347499999977</v>
      </c>
      <c r="F590" s="6">
        <f t="shared" si="69"/>
        <v>-3.7572500000000453E-3</v>
      </c>
      <c r="G590" s="6">
        <f t="shared" si="65"/>
        <v>1343.6019818063403</v>
      </c>
      <c r="H590" s="7">
        <f t="shared" si="66"/>
        <v>3.2892061900985152E-13</v>
      </c>
      <c r="I590" s="8" t="str">
        <f t="shared" si="67"/>
        <v/>
      </c>
    </row>
    <row r="591" spans="1:9" x14ac:dyDescent="0.2">
      <c r="A591" s="5">
        <v>822</v>
      </c>
      <c r="B591" s="6">
        <v>2.518783</v>
      </c>
      <c r="C591" s="6">
        <f t="shared" si="63"/>
        <v>2.4757829999999998</v>
      </c>
      <c r="D591" s="6">
        <f t="shared" si="64"/>
        <v>2035.0936259999999</v>
      </c>
      <c r="E591" s="6">
        <f t="shared" si="68"/>
        <v>-639.30680899999982</v>
      </c>
      <c r="F591" s="6">
        <f t="shared" si="69"/>
        <v>-4.0252499999999802E-3</v>
      </c>
      <c r="G591" s="6">
        <f t="shared" si="65"/>
        <v>1345.959841282476</v>
      </c>
      <c r="H591" s="7">
        <f t="shared" si="66"/>
        <v>3.0755996290763771E-13</v>
      </c>
      <c r="I591" s="8" t="str">
        <f t="shared" si="67"/>
        <v/>
      </c>
    </row>
    <row r="592" spans="1:9" x14ac:dyDescent="0.2">
      <c r="A592" s="5">
        <v>820</v>
      </c>
      <c r="B592" s="6">
        <v>2.5266519999999999</v>
      </c>
      <c r="C592" s="6">
        <f t="shared" si="63"/>
        <v>2.4836519999999997</v>
      </c>
      <c r="D592" s="6">
        <f t="shared" si="64"/>
        <v>2036.5946399999998</v>
      </c>
      <c r="E592" s="6">
        <f t="shared" si="68"/>
        <v>-644.2662439999998</v>
      </c>
      <c r="F592" s="6">
        <f t="shared" si="69"/>
        <v>-3.9130000000000553E-3</v>
      </c>
      <c r="G592" s="6">
        <f t="shared" si="65"/>
        <v>1348.1979900922074</v>
      </c>
      <c r="H592" s="7">
        <f t="shared" si="66"/>
        <v>3.1690886186161136E-13</v>
      </c>
      <c r="I592" s="8" t="str">
        <f t="shared" si="67"/>
        <v/>
      </c>
    </row>
    <row r="593" spans="1:9" x14ac:dyDescent="0.2">
      <c r="A593" s="5">
        <v>818</v>
      </c>
      <c r="B593" s="6">
        <v>2.5344350000000002</v>
      </c>
      <c r="C593" s="6">
        <f t="shared" si="63"/>
        <v>2.4914350000000001</v>
      </c>
      <c r="D593" s="6">
        <f t="shared" si="64"/>
        <v>2037.9938300000001</v>
      </c>
      <c r="E593" s="6">
        <f t="shared" si="68"/>
        <v>-649.24133099999983</v>
      </c>
      <c r="F593" s="6">
        <f t="shared" si="69"/>
        <v>-3.6050000000000804E-3</v>
      </c>
      <c r="G593" s="6">
        <f t="shared" si="65"/>
        <v>1350.39611225921</v>
      </c>
      <c r="H593" s="7">
        <f t="shared" si="66"/>
        <v>3.4454540803621303E-13</v>
      </c>
      <c r="I593" s="8" t="str">
        <f t="shared" si="67"/>
        <v/>
      </c>
    </row>
    <row r="594" spans="1:9" x14ac:dyDescent="0.2">
      <c r="A594" s="5">
        <v>816</v>
      </c>
      <c r="B594" s="6">
        <v>2.5410720000000002</v>
      </c>
      <c r="C594" s="6">
        <f t="shared" si="63"/>
        <v>2.4980720000000001</v>
      </c>
      <c r="D594" s="6">
        <f t="shared" si="64"/>
        <v>2038.4267520000001</v>
      </c>
      <c r="E594" s="6">
        <f t="shared" si="68"/>
        <v>-654.23083799999984</v>
      </c>
      <c r="F594" s="6">
        <f t="shared" si="69"/>
        <v>-3.5869999999998958E-3</v>
      </c>
      <c r="G594" s="6">
        <f t="shared" si="65"/>
        <v>1352.2573001405403</v>
      </c>
      <c r="H594" s="7">
        <f t="shared" si="66"/>
        <v>3.467516323818606E-13</v>
      </c>
      <c r="I594" s="8" t="str">
        <f t="shared" si="67"/>
        <v/>
      </c>
    </row>
    <row r="595" spans="1:9" x14ac:dyDescent="0.2">
      <c r="A595" s="5">
        <v>814</v>
      </c>
      <c r="B595" s="6">
        <v>2.5487829999999998</v>
      </c>
      <c r="C595" s="6">
        <f t="shared" si="63"/>
        <v>2.5057829999999996</v>
      </c>
      <c r="D595" s="6">
        <f t="shared" si="64"/>
        <v>2039.7073619999996</v>
      </c>
      <c r="E595" s="6">
        <f t="shared" si="68"/>
        <v>-659.23469299999988</v>
      </c>
      <c r="F595" s="6">
        <f t="shared" si="69"/>
        <v>-3.9167499999999134E-3</v>
      </c>
      <c r="G595" s="6">
        <f t="shared" si="65"/>
        <v>1354.4042436299087</v>
      </c>
      <c r="H595" s="7">
        <f t="shared" si="66"/>
        <v>3.1806289679476991E-13</v>
      </c>
      <c r="I595" s="8" t="str">
        <f t="shared" si="67"/>
        <v/>
      </c>
    </row>
    <row r="596" spans="1:9" x14ac:dyDescent="0.2">
      <c r="A596" s="5">
        <v>812</v>
      </c>
      <c r="B596" s="6">
        <v>2.5567389999999999</v>
      </c>
      <c r="C596" s="6">
        <f t="shared" si="63"/>
        <v>2.5137389999999997</v>
      </c>
      <c r="D596" s="6">
        <f t="shared" si="64"/>
        <v>2041.1560679999998</v>
      </c>
      <c r="E596" s="6">
        <f t="shared" si="68"/>
        <v>-664.25421499999993</v>
      </c>
      <c r="F596" s="6">
        <f t="shared" si="69"/>
        <v>-3.7970000000000503E-3</v>
      </c>
      <c r="G596" s="6">
        <f t="shared" si="65"/>
        <v>1356.6034895084481</v>
      </c>
      <c r="H596" s="7">
        <f t="shared" si="66"/>
        <v>3.2862673271267718E-13</v>
      </c>
      <c r="I596" s="8" t="str">
        <f t="shared" si="67"/>
        <v/>
      </c>
    </row>
    <row r="597" spans="1:9" x14ac:dyDescent="0.2">
      <c r="A597" s="5">
        <v>810</v>
      </c>
      <c r="B597" s="6">
        <v>2.563971</v>
      </c>
      <c r="C597" s="6">
        <f t="shared" si="63"/>
        <v>2.5209709999999999</v>
      </c>
      <c r="D597" s="6">
        <f t="shared" si="64"/>
        <v>2041.98651</v>
      </c>
      <c r="E597" s="6">
        <f t="shared" si="68"/>
        <v>-669.28892499999995</v>
      </c>
      <c r="F597" s="6">
        <f t="shared" si="69"/>
        <v>-3.7682500000000285E-3</v>
      </c>
      <c r="G597" s="6">
        <f t="shared" si="65"/>
        <v>1358.5881389063359</v>
      </c>
      <c r="H597" s="7">
        <f t="shared" si="66"/>
        <v>3.3161843631689657E-13</v>
      </c>
      <c r="I597" s="8" t="str">
        <f t="shared" si="67"/>
        <v/>
      </c>
    </row>
    <row r="598" spans="1:9" x14ac:dyDescent="0.2">
      <c r="A598" s="5">
        <v>808</v>
      </c>
      <c r="B598" s="6">
        <v>2.571812</v>
      </c>
      <c r="C598" s="6">
        <f t="shared" si="63"/>
        <v>2.5288119999999998</v>
      </c>
      <c r="D598" s="6">
        <f t="shared" si="64"/>
        <v>2043.280096</v>
      </c>
      <c r="E598" s="6">
        <f t="shared" si="68"/>
        <v>-674.338708</v>
      </c>
      <c r="F598" s="6">
        <f t="shared" si="69"/>
        <v>-4.1267499999999568E-3</v>
      </c>
      <c r="G598" s="6">
        <f t="shared" si="65"/>
        <v>1360.7242317858768</v>
      </c>
      <c r="H598" s="7">
        <f t="shared" si="66"/>
        <v>3.0328610601391151E-13</v>
      </c>
      <c r="I598" s="8" t="str">
        <f t="shared" si="67"/>
        <v/>
      </c>
    </row>
    <row r="599" spans="1:9" x14ac:dyDescent="0.2">
      <c r="A599" s="5">
        <v>806</v>
      </c>
      <c r="B599" s="6">
        <v>2.5804779999999998</v>
      </c>
      <c r="C599" s="6">
        <f t="shared" si="63"/>
        <v>2.5374779999999997</v>
      </c>
      <c r="D599" s="6">
        <f t="shared" si="64"/>
        <v>2045.2072679999997</v>
      </c>
      <c r="E599" s="6">
        <f t="shared" si="68"/>
        <v>-679.40499799999998</v>
      </c>
      <c r="F599" s="6">
        <f t="shared" si="69"/>
        <v>-4.0072500000000177E-3</v>
      </c>
      <c r="G599" s="6">
        <f t="shared" si="65"/>
        <v>1363.0677441799717</v>
      </c>
      <c r="H599" s="7">
        <f t="shared" si="66"/>
        <v>3.1286829784829511E-13</v>
      </c>
      <c r="I599" s="8" t="str">
        <f t="shared" si="67"/>
        <v/>
      </c>
    </row>
    <row r="600" spans="1:9" x14ac:dyDescent="0.2">
      <c r="A600" s="5">
        <v>804</v>
      </c>
      <c r="B600" s="6">
        <v>2.5878410000000001</v>
      </c>
      <c r="C600" s="6">
        <f t="shared" si="63"/>
        <v>2.5448409999999999</v>
      </c>
      <c r="D600" s="6">
        <f t="shared" si="64"/>
        <v>2046.0521639999999</v>
      </c>
      <c r="E600" s="6">
        <f t="shared" si="68"/>
        <v>-684.48731699999996</v>
      </c>
      <c r="F600" s="6">
        <f t="shared" si="69"/>
        <v>-2.7972500000000844E-3</v>
      </c>
      <c r="G600" s="6">
        <f t="shared" si="65"/>
        <v>1365.04416539411</v>
      </c>
      <c r="H600" s="7">
        <f t="shared" si="66"/>
        <v>4.4885490637586439E-13</v>
      </c>
      <c r="I600" s="8" t="str">
        <f t="shared" si="67"/>
        <v/>
      </c>
    </row>
    <row r="601" spans="1:9" x14ac:dyDescent="0.2">
      <c r="A601" s="5">
        <v>802</v>
      </c>
      <c r="B601" s="6">
        <v>2.5916670000000002</v>
      </c>
      <c r="C601" s="6">
        <f t="shared" si="63"/>
        <v>2.548667</v>
      </c>
      <c r="D601" s="6">
        <f t="shared" si="64"/>
        <v>2044.0309340000001</v>
      </c>
      <c r="E601" s="6">
        <f t="shared" si="68"/>
        <v>-689.580825</v>
      </c>
      <c r="F601" s="6">
        <f t="shared" si="69"/>
        <v>-2.5904999999999401E-3</v>
      </c>
      <c r="G601" s="6">
        <f t="shared" si="65"/>
        <v>1366.0635115694859</v>
      </c>
      <c r="H601" s="7">
        <f t="shared" si="66"/>
        <v>4.8504033017621456E-13</v>
      </c>
      <c r="I601" s="8" t="str">
        <f t="shared" si="67"/>
        <v/>
      </c>
    </row>
    <row r="602" spans="1:9" x14ac:dyDescent="0.2">
      <c r="A602" s="5">
        <v>800</v>
      </c>
      <c r="B602" s="6">
        <v>2.5982029999999998</v>
      </c>
      <c r="C602" s="6">
        <f t="shared" si="63"/>
        <v>2.5552029999999997</v>
      </c>
      <c r="D602" s="6">
        <f t="shared" si="64"/>
        <v>2044.1623999999997</v>
      </c>
      <c r="E602" s="6">
        <f t="shared" si="68"/>
        <v>-694.68469500000003</v>
      </c>
      <c r="F602" s="6">
        <f t="shared" si="69"/>
        <v>-3.6339999999999151E-3</v>
      </c>
      <c r="G602" s="6">
        <f t="shared" si="65"/>
        <v>1367.7918004169132</v>
      </c>
      <c r="H602" s="7">
        <f t="shared" si="66"/>
        <v>3.4619885662496291E-13</v>
      </c>
      <c r="I602" s="8" t="str">
        <f t="shared" si="67"/>
        <v/>
      </c>
    </row>
    <row r="603" spans="1:9" x14ac:dyDescent="0.2">
      <c r="A603" s="5">
        <v>798</v>
      </c>
      <c r="B603" s="6">
        <v>2.6062029999999998</v>
      </c>
      <c r="C603" s="6">
        <f t="shared" si="63"/>
        <v>2.5632029999999997</v>
      </c>
      <c r="D603" s="6">
        <f t="shared" si="64"/>
        <v>2045.4359939999997</v>
      </c>
      <c r="E603" s="6">
        <f t="shared" si="68"/>
        <v>-699.80310100000008</v>
      </c>
      <c r="F603" s="6">
        <f t="shared" si="69"/>
        <v>-4.3042500000000095E-3</v>
      </c>
      <c r="G603" s="6">
        <f t="shared" si="65"/>
        <v>1369.8912090428953</v>
      </c>
      <c r="H603" s="7">
        <f t="shared" si="66"/>
        <v>2.9273803063524375E-13</v>
      </c>
      <c r="I603" s="8" t="str">
        <f t="shared" si="67"/>
        <v/>
      </c>
    </row>
    <row r="604" spans="1:9" x14ac:dyDescent="0.2">
      <c r="A604" s="5">
        <v>796</v>
      </c>
      <c r="B604" s="6">
        <v>2.6154199999999999</v>
      </c>
      <c r="C604" s="6">
        <f t="shared" si="63"/>
        <v>2.5724199999999997</v>
      </c>
      <c r="D604" s="6">
        <f t="shared" si="64"/>
        <v>2047.6463199999998</v>
      </c>
      <c r="E604" s="6">
        <f t="shared" si="68"/>
        <v>-704.93872400000009</v>
      </c>
      <c r="F604" s="6">
        <f t="shared" si="69"/>
        <v>-3.8405000000000244E-3</v>
      </c>
      <c r="G604" s="6">
        <f t="shared" si="65"/>
        <v>1372.291556206105</v>
      </c>
      <c r="H604" s="7">
        <f t="shared" si="66"/>
        <v>3.2866176102047443E-13</v>
      </c>
      <c r="I604" s="8" t="str">
        <f t="shared" si="67"/>
        <v/>
      </c>
    </row>
    <row r="605" spans="1:9" x14ac:dyDescent="0.2">
      <c r="A605" s="5">
        <v>794</v>
      </c>
      <c r="B605" s="6">
        <v>2.6215649999999999</v>
      </c>
      <c r="C605" s="6">
        <f t="shared" si="63"/>
        <v>2.5785649999999998</v>
      </c>
      <c r="D605" s="6">
        <f t="shared" si="64"/>
        <v>2047.3806099999999</v>
      </c>
      <c r="E605" s="6">
        <f t="shared" si="68"/>
        <v>-710.08970900000008</v>
      </c>
      <c r="F605" s="6">
        <f t="shared" si="69"/>
        <v>-3.902249999999996E-3</v>
      </c>
      <c r="G605" s="6">
        <f t="shared" si="65"/>
        <v>1373.8795844569377</v>
      </c>
      <c r="H605" s="7">
        <f t="shared" si="66"/>
        <v>3.238352622211123E-13</v>
      </c>
      <c r="I605" s="8" t="str">
        <f t="shared" si="67"/>
        <v/>
      </c>
    </row>
    <row r="606" spans="1:9" x14ac:dyDescent="0.2">
      <c r="A606" s="5">
        <v>792</v>
      </c>
      <c r="B606" s="6">
        <v>2.6310289999999998</v>
      </c>
      <c r="C606" s="6">
        <f t="shared" si="63"/>
        <v>2.5880289999999997</v>
      </c>
      <c r="D606" s="6">
        <f t="shared" si="64"/>
        <v>2049.7189679999997</v>
      </c>
      <c r="E606" s="6">
        <f t="shared" si="68"/>
        <v>-715.25630300000012</v>
      </c>
      <c r="F606" s="6">
        <f t="shared" si="69"/>
        <v>-3.8949999999999818E-3</v>
      </c>
      <c r="G606" s="6">
        <f t="shared" si="65"/>
        <v>1376.3064008614742</v>
      </c>
      <c r="H606" s="7">
        <f t="shared" si="66"/>
        <v>3.2501112274407974E-13</v>
      </c>
      <c r="I606" s="8" t="str">
        <f t="shared" si="67"/>
        <v/>
      </c>
    </row>
    <row r="607" spans="1:9" x14ac:dyDescent="0.2">
      <c r="A607" s="5">
        <v>790</v>
      </c>
      <c r="B607" s="6">
        <v>2.6371449999999999</v>
      </c>
      <c r="C607" s="6">
        <f t="shared" si="63"/>
        <v>2.5941449999999997</v>
      </c>
      <c r="D607" s="6">
        <f t="shared" si="64"/>
        <v>2049.3745499999995</v>
      </c>
      <c r="E607" s="6">
        <f t="shared" si="68"/>
        <v>-720.43847700000015</v>
      </c>
      <c r="F607" s="6">
        <f t="shared" si="69"/>
        <v>-3.0615000000000503E-3</v>
      </c>
      <c r="G607" s="6">
        <f t="shared" si="65"/>
        <v>1377.8624707560377</v>
      </c>
      <c r="H607" s="7">
        <f t="shared" si="66"/>
        <v>4.1396360829269743E-13</v>
      </c>
      <c r="I607" s="8" t="str">
        <f t="shared" si="67"/>
        <v/>
      </c>
    </row>
    <row r="608" spans="1:9" x14ac:dyDescent="0.2">
      <c r="A608" s="5">
        <v>788</v>
      </c>
      <c r="B608" s="6">
        <v>2.643275</v>
      </c>
      <c r="C608" s="6">
        <f t="shared" si="63"/>
        <v>2.6002749999999999</v>
      </c>
      <c r="D608" s="6">
        <f t="shared" si="64"/>
        <v>2049.0167000000001</v>
      </c>
      <c r="E608" s="6">
        <f t="shared" si="68"/>
        <v>-725.63289700000018</v>
      </c>
      <c r="F608" s="6">
        <f t="shared" si="69"/>
        <v>-3.1195000000000528E-3</v>
      </c>
      <c r="G608" s="6">
        <f t="shared" si="65"/>
        <v>1379.4098426156966</v>
      </c>
      <c r="H608" s="7">
        <f t="shared" si="66"/>
        <v>4.0672314476294269E-13</v>
      </c>
      <c r="I608" s="8" t="str">
        <f t="shared" si="67"/>
        <v/>
      </c>
    </row>
    <row r="609" spans="1:9" x14ac:dyDescent="0.2">
      <c r="A609" s="5">
        <v>786</v>
      </c>
      <c r="B609" s="6">
        <v>2.6496230000000001</v>
      </c>
      <c r="C609" s="6">
        <f t="shared" si="63"/>
        <v>2.6066229999999999</v>
      </c>
      <c r="D609" s="6">
        <f t="shared" si="64"/>
        <v>2048.8056779999997</v>
      </c>
      <c r="E609" s="6">
        <f t="shared" si="68"/>
        <v>-730.83979500000021</v>
      </c>
      <c r="F609" s="6">
        <f t="shared" si="69"/>
        <v>-2.82249999999995E-3</v>
      </c>
      <c r="G609" s="6">
        <f t="shared" si="65"/>
        <v>1380.9995473604133</v>
      </c>
      <c r="H609" s="7">
        <f t="shared" si="66"/>
        <v>4.5003899058288633E-13</v>
      </c>
      <c r="I609" s="8" t="str">
        <f t="shared" si="67"/>
        <v/>
      </c>
    </row>
    <row r="610" spans="1:9" x14ac:dyDescent="0.2">
      <c r="A610" s="5">
        <v>784</v>
      </c>
      <c r="B610" s="6">
        <v>2.6545649999999998</v>
      </c>
      <c r="C610" s="6">
        <f t="shared" si="63"/>
        <v>2.6115649999999997</v>
      </c>
      <c r="D610" s="6">
        <f t="shared" si="64"/>
        <v>2047.4669599999997</v>
      </c>
      <c r="E610" s="6">
        <f t="shared" si="68"/>
        <v>-736.05798300000026</v>
      </c>
      <c r="F610" s="6">
        <f t="shared" si="69"/>
        <v>-2.7175000000000393E-3</v>
      </c>
      <c r="G610" s="6">
        <f t="shared" si="65"/>
        <v>1382.2272690391137</v>
      </c>
      <c r="H610" s="7">
        <f t="shared" si="66"/>
        <v>4.6784334936976559E-13</v>
      </c>
      <c r="I610" s="8" t="str">
        <f t="shared" si="67"/>
        <v/>
      </c>
    </row>
    <row r="611" spans="1:9" x14ac:dyDescent="0.2">
      <c r="A611" s="5">
        <v>782</v>
      </c>
      <c r="B611" s="6">
        <v>2.6604930000000002</v>
      </c>
      <c r="C611" s="6">
        <f t="shared" si="63"/>
        <v>2.6174930000000001</v>
      </c>
      <c r="D611" s="6">
        <f t="shared" si="64"/>
        <v>2046.8795259999999</v>
      </c>
      <c r="E611" s="6">
        <f t="shared" si="68"/>
        <v>-741.28704100000027</v>
      </c>
      <c r="F611" s="6">
        <f t="shared" si="69"/>
        <v>-3.4457500000000252E-3</v>
      </c>
      <c r="G611" s="6">
        <f t="shared" si="65"/>
        <v>1383.6880828309668</v>
      </c>
      <c r="H611" s="7">
        <f t="shared" si="66"/>
        <v>3.693558585572849E-13</v>
      </c>
      <c r="I611" s="8" t="str">
        <f t="shared" si="67"/>
        <v/>
      </c>
    </row>
    <row r="612" spans="1:9" x14ac:dyDescent="0.2">
      <c r="A612" s="5">
        <v>780</v>
      </c>
      <c r="B612" s="6">
        <v>2.6683479999999999</v>
      </c>
      <c r="C612" s="6">
        <f t="shared" si="63"/>
        <v>2.6253479999999998</v>
      </c>
      <c r="D612" s="6">
        <f t="shared" si="64"/>
        <v>2047.7714399999998</v>
      </c>
      <c r="E612" s="6">
        <f t="shared" si="68"/>
        <v>-746.52988200000027</v>
      </c>
      <c r="F612" s="6">
        <f t="shared" si="69"/>
        <v>-3.1374999999999043E-3</v>
      </c>
      <c r="G612" s="6">
        <f t="shared" si="65"/>
        <v>1385.6080496756026</v>
      </c>
      <c r="H612" s="7">
        <f t="shared" si="66"/>
        <v>4.0620682822078713E-13</v>
      </c>
      <c r="I612" s="8" t="str">
        <f t="shared" si="67"/>
        <v/>
      </c>
    </row>
    <row r="613" spans="1:9" x14ac:dyDescent="0.2">
      <c r="A613" s="5">
        <v>778</v>
      </c>
      <c r="B613" s="6">
        <v>2.6730429999999998</v>
      </c>
      <c r="C613" s="6">
        <f t="shared" si="63"/>
        <v>2.6300429999999997</v>
      </c>
      <c r="D613" s="6">
        <f t="shared" si="64"/>
        <v>2046.1734539999998</v>
      </c>
      <c r="E613" s="6">
        <f t="shared" si="68"/>
        <v>-751.7852730000003</v>
      </c>
      <c r="F613" s="6">
        <f t="shared" si="69"/>
        <v>-2.6087500000000485E-3</v>
      </c>
      <c r="G613" s="6">
        <f t="shared" si="65"/>
        <v>1386.746240112976</v>
      </c>
      <c r="H613" s="7">
        <f t="shared" si="66"/>
        <v>4.8893946305291211E-13</v>
      </c>
      <c r="I613" s="8" t="str">
        <f t="shared" si="67"/>
        <v/>
      </c>
    </row>
    <row r="614" spans="1:9" x14ac:dyDescent="0.2">
      <c r="A614" s="5">
        <v>776</v>
      </c>
      <c r="B614" s="6">
        <v>2.6787830000000001</v>
      </c>
      <c r="C614" s="6">
        <f t="shared" si="63"/>
        <v>2.635783</v>
      </c>
      <c r="D614" s="6">
        <f t="shared" si="64"/>
        <v>2045.367608</v>
      </c>
      <c r="E614" s="6">
        <f t="shared" si="68"/>
        <v>-757.05109900000025</v>
      </c>
      <c r="F614" s="6">
        <f t="shared" si="69"/>
        <v>-3.1197500000000877E-3</v>
      </c>
      <c r="G614" s="6">
        <f t="shared" si="65"/>
        <v>1388.1262858021182</v>
      </c>
      <c r="H614" s="7">
        <f t="shared" si="66"/>
        <v>4.0926041571829758E-13</v>
      </c>
      <c r="I614" s="8" t="str">
        <f t="shared" si="67"/>
        <v/>
      </c>
    </row>
    <row r="615" spans="1:9" x14ac:dyDescent="0.2">
      <c r="A615" s="5">
        <v>774</v>
      </c>
      <c r="B615" s="6">
        <v>2.6855220000000002</v>
      </c>
      <c r="C615" s="6">
        <f t="shared" si="63"/>
        <v>2.642522</v>
      </c>
      <c r="D615" s="6">
        <f t="shared" si="64"/>
        <v>2045.3120280000001</v>
      </c>
      <c r="E615" s="6">
        <f t="shared" si="68"/>
        <v>-762.3294040000003</v>
      </c>
      <c r="F615" s="6">
        <f t="shared" si="69"/>
        <v>-3.4710000000000019E-3</v>
      </c>
      <c r="G615" s="6">
        <f t="shared" si="65"/>
        <v>1389.7330391434298</v>
      </c>
      <c r="H615" s="7">
        <f t="shared" si="66"/>
        <v>3.6827083375558241E-13</v>
      </c>
      <c r="I615" s="8" t="str">
        <f t="shared" si="67"/>
        <v/>
      </c>
    </row>
    <row r="616" spans="1:9" x14ac:dyDescent="0.2">
      <c r="A616" s="5">
        <v>772</v>
      </c>
      <c r="B616" s="6">
        <v>2.6926670000000001</v>
      </c>
      <c r="C616" s="6">
        <f t="shared" si="63"/>
        <v>2.649667</v>
      </c>
      <c r="D616" s="6">
        <f t="shared" si="64"/>
        <v>2045.5429240000001</v>
      </c>
      <c r="E616" s="6">
        <f t="shared" si="68"/>
        <v>-767.6215930000003</v>
      </c>
      <c r="F616" s="6">
        <f t="shared" si="69"/>
        <v>-2.9817500000000052E-3</v>
      </c>
      <c r="G616" s="6">
        <f t="shared" si="65"/>
        <v>1391.4223034725101</v>
      </c>
      <c r="H616" s="7">
        <f t="shared" si="66"/>
        <v>4.2921835804569397E-13</v>
      </c>
      <c r="I616" s="8" t="str">
        <f t="shared" si="67"/>
        <v/>
      </c>
    </row>
    <row r="617" spans="1:9" x14ac:dyDescent="0.2">
      <c r="A617" s="5">
        <v>770</v>
      </c>
      <c r="B617" s="6">
        <v>2.6974490000000002</v>
      </c>
      <c r="C617" s="6">
        <f t="shared" si="63"/>
        <v>2.6544490000000001</v>
      </c>
      <c r="D617" s="6">
        <f t="shared" si="64"/>
        <v>2043.9257300000002</v>
      </c>
      <c r="E617" s="6">
        <f t="shared" si="68"/>
        <v>-772.92570900000032</v>
      </c>
      <c r="F617" s="6">
        <f t="shared" si="69"/>
        <v>-2.4057499999999843E-3</v>
      </c>
      <c r="G617" s="6">
        <f t="shared" si="65"/>
        <v>1392.5433289786911</v>
      </c>
      <c r="H617" s="7">
        <f t="shared" si="66"/>
        <v>5.3241315664522326E-13</v>
      </c>
      <c r="I617" s="8" t="str">
        <f t="shared" si="67"/>
        <v/>
      </c>
    </row>
    <row r="618" spans="1:9" x14ac:dyDescent="0.2">
      <c r="A618" s="5">
        <v>768</v>
      </c>
      <c r="B618" s="6">
        <v>2.7022900000000001</v>
      </c>
      <c r="C618" s="6">
        <f t="shared" si="63"/>
        <v>2.6592899999999999</v>
      </c>
      <c r="D618" s="6">
        <f t="shared" si="64"/>
        <v>2042.3347199999998</v>
      </c>
      <c r="E618" s="6">
        <f t="shared" si="68"/>
        <v>-778.23944800000038</v>
      </c>
      <c r="F618" s="6">
        <f t="shared" si="69"/>
        <v>-2.2899999999999032E-3</v>
      </c>
      <c r="G618" s="6">
        <f t="shared" si="65"/>
        <v>1393.6685036234885</v>
      </c>
      <c r="H618" s="7">
        <f t="shared" si="66"/>
        <v>5.5977636700805375E-13</v>
      </c>
      <c r="I618" s="8" t="str">
        <f t="shared" si="67"/>
        <v/>
      </c>
    </row>
    <row r="619" spans="1:9" x14ac:dyDescent="0.2">
      <c r="A619" s="5">
        <v>766</v>
      </c>
      <c r="B619" s="6">
        <v>2.7066089999999998</v>
      </c>
      <c r="C619" s="6">
        <f t="shared" si="63"/>
        <v>2.6636089999999997</v>
      </c>
      <c r="D619" s="6">
        <f t="shared" si="64"/>
        <v>2040.3244939999997</v>
      </c>
      <c r="E619" s="6">
        <f t="shared" si="68"/>
        <v>-783.56234700000039</v>
      </c>
      <c r="F619" s="6">
        <f t="shared" si="69"/>
        <v>-2.0904999999999951E-3</v>
      </c>
      <c r="G619" s="6">
        <f t="shared" si="65"/>
        <v>1394.6637138554404</v>
      </c>
      <c r="H619" s="7">
        <f t="shared" si="66"/>
        <v>6.1363466578081495E-13</v>
      </c>
      <c r="I619" s="8" t="str">
        <f t="shared" si="67"/>
        <v/>
      </c>
    </row>
    <row r="620" spans="1:9" x14ac:dyDescent="0.2">
      <c r="A620" s="5">
        <v>764</v>
      </c>
      <c r="B620" s="6">
        <v>2.7106520000000001</v>
      </c>
      <c r="C620" s="6">
        <f t="shared" si="63"/>
        <v>2.6676519999999999</v>
      </c>
      <c r="D620" s="6">
        <f t="shared" si="64"/>
        <v>2038.0861279999999</v>
      </c>
      <c r="E620" s="6">
        <f t="shared" si="68"/>
        <v>-788.89360800000043</v>
      </c>
      <c r="F620" s="6">
        <f t="shared" si="69"/>
        <v>-2.4600000000000177E-3</v>
      </c>
      <c r="G620" s="6">
        <f t="shared" si="65"/>
        <v>1395.5872404897962</v>
      </c>
      <c r="H620" s="7">
        <f t="shared" si="66"/>
        <v>5.218100500165211E-13</v>
      </c>
      <c r="I620" s="8" t="str">
        <f t="shared" si="67"/>
        <v/>
      </c>
    </row>
    <row r="621" spans="1:9" x14ac:dyDescent="0.2">
      <c r="A621" s="5">
        <v>762</v>
      </c>
      <c r="B621" s="6">
        <v>2.7164489999999999</v>
      </c>
      <c r="C621" s="6">
        <f t="shared" si="63"/>
        <v>2.6734489999999997</v>
      </c>
      <c r="D621" s="6">
        <f t="shared" si="64"/>
        <v>2037.1681379999998</v>
      </c>
      <c r="E621" s="6">
        <f t="shared" si="68"/>
        <v>-794.23470900000041</v>
      </c>
      <c r="F621" s="6">
        <f t="shared" si="69"/>
        <v>-2.7175000000000393E-3</v>
      </c>
      <c r="G621" s="6">
        <f t="shared" si="65"/>
        <v>1396.8998324653985</v>
      </c>
      <c r="H621" s="7">
        <f t="shared" si="66"/>
        <v>4.7280958131363782E-13</v>
      </c>
      <c r="I621" s="8" t="str">
        <f t="shared" si="67"/>
        <v/>
      </c>
    </row>
    <row r="622" spans="1:9" x14ac:dyDescent="0.2">
      <c r="A622" s="5">
        <v>760</v>
      </c>
      <c r="B622" s="6">
        <v>2.7215220000000002</v>
      </c>
      <c r="C622" s="6">
        <f t="shared" si="63"/>
        <v>2.6785220000000001</v>
      </c>
      <c r="D622" s="6">
        <f t="shared" si="64"/>
        <v>2035.6767200000002</v>
      </c>
      <c r="E622" s="6">
        <f t="shared" si="68"/>
        <v>-799.58668000000046</v>
      </c>
      <c r="F622" s="6">
        <f t="shared" si="69"/>
        <v>-2.2717500000000168E-3</v>
      </c>
      <c r="G622" s="6">
        <f t="shared" si="65"/>
        <v>1398.0383459603495</v>
      </c>
      <c r="H622" s="7">
        <f t="shared" si="66"/>
        <v>5.6604258173780458E-13</v>
      </c>
      <c r="I622" s="8" t="str">
        <f t="shared" si="67"/>
        <v/>
      </c>
    </row>
    <row r="623" spans="1:9" x14ac:dyDescent="0.2">
      <c r="A623" s="5">
        <v>758</v>
      </c>
      <c r="B623" s="6">
        <v>2.725536</v>
      </c>
      <c r="C623" s="6">
        <f t="shared" si="63"/>
        <v>2.6825359999999998</v>
      </c>
      <c r="D623" s="6">
        <f t="shared" si="64"/>
        <v>2033.3622879999998</v>
      </c>
      <c r="E623" s="6">
        <f t="shared" si="68"/>
        <v>-804.94773800000041</v>
      </c>
      <c r="F623" s="6">
        <f t="shared" si="69"/>
        <v>-2.2317499999999768E-3</v>
      </c>
      <c r="G623" s="6">
        <f t="shared" si="65"/>
        <v>1398.9311642384359</v>
      </c>
      <c r="H623" s="7">
        <f t="shared" si="66"/>
        <v>5.7655581670345442E-13</v>
      </c>
      <c r="I623" s="8" t="str">
        <f t="shared" si="67"/>
        <v/>
      </c>
    </row>
    <row r="624" spans="1:9" x14ac:dyDescent="0.2">
      <c r="A624" s="5">
        <v>756</v>
      </c>
      <c r="B624" s="6">
        <v>2.7304490000000001</v>
      </c>
      <c r="C624" s="6">
        <f t="shared" si="63"/>
        <v>2.687449</v>
      </c>
      <c r="D624" s="6">
        <f t="shared" si="64"/>
        <v>2031.711444</v>
      </c>
      <c r="E624" s="6">
        <f t="shared" si="68"/>
        <v>-810.31772300000046</v>
      </c>
      <c r="F624" s="6">
        <f t="shared" si="69"/>
        <v>-3.0109999999999859E-3</v>
      </c>
      <c r="G624" s="6">
        <f t="shared" si="65"/>
        <v>1400.0141175608671</v>
      </c>
      <c r="H624" s="7">
        <f t="shared" si="66"/>
        <v>4.2767337690452451E-13</v>
      </c>
      <c r="I624" s="8" t="str">
        <f t="shared" si="67"/>
        <v/>
      </c>
    </row>
    <row r="625" spans="1:9" x14ac:dyDescent="0.2">
      <c r="A625" s="5">
        <v>754</v>
      </c>
      <c r="B625" s="6">
        <v>2.7375799999999999</v>
      </c>
      <c r="C625" s="6">
        <f t="shared" si="63"/>
        <v>2.6945799999999998</v>
      </c>
      <c r="D625" s="6">
        <f t="shared" si="64"/>
        <v>2031.7133199999998</v>
      </c>
      <c r="E625" s="6">
        <f t="shared" si="68"/>
        <v>-815.69975200000044</v>
      </c>
      <c r="F625" s="6">
        <f t="shared" si="69"/>
        <v>-2.9854999999999743E-3</v>
      </c>
      <c r="G625" s="6">
        <f t="shared" si="65"/>
        <v>1401.5717139248518</v>
      </c>
      <c r="H625" s="7">
        <f t="shared" si="66"/>
        <v>4.3180613150119613E-13</v>
      </c>
      <c r="I625" s="8" t="str">
        <f t="shared" si="67"/>
        <v/>
      </c>
    </row>
    <row r="626" spans="1:9" x14ac:dyDescent="0.2">
      <c r="A626" s="5">
        <v>752</v>
      </c>
      <c r="B626" s="6">
        <v>2.742391</v>
      </c>
      <c r="C626" s="6">
        <f t="shared" si="63"/>
        <v>2.6993909999999999</v>
      </c>
      <c r="D626" s="6">
        <f t="shared" si="64"/>
        <v>2029.9420319999999</v>
      </c>
      <c r="E626" s="6">
        <f t="shared" si="68"/>
        <v>-821.09372300000041</v>
      </c>
      <c r="F626" s="6">
        <f t="shared" si="69"/>
        <v>-1.8187499999999801E-3</v>
      </c>
      <c r="G626" s="6">
        <f t="shared" si="65"/>
        <v>1402.6129397873019</v>
      </c>
      <c r="H626" s="7">
        <f t="shared" si="66"/>
        <v>7.0934153614433354E-13</v>
      </c>
      <c r="I626" s="8" t="str">
        <f t="shared" si="67"/>
        <v/>
      </c>
    </row>
    <row r="627" spans="1:9" x14ac:dyDescent="0.2">
      <c r="A627" s="5">
        <v>750</v>
      </c>
      <c r="B627" s="6">
        <v>2.7448549999999998</v>
      </c>
      <c r="C627" s="6">
        <f t="shared" si="63"/>
        <v>2.7018549999999997</v>
      </c>
      <c r="D627" s="6">
        <f t="shared" si="64"/>
        <v>2026.3912499999997</v>
      </c>
      <c r="E627" s="6">
        <f t="shared" si="68"/>
        <v>-826.49496900000042</v>
      </c>
      <c r="F627" s="6">
        <f t="shared" si="69"/>
        <v>-1.7500000000000293E-3</v>
      </c>
      <c r="G627" s="6">
        <f t="shared" si="65"/>
        <v>1403.1412856441043</v>
      </c>
      <c r="H627" s="7">
        <f t="shared" si="66"/>
        <v>7.3748622182491363E-13</v>
      </c>
      <c r="I627" s="8" t="str">
        <f t="shared" si="67"/>
        <v/>
      </c>
    </row>
    <row r="628" spans="1:9" x14ac:dyDescent="0.2">
      <c r="A628" s="5">
        <v>748</v>
      </c>
      <c r="B628" s="6">
        <v>2.7493910000000001</v>
      </c>
      <c r="C628" s="6">
        <f t="shared" si="63"/>
        <v>2.706391</v>
      </c>
      <c r="D628" s="6">
        <f t="shared" si="64"/>
        <v>2024.3804680000001</v>
      </c>
      <c r="E628" s="6">
        <f t="shared" si="68"/>
        <v>-831.90321500000039</v>
      </c>
      <c r="F628" s="6">
        <f t="shared" si="69"/>
        <v>-1.7427500000000151E-3</v>
      </c>
      <c r="G628" s="6">
        <f t="shared" si="65"/>
        <v>1404.1048503350362</v>
      </c>
      <c r="H628" s="7">
        <f t="shared" si="66"/>
        <v>7.41062785357811E-13</v>
      </c>
      <c r="I628" s="8" t="str">
        <f t="shared" si="67"/>
        <v/>
      </c>
    </row>
    <row r="629" spans="1:9" x14ac:dyDescent="0.2">
      <c r="A629" s="5">
        <v>746</v>
      </c>
      <c r="B629" s="6">
        <v>2.7518259999999999</v>
      </c>
      <c r="C629" s="6">
        <f t="shared" si="63"/>
        <v>2.7088259999999997</v>
      </c>
      <c r="D629" s="6">
        <f t="shared" si="64"/>
        <v>2020.7841959999998</v>
      </c>
      <c r="E629" s="6">
        <f t="shared" si="68"/>
        <v>-837.31843200000037</v>
      </c>
      <c r="F629" s="6">
        <f t="shared" si="69"/>
        <v>-1.0869999999999491E-3</v>
      </c>
      <c r="G629" s="6">
        <f t="shared" si="65"/>
        <v>1404.6172378355695</v>
      </c>
      <c r="H629" s="7">
        <f t="shared" si="66"/>
        <v>1.188554241134976E-12</v>
      </c>
      <c r="I629" s="8" t="str">
        <f t="shared" si="67"/>
        <v/>
      </c>
    </row>
    <row r="630" spans="1:9" x14ac:dyDescent="0.2">
      <c r="A630" s="5">
        <v>744</v>
      </c>
      <c r="B630" s="6">
        <v>2.7537389999999999</v>
      </c>
      <c r="C630" s="6">
        <f t="shared" si="63"/>
        <v>2.7107389999999998</v>
      </c>
      <c r="D630" s="6">
        <f t="shared" si="64"/>
        <v>2016.7898159999997</v>
      </c>
      <c r="E630" s="6">
        <f t="shared" si="68"/>
        <v>-842.73799700000041</v>
      </c>
      <c r="F630" s="6">
        <f t="shared" si="69"/>
        <v>-1.5614999999999934E-3</v>
      </c>
      <c r="G630" s="6">
        <f t="shared" si="65"/>
        <v>1405.0159569232574</v>
      </c>
      <c r="H630" s="7">
        <f t="shared" si="66"/>
        <v>8.2761780308979101E-13</v>
      </c>
      <c r="I630" s="8" t="str">
        <f t="shared" si="67"/>
        <v/>
      </c>
    </row>
    <row r="631" spans="1:9" x14ac:dyDescent="0.2">
      <c r="A631" s="5">
        <v>742</v>
      </c>
      <c r="B631" s="6">
        <v>2.7580719999999999</v>
      </c>
      <c r="C631" s="6">
        <f t="shared" si="63"/>
        <v>2.7150719999999997</v>
      </c>
      <c r="D631" s="6">
        <f t="shared" si="64"/>
        <v>2014.5834239999997</v>
      </c>
      <c r="E631" s="6">
        <f t="shared" si="68"/>
        <v>-848.16380800000036</v>
      </c>
      <c r="F631" s="6">
        <f t="shared" si="69"/>
        <v>-2.395000000000036E-3</v>
      </c>
      <c r="G631" s="6">
        <f t="shared" si="65"/>
        <v>1405.9104011203049</v>
      </c>
      <c r="H631" s="7">
        <f t="shared" si="66"/>
        <v>5.3993649432158141E-13</v>
      </c>
      <c r="I631" s="8" t="str">
        <f t="shared" si="67"/>
        <v/>
      </c>
    </row>
    <row r="632" spans="1:9" x14ac:dyDescent="0.2">
      <c r="A632" s="5">
        <v>740</v>
      </c>
      <c r="B632" s="6">
        <v>2.7633190000000001</v>
      </c>
      <c r="C632" s="6">
        <f t="shared" si="63"/>
        <v>2.7203189999999999</v>
      </c>
      <c r="D632" s="6">
        <f t="shared" si="64"/>
        <v>2013.0360599999999</v>
      </c>
      <c r="E632" s="6">
        <f t="shared" si="68"/>
        <v>-853.59919900000034</v>
      </c>
      <c r="F632" s="6">
        <f t="shared" si="69"/>
        <v>-3.0762500000000026E-3</v>
      </c>
      <c r="G632" s="6">
        <f t="shared" si="65"/>
        <v>1406.983024752871</v>
      </c>
      <c r="H632" s="7">
        <f t="shared" si="66"/>
        <v>4.2068573641459294E-13</v>
      </c>
      <c r="I632" s="8" t="str">
        <f t="shared" si="67"/>
        <v/>
      </c>
    </row>
    <row r="633" spans="1:9" x14ac:dyDescent="0.2">
      <c r="A633" s="5">
        <v>738</v>
      </c>
      <c r="B633" s="6">
        <v>2.7703769999999999</v>
      </c>
      <c r="C633" s="6">
        <f t="shared" si="63"/>
        <v>2.7273769999999997</v>
      </c>
      <c r="D633" s="6">
        <f t="shared" si="64"/>
        <v>2012.8042259999997</v>
      </c>
      <c r="E633" s="6">
        <f t="shared" si="68"/>
        <v>-859.04689500000029</v>
      </c>
      <c r="F633" s="6">
        <f t="shared" si="69"/>
        <v>-2.9382500000000311E-3</v>
      </c>
      <c r="G633" s="6">
        <f t="shared" si="65"/>
        <v>1408.4117480131436</v>
      </c>
      <c r="H633" s="7">
        <f t="shared" si="66"/>
        <v>4.4089122017509679E-13</v>
      </c>
      <c r="I633" s="8" t="str">
        <f t="shared" si="67"/>
        <v/>
      </c>
    </row>
    <row r="634" spans="1:9" x14ac:dyDescent="0.2">
      <c r="A634" s="5">
        <v>736</v>
      </c>
      <c r="B634" s="6">
        <v>2.7750720000000002</v>
      </c>
      <c r="C634" s="6">
        <f t="shared" si="63"/>
        <v>2.7320720000000001</v>
      </c>
      <c r="D634" s="6">
        <f t="shared" si="64"/>
        <v>2010.8049920000001</v>
      </c>
      <c r="E634" s="6">
        <f t="shared" si="68"/>
        <v>-864.50634400000024</v>
      </c>
      <c r="F634" s="6">
        <f t="shared" si="69"/>
        <v>-2.3007500000000736E-3</v>
      </c>
      <c r="G634" s="6">
        <f t="shared" si="65"/>
        <v>1409.3527484505166</v>
      </c>
      <c r="H634" s="7">
        <f t="shared" si="66"/>
        <v>5.6343112211404631E-13</v>
      </c>
      <c r="I634" s="8" t="str">
        <f t="shared" si="67"/>
        <v/>
      </c>
    </row>
    <row r="635" spans="1:9" x14ac:dyDescent="0.2">
      <c r="A635" s="5">
        <v>734</v>
      </c>
      <c r="B635" s="6">
        <v>2.7795800000000002</v>
      </c>
      <c r="C635" s="6">
        <f t="shared" si="63"/>
        <v>2.73658</v>
      </c>
      <c r="D635" s="6">
        <f t="shared" si="64"/>
        <v>2008.6497200000001</v>
      </c>
      <c r="E635" s="6">
        <f t="shared" si="68"/>
        <v>-869.97499600000026</v>
      </c>
      <c r="F635" s="6">
        <f t="shared" si="69"/>
        <v>-2.1994999999999099E-3</v>
      </c>
      <c r="G635" s="6">
        <f t="shared" si="65"/>
        <v>1410.2472532112577</v>
      </c>
      <c r="H635" s="7">
        <f t="shared" si="66"/>
        <v>5.8974172052085026E-13</v>
      </c>
      <c r="I635" s="8" t="str">
        <f t="shared" si="67"/>
        <v/>
      </c>
    </row>
    <row r="636" spans="1:9" x14ac:dyDescent="0.2">
      <c r="A636" s="5">
        <v>732</v>
      </c>
      <c r="B636" s="6">
        <v>2.7838699999999998</v>
      </c>
      <c r="C636" s="6">
        <f t="shared" si="63"/>
        <v>2.7408699999999997</v>
      </c>
      <c r="D636" s="6">
        <f t="shared" si="64"/>
        <v>2006.3168399999997</v>
      </c>
      <c r="E636" s="6">
        <f t="shared" si="68"/>
        <v>-875.45244600000024</v>
      </c>
      <c r="F636" s="6">
        <f t="shared" si="69"/>
        <v>-2.4274999999999158E-3</v>
      </c>
      <c r="G636" s="6">
        <f t="shared" si="65"/>
        <v>1411.0899210869406</v>
      </c>
      <c r="H636" s="7">
        <f t="shared" si="66"/>
        <v>5.3467023485607623E-13</v>
      </c>
      <c r="I636" s="8" t="str">
        <f t="shared" si="67"/>
        <v/>
      </c>
    </row>
    <row r="637" spans="1:9" x14ac:dyDescent="0.2">
      <c r="A637" s="5">
        <v>730</v>
      </c>
      <c r="B637" s="6">
        <v>2.7892899999999998</v>
      </c>
      <c r="C637" s="6">
        <f t="shared" si="63"/>
        <v>2.7462899999999997</v>
      </c>
      <c r="D637" s="6">
        <f t="shared" si="64"/>
        <v>2004.7916999999998</v>
      </c>
      <c r="E637" s="6">
        <f t="shared" si="68"/>
        <v>-880.93960600000025</v>
      </c>
      <c r="F637" s="6">
        <f t="shared" si="69"/>
        <v>-2.047000000000021E-3</v>
      </c>
      <c r="G637" s="6">
        <f t="shared" si="65"/>
        <v>1412.1437104310435</v>
      </c>
      <c r="H637" s="7">
        <f t="shared" si="66"/>
        <v>6.3452919599089757E-13</v>
      </c>
      <c r="I637" s="8" t="str">
        <f t="shared" si="67"/>
        <v/>
      </c>
    </row>
    <row r="638" spans="1:9" x14ac:dyDescent="0.2">
      <c r="A638" s="5">
        <v>728</v>
      </c>
      <c r="B638" s="6">
        <v>2.7920579999999999</v>
      </c>
      <c r="C638" s="6">
        <f t="shared" si="63"/>
        <v>2.7490579999999998</v>
      </c>
      <c r="D638" s="6">
        <f t="shared" si="64"/>
        <v>2001.3142239999997</v>
      </c>
      <c r="E638" s="6">
        <f t="shared" si="68"/>
        <v>-886.43495400000029</v>
      </c>
      <c r="F638" s="6">
        <f t="shared" si="69"/>
        <v>-2.0145000000000302E-3</v>
      </c>
      <c r="G638" s="6">
        <f t="shared" si="65"/>
        <v>1412.6763458156333</v>
      </c>
      <c r="H638" s="7">
        <f t="shared" si="66"/>
        <v>6.4500927227910931E-13</v>
      </c>
      <c r="I638" s="8" t="str">
        <f t="shared" si="67"/>
        <v/>
      </c>
    </row>
    <row r="639" spans="1:9" x14ac:dyDescent="0.2">
      <c r="A639" s="5">
        <v>726</v>
      </c>
      <c r="B639" s="6">
        <v>2.7973479999999999</v>
      </c>
      <c r="C639" s="6">
        <f t="shared" si="63"/>
        <v>2.7543479999999998</v>
      </c>
      <c r="D639" s="6">
        <f t="shared" si="64"/>
        <v>1999.6566479999999</v>
      </c>
      <c r="E639" s="6">
        <f t="shared" si="68"/>
        <v>-891.93836000000033</v>
      </c>
      <c r="F639" s="6">
        <f t="shared" si="69"/>
        <v>-2.5252500000000344E-3</v>
      </c>
      <c r="G639" s="6">
        <f t="shared" si="65"/>
        <v>1413.6836997695641</v>
      </c>
      <c r="H639" s="7">
        <f t="shared" si="66"/>
        <v>5.1491841880798805E-13</v>
      </c>
      <c r="I639" s="8" t="str">
        <f t="shared" si="67"/>
        <v/>
      </c>
    </row>
    <row r="640" spans="1:9" x14ac:dyDescent="0.2">
      <c r="A640" s="5">
        <v>724</v>
      </c>
      <c r="B640" s="6">
        <v>2.8021590000000001</v>
      </c>
      <c r="C640" s="6">
        <f t="shared" si="63"/>
        <v>2.7591589999999999</v>
      </c>
      <c r="D640" s="6">
        <f t="shared" si="64"/>
        <v>1997.631116</v>
      </c>
      <c r="E640" s="6">
        <f t="shared" si="68"/>
        <v>-897.45186700000033</v>
      </c>
      <c r="F640" s="6">
        <f t="shared" si="69"/>
        <v>-2.1847500000000686E-3</v>
      </c>
      <c r="G640" s="6">
        <f t="shared" si="65"/>
        <v>1414.5902176320139</v>
      </c>
      <c r="H640" s="7">
        <f t="shared" si="66"/>
        <v>5.9555168635081297E-13</v>
      </c>
      <c r="I640" s="8" t="str">
        <f t="shared" si="67"/>
        <v/>
      </c>
    </row>
    <row r="641" spans="1:9" x14ac:dyDescent="0.2">
      <c r="A641" s="5">
        <v>722</v>
      </c>
      <c r="B641" s="6">
        <v>2.8060870000000002</v>
      </c>
      <c r="C641" s="6">
        <f t="shared" si="63"/>
        <v>2.7630870000000001</v>
      </c>
      <c r="D641" s="6">
        <f t="shared" si="64"/>
        <v>1994.9488140000001</v>
      </c>
      <c r="E641" s="6">
        <f t="shared" si="68"/>
        <v>-902.97411300000033</v>
      </c>
      <c r="F641" s="6">
        <f t="shared" si="69"/>
        <v>-1.9782499999999592E-3</v>
      </c>
      <c r="G641" s="6">
        <f t="shared" si="65"/>
        <v>1415.3224992673713</v>
      </c>
      <c r="H641" s="7">
        <f t="shared" si="66"/>
        <v>6.5805893844798787E-13</v>
      </c>
      <c r="I641" s="8" t="str">
        <f t="shared" si="67"/>
        <v/>
      </c>
    </row>
    <row r="642" spans="1:9" x14ac:dyDescent="0.2">
      <c r="A642" s="5">
        <v>720</v>
      </c>
      <c r="B642" s="6">
        <v>2.8100719999999999</v>
      </c>
      <c r="C642" s="6">
        <f t="shared" ref="C642:C705" si="70">B642-$B$2</f>
        <v>2.7670719999999998</v>
      </c>
      <c r="D642" s="6">
        <f t="shared" ref="D642:D705" si="71">A642*C642</f>
        <v>1992.2918399999999</v>
      </c>
      <c r="E642" s="6">
        <f t="shared" si="68"/>
        <v>-908.50427200000036</v>
      </c>
      <c r="F642" s="6">
        <f t="shared" si="69"/>
        <v>-2.2969999999999935E-3</v>
      </c>
      <c r="G642" s="6">
        <f t="shared" ref="G642:G705" si="72">(A642-$L$5)*C642-E642</f>
        <v>1416.0574371891885</v>
      </c>
      <c r="H642" s="7">
        <f t="shared" ref="H642:H705" si="73">IF(ABS(F642)&lt;0.000000001,"",-(G642)/(2*$L$4*F642)*0.000000000001)</f>
        <v>5.67035736373832E-13</v>
      </c>
      <c r="I642" s="8" t="str">
        <f t="shared" ref="I642:I705" si="74">IF(AND(B642&gt;=0.5,B642&lt;=2.5,ISNUMBER(H642),H642&gt;0),H642,"")</f>
        <v/>
      </c>
    </row>
    <row r="643" spans="1:9" x14ac:dyDescent="0.2">
      <c r="A643" s="5">
        <v>718</v>
      </c>
      <c r="B643" s="6">
        <v>2.8152750000000002</v>
      </c>
      <c r="C643" s="6">
        <f t="shared" si="70"/>
        <v>2.772275</v>
      </c>
      <c r="D643" s="6">
        <f t="shared" si="71"/>
        <v>1990.4934499999999</v>
      </c>
      <c r="E643" s="6">
        <f t="shared" ref="E643:E706" si="75">E642+(C642+C643)/2*(A643-A642)</f>
        <v>-914.04361900000038</v>
      </c>
      <c r="F643" s="6">
        <f t="shared" ref="F643:F706" si="76">(B644-B642)/(A644-A642)</f>
        <v>-2.8080000000000327E-3</v>
      </c>
      <c r="G643" s="6">
        <f t="shared" si="72"/>
        <v>1417.0066000743118</v>
      </c>
      <c r="H643" s="7">
        <f t="shared" si="73"/>
        <v>4.6415745040787199E-13</v>
      </c>
      <c r="I643" s="8" t="str">
        <f t="shared" si="74"/>
        <v/>
      </c>
    </row>
    <row r="644" spans="1:9" x14ac:dyDescent="0.2">
      <c r="A644" s="5">
        <v>716</v>
      </c>
      <c r="B644" s="6">
        <v>2.821304</v>
      </c>
      <c r="C644" s="6">
        <f t="shared" si="70"/>
        <v>2.7783039999999999</v>
      </c>
      <c r="D644" s="6">
        <f t="shared" si="71"/>
        <v>1989.265664</v>
      </c>
      <c r="E644" s="6">
        <f t="shared" si="75"/>
        <v>-919.59419800000035</v>
      </c>
      <c r="F644" s="6">
        <f t="shared" si="76"/>
        <v>-2.3079999999999767E-3</v>
      </c>
      <c r="G644" s="6">
        <f t="shared" si="72"/>
        <v>1418.0943889000673</v>
      </c>
      <c r="H644" s="7">
        <f t="shared" si="73"/>
        <v>5.6514500101547226E-13</v>
      </c>
      <c r="I644" s="8" t="str">
        <f t="shared" si="74"/>
        <v/>
      </c>
    </row>
    <row r="645" spans="1:9" x14ac:dyDescent="0.2">
      <c r="A645" s="5">
        <v>714</v>
      </c>
      <c r="B645" s="6">
        <v>2.8245070000000001</v>
      </c>
      <c r="C645" s="6">
        <f t="shared" si="70"/>
        <v>2.781507</v>
      </c>
      <c r="D645" s="6">
        <f t="shared" si="71"/>
        <v>1985.9959979999999</v>
      </c>
      <c r="E645" s="6">
        <f t="shared" si="75"/>
        <v>-925.15400900000031</v>
      </c>
      <c r="F645" s="6">
        <f t="shared" si="76"/>
        <v>-1.6159999999999508E-3</v>
      </c>
      <c r="G645" s="6">
        <f t="shared" si="72"/>
        <v>1418.6658876286949</v>
      </c>
      <c r="H645" s="7">
        <f t="shared" si="73"/>
        <v>8.0747544766459873E-13</v>
      </c>
      <c r="I645" s="8" t="str">
        <f t="shared" si="74"/>
        <v/>
      </c>
    </row>
    <row r="646" spans="1:9" x14ac:dyDescent="0.2">
      <c r="A646" s="5">
        <v>712</v>
      </c>
      <c r="B646" s="6">
        <v>2.8277679999999998</v>
      </c>
      <c r="C646" s="6">
        <f t="shared" si="70"/>
        <v>2.7847679999999997</v>
      </c>
      <c r="D646" s="6">
        <f t="shared" si="71"/>
        <v>1982.7548159999997</v>
      </c>
      <c r="E646" s="6">
        <f t="shared" si="75"/>
        <v>-930.72028400000033</v>
      </c>
      <c r="F646" s="6">
        <f t="shared" si="76"/>
        <v>-1.891250000000011E-3</v>
      </c>
      <c r="G646" s="6">
        <f t="shared" si="72"/>
        <v>1419.2412130698608</v>
      </c>
      <c r="H646" s="7">
        <f t="shared" si="73"/>
        <v>6.9023635389044399E-13</v>
      </c>
      <c r="I646" s="8" t="str">
        <f t="shared" si="74"/>
        <v/>
      </c>
    </row>
    <row r="647" spans="1:9" x14ac:dyDescent="0.2">
      <c r="A647" s="5">
        <v>710</v>
      </c>
      <c r="B647" s="6">
        <v>2.8320720000000001</v>
      </c>
      <c r="C647" s="6">
        <f t="shared" si="70"/>
        <v>2.789072</v>
      </c>
      <c r="D647" s="6">
        <f t="shared" si="71"/>
        <v>1980.2411199999999</v>
      </c>
      <c r="E647" s="6">
        <f t="shared" si="75"/>
        <v>-936.29412400000035</v>
      </c>
      <c r="F647" s="6">
        <f t="shared" si="76"/>
        <v>-2.2392500000000259E-3</v>
      </c>
      <c r="G647" s="6">
        <f t="shared" si="72"/>
        <v>1419.9919429106392</v>
      </c>
      <c r="H647" s="7">
        <f t="shared" si="73"/>
        <v>5.8327565974011495E-13</v>
      </c>
      <c r="I647" s="8" t="str">
        <f t="shared" si="74"/>
        <v/>
      </c>
    </row>
    <row r="648" spans="1:9" x14ac:dyDescent="0.2">
      <c r="A648" s="5">
        <v>708</v>
      </c>
      <c r="B648" s="6">
        <v>2.8367249999999999</v>
      </c>
      <c r="C648" s="6">
        <f t="shared" si="70"/>
        <v>2.7937249999999998</v>
      </c>
      <c r="D648" s="6">
        <f t="shared" si="71"/>
        <v>1977.9572999999998</v>
      </c>
      <c r="E648" s="6">
        <f t="shared" si="75"/>
        <v>-941.87692100000038</v>
      </c>
      <c r="F648" s="6">
        <f t="shared" si="76"/>
        <v>-1.7682499999999157E-3</v>
      </c>
      <c r="G648" s="6">
        <f t="shared" si="72"/>
        <v>1420.7942414527261</v>
      </c>
      <c r="H648" s="7">
        <f t="shared" si="73"/>
        <v>7.3905724328075424E-13</v>
      </c>
      <c r="I648" s="8" t="str">
        <f t="shared" si="74"/>
        <v/>
      </c>
    </row>
    <row r="649" spans="1:9" x14ac:dyDescent="0.2">
      <c r="A649" s="5">
        <v>706</v>
      </c>
      <c r="B649" s="6">
        <v>2.8391449999999998</v>
      </c>
      <c r="C649" s="6">
        <f t="shared" si="70"/>
        <v>2.7961449999999997</v>
      </c>
      <c r="D649" s="6">
        <f t="shared" si="71"/>
        <v>1974.0783699999997</v>
      </c>
      <c r="E649" s="6">
        <f t="shared" si="75"/>
        <v>-947.4667910000004</v>
      </c>
      <c r="F649" s="6">
        <f t="shared" si="76"/>
        <v>-2.0434999999999759E-3</v>
      </c>
      <c r="G649" s="6">
        <f t="shared" si="72"/>
        <v>1421.2066725620857</v>
      </c>
      <c r="H649" s="7">
        <f t="shared" si="73"/>
        <v>6.3969528851332957E-13</v>
      </c>
      <c r="I649" s="8" t="str">
        <f t="shared" si="74"/>
        <v/>
      </c>
    </row>
    <row r="650" spans="1:9" x14ac:dyDescent="0.2">
      <c r="A650" s="5">
        <v>704</v>
      </c>
      <c r="B650" s="6">
        <v>2.8448989999999998</v>
      </c>
      <c r="C650" s="6">
        <f t="shared" si="70"/>
        <v>2.8018989999999997</v>
      </c>
      <c r="D650" s="6">
        <f t="shared" si="71"/>
        <v>1972.5368959999998</v>
      </c>
      <c r="E650" s="6">
        <f t="shared" si="75"/>
        <v>-953.06483500000036</v>
      </c>
      <c r="F650" s="6">
        <f t="shared" si="76"/>
        <v>-2.0435000000000869E-3</v>
      </c>
      <c r="G650" s="6">
        <f t="shared" si="72"/>
        <v>1422.1757962163233</v>
      </c>
      <c r="H650" s="7">
        <f t="shared" si="73"/>
        <v>6.4013149800173266E-13</v>
      </c>
      <c r="I650" s="8" t="str">
        <f t="shared" si="74"/>
        <v/>
      </c>
    </row>
    <row r="651" spans="1:9" x14ac:dyDescent="0.2">
      <c r="A651" s="5">
        <v>702</v>
      </c>
      <c r="B651" s="6">
        <v>2.8473190000000002</v>
      </c>
      <c r="C651" s="6">
        <f t="shared" si="70"/>
        <v>2.804319</v>
      </c>
      <c r="D651" s="6">
        <f t="shared" si="71"/>
        <v>1968.631938</v>
      </c>
      <c r="E651" s="6">
        <f t="shared" si="75"/>
        <v>-958.67105300000037</v>
      </c>
      <c r="F651" s="6">
        <f t="shared" si="76"/>
        <v>-1.4492500000000685E-3</v>
      </c>
      <c r="G651" s="6">
        <f t="shared" si="72"/>
        <v>1422.5785473256828</v>
      </c>
      <c r="H651" s="7">
        <f t="shared" si="73"/>
        <v>9.0286642346509158E-13</v>
      </c>
      <c r="I651" s="8" t="str">
        <f t="shared" si="74"/>
        <v/>
      </c>
    </row>
    <row r="652" spans="1:9" x14ac:dyDescent="0.2">
      <c r="A652" s="5">
        <v>700</v>
      </c>
      <c r="B652" s="6">
        <v>2.8506960000000001</v>
      </c>
      <c r="C652" s="6">
        <f t="shared" si="70"/>
        <v>2.807696</v>
      </c>
      <c r="D652" s="6">
        <f t="shared" si="71"/>
        <v>1965.3871999999999</v>
      </c>
      <c r="E652" s="6">
        <f t="shared" si="75"/>
        <v>-964.28306800000041</v>
      </c>
      <c r="F652" s="6">
        <f t="shared" si="76"/>
        <v>-2.2717499999999058E-3</v>
      </c>
      <c r="G652" s="6">
        <f t="shared" si="72"/>
        <v>1423.1338141919257</v>
      </c>
      <c r="H652" s="7">
        <f t="shared" si="73"/>
        <v>5.7620332136902134E-13</v>
      </c>
      <c r="I652" s="8" t="str">
        <f t="shared" si="74"/>
        <v/>
      </c>
    </row>
    <row r="653" spans="1:9" x14ac:dyDescent="0.2">
      <c r="A653" s="5">
        <v>698</v>
      </c>
      <c r="B653" s="6">
        <v>2.8564059999999998</v>
      </c>
      <c r="C653" s="6">
        <f t="shared" si="70"/>
        <v>2.8134059999999996</v>
      </c>
      <c r="D653" s="6">
        <f t="shared" si="71"/>
        <v>1963.7573879999998</v>
      </c>
      <c r="E653" s="6">
        <f t="shared" si="75"/>
        <v>-969.90417000000036</v>
      </c>
      <c r="F653" s="6">
        <f t="shared" si="76"/>
        <v>-2.4092499999999184E-3</v>
      </c>
      <c r="G653" s="6">
        <f t="shared" si="72"/>
        <v>1424.0612670987202</v>
      </c>
      <c r="H653" s="7">
        <f t="shared" si="73"/>
        <v>5.4367249596663843E-13</v>
      </c>
      <c r="I653" s="8" t="str">
        <f t="shared" si="74"/>
        <v/>
      </c>
    </row>
    <row r="654" spans="1:9" x14ac:dyDescent="0.2">
      <c r="A654" s="5">
        <v>696</v>
      </c>
      <c r="B654" s="6">
        <v>2.8603329999999998</v>
      </c>
      <c r="C654" s="6">
        <f t="shared" si="70"/>
        <v>2.8173329999999996</v>
      </c>
      <c r="D654" s="6">
        <f t="shared" si="71"/>
        <v>1960.8637679999997</v>
      </c>
      <c r="E654" s="6">
        <f t="shared" si="75"/>
        <v>-975.53490900000031</v>
      </c>
      <c r="F654" s="6">
        <f t="shared" si="76"/>
        <v>-1.931000000000016E-3</v>
      </c>
      <c r="G654" s="6">
        <f t="shared" si="72"/>
        <v>1424.6912603079991</v>
      </c>
      <c r="H654" s="7">
        <f t="shared" si="73"/>
        <v>6.7862373115493504E-13</v>
      </c>
      <c r="I654" s="8" t="str">
        <f t="shared" si="74"/>
        <v/>
      </c>
    </row>
    <row r="655" spans="1:9" x14ac:dyDescent="0.2">
      <c r="A655" s="5">
        <v>694</v>
      </c>
      <c r="B655" s="6">
        <v>2.8641299999999998</v>
      </c>
      <c r="C655" s="6">
        <f t="shared" si="70"/>
        <v>2.8211299999999997</v>
      </c>
      <c r="D655" s="6">
        <f t="shared" si="71"/>
        <v>1957.8642199999997</v>
      </c>
      <c r="E655" s="6">
        <f t="shared" si="75"/>
        <v>-981.17337200000031</v>
      </c>
      <c r="F655" s="6">
        <f t="shared" si="76"/>
        <v>-1.8442500000001028E-3</v>
      </c>
      <c r="G655" s="6">
        <f t="shared" si="72"/>
        <v>1425.2928041271059</v>
      </c>
      <c r="H655" s="7">
        <f t="shared" si="73"/>
        <v>7.1084490781364119E-13</v>
      </c>
      <c r="I655" s="8" t="str">
        <f t="shared" si="74"/>
        <v/>
      </c>
    </row>
    <row r="656" spans="1:9" x14ac:dyDescent="0.2">
      <c r="A656" s="5">
        <v>692</v>
      </c>
      <c r="B656" s="6">
        <v>2.8677100000000002</v>
      </c>
      <c r="C656" s="6">
        <f t="shared" si="70"/>
        <v>2.8247100000000001</v>
      </c>
      <c r="D656" s="6">
        <f t="shared" si="71"/>
        <v>1954.6993199999999</v>
      </c>
      <c r="E656" s="6">
        <f t="shared" si="75"/>
        <v>-986.81921200000033</v>
      </c>
      <c r="F656" s="6">
        <f t="shared" si="76"/>
        <v>-1.6270000000000451E-3</v>
      </c>
      <c r="G656" s="6">
        <f t="shared" si="72"/>
        <v>1425.8528094872329</v>
      </c>
      <c r="H656" s="7">
        <f t="shared" si="73"/>
        <v>8.0607917073546506E-13</v>
      </c>
      <c r="I656" s="8" t="str">
        <f t="shared" si="74"/>
        <v/>
      </c>
    </row>
    <row r="657" spans="1:9" x14ac:dyDescent="0.2">
      <c r="A657" s="5">
        <v>690</v>
      </c>
      <c r="B657" s="6">
        <v>2.870638</v>
      </c>
      <c r="C657" s="6">
        <f t="shared" si="70"/>
        <v>2.8276379999999999</v>
      </c>
      <c r="D657" s="6">
        <f t="shared" si="71"/>
        <v>1951.0702199999998</v>
      </c>
      <c r="E657" s="6">
        <f t="shared" si="75"/>
        <v>-992.4715600000003</v>
      </c>
      <c r="F657" s="6">
        <f t="shared" si="76"/>
        <v>-1.2609999999999566E-3</v>
      </c>
      <c r="G657" s="6">
        <f t="shared" si="72"/>
        <v>1426.3049690443422</v>
      </c>
      <c r="H657" s="7">
        <f t="shared" si="73"/>
        <v>1.0403701065971848E-12</v>
      </c>
      <c r="I657" s="8" t="str">
        <f t="shared" si="74"/>
        <v/>
      </c>
    </row>
    <row r="658" spans="1:9" x14ac:dyDescent="0.2">
      <c r="A658" s="5">
        <v>688</v>
      </c>
      <c r="B658" s="6">
        <v>2.872754</v>
      </c>
      <c r="C658" s="6">
        <f t="shared" si="70"/>
        <v>2.8297539999999999</v>
      </c>
      <c r="D658" s="6">
        <f t="shared" si="71"/>
        <v>1946.8707519999998</v>
      </c>
      <c r="E658" s="6">
        <f t="shared" si="75"/>
        <v>-998.12895200000025</v>
      </c>
      <c r="F658" s="6">
        <f t="shared" si="76"/>
        <v>-1.0107499999999492E-3</v>
      </c>
      <c r="G658" s="6">
        <f t="shared" si="72"/>
        <v>1426.6275026259145</v>
      </c>
      <c r="H658" s="7">
        <f t="shared" si="73"/>
        <v>1.2982472113393839E-12</v>
      </c>
      <c r="I658" s="8" t="str">
        <f t="shared" si="74"/>
        <v/>
      </c>
    </row>
    <row r="659" spans="1:9" x14ac:dyDescent="0.2">
      <c r="A659" s="5">
        <v>686</v>
      </c>
      <c r="B659" s="6">
        <v>2.8746809999999998</v>
      </c>
      <c r="C659" s="6">
        <f t="shared" si="70"/>
        <v>2.8316809999999997</v>
      </c>
      <c r="D659" s="6">
        <f t="shared" si="71"/>
        <v>1942.5331659999997</v>
      </c>
      <c r="E659" s="6">
        <f t="shared" si="75"/>
        <v>-1003.7903870000002</v>
      </c>
      <c r="F659" s="6">
        <f t="shared" si="76"/>
        <v>-1.4889999999999626E-3</v>
      </c>
      <c r="G659" s="6">
        <f t="shared" si="72"/>
        <v>1426.9173736786979</v>
      </c>
      <c r="H659" s="7">
        <f t="shared" si="73"/>
        <v>8.8144391571965187E-13</v>
      </c>
      <c r="I659" s="8" t="str">
        <f t="shared" si="74"/>
        <v/>
      </c>
    </row>
    <row r="660" spans="1:9" x14ac:dyDescent="0.2">
      <c r="A660" s="5">
        <v>684</v>
      </c>
      <c r="B660" s="6">
        <v>2.8787099999999999</v>
      </c>
      <c r="C660" s="6">
        <f t="shared" si="70"/>
        <v>2.8357099999999997</v>
      </c>
      <c r="D660" s="6">
        <f t="shared" si="71"/>
        <v>1939.6256399999997</v>
      </c>
      <c r="E660" s="6">
        <f t="shared" si="75"/>
        <v>-1009.4577780000002</v>
      </c>
      <c r="F660" s="6">
        <f t="shared" si="76"/>
        <v>-1.5110000000000401E-3</v>
      </c>
      <c r="G660" s="6">
        <f t="shared" si="72"/>
        <v>1427.5153823479582</v>
      </c>
      <c r="H660" s="7">
        <f t="shared" si="73"/>
        <v>8.6897421262222744E-13</v>
      </c>
      <c r="I660" s="8" t="str">
        <f t="shared" si="74"/>
        <v/>
      </c>
    </row>
    <row r="661" spans="1:9" x14ac:dyDescent="0.2">
      <c r="A661" s="5">
        <v>682</v>
      </c>
      <c r="B661" s="6">
        <v>2.880725</v>
      </c>
      <c r="C661" s="6">
        <f t="shared" si="70"/>
        <v>2.8377249999999998</v>
      </c>
      <c r="D661" s="6">
        <f t="shared" si="71"/>
        <v>1935.32845</v>
      </c>
      <c r="E661" s="6">
        <f t="shared" si="75"/>
        <v>-1015.1312130000002</v>
      </c>
      <c r="F661" s="6">
        <f t="shared" si="76"/>
        <v>-9.8925000000005259E-4</v>
      </c>
      <c r="G661" s="6">
        <f t="shared" si="72"/>
        <v>1427.8104308956274</v>
      </c>
      <c r="H661" s="7">
        <f t="shared" si="73"/>
        <v>1.3275627183684799E-12</v>
      </c>
      <c r="I661" s="8" t="str">
        <f t="shared" si="74"/>
        <v/>
      </c>
    </row>
    <row r="662" spans="1:9" x14ac:dyDescent="0.2">
      <c r="A662" s="5">
        <v>680</v>
      </c>
      <c r="B662" s="6">
        <v>2.8826670000000001</v>
      </c>
      <c r="C662" s="6">
        <f t="shared" si="70"/>
        <v>2.8396669999999999</v>
      </c>
      <c r="D662" s="6">
        <f t="shared" si="71"/>
        <v>1930.9735599999999</v>
      </c>
      <c r="E662" s="6">
        <f t="shared" si="75"/>
        <v>-1020.8086050000003</v>
      </c>
      <c r="F662" s="6">
        <f t="shared" si="76"/>
        <v>-1.0687499999999517E-3</v>
      </c>
      <c r="G662" s="6">
        <f t="shared" si="72"/>
        <v>1428.0909063395848</v>
      </c>
      <c r="H662" s="7">
        <f t="shared" si="73"/>
        <v>1.2290520690218979E-12</v>
      </c>
      <c r="I662" s="8" t="str">
        <f t="shared" si="74"/>
        <v/>
      </c>
    </row>
    <row r="663" spans="1:9" x14ac:dyDescent="0.2">
      <c r="A663" s="5">
        <v>678</v>
      </c>
      <c r="B663" s="6">
        <v>2.8849999999999998</v>
      </c>
      <c r="C663" s="6">
        <f t="shared" si="70"/>
        <v>2.8419999999999996</v>
      </c>
      <c r="D663" s="6">
        <f t="shared" si="71"/>
        <v>1926.8759999999997</v>
      </c>
      <c r="E663" s="6">
        <f t="shared" si="75"/>
        <v>-1026.4902720000002</v>
      </c>
      <c r="F663" s="6">
        <f t="shared" si="76"/>
        <v>-1.50724999999996E-3</v>
      </c>
      <c r="G663" s="6">
        <f t="shared" si="72"/>
        <v>1428.4231863801365</v>
      </c>
      <c r="H663" s="7">
        <f t="shared" si="73"/>
        <v>8.7169018274572975E-13</v>
      </c>
      <c r="I663" s="8" t="str">
        <f t="shared" si="74"/>
        <v/>
      </c>
    </row>
    <row r="664" spans="1:9" x14ac:dyDescent="0.2">
      <c r="A664" s="5">
        <v>676</v>
      </c>
      <c r="B664" s="6">
        <v>2.8886959999999999</v>
      </c>
      <c r="C664" s="6">
        <f t="shared" si="70"/>
        <v>2.8456959999999998</v>
      </c>
      <c r="D664" s="6">
        <f t="shared" si="71"/>
        <v>1923.6904959999999</v>
      </c>
      <c r="E664" s="6">
        <f t="shared" si="75"/>
        <v>-1032.1779680000002</v>
      </c>
      <c r="F664" s="6">
        <f t="shared" si="76"/>
        <v>-1.6450000000000076E-3</v>
      </c>
      <c r="G664" s="6">
        <f t="shared" si="72"/>
        <v>1428.9422011653403</v>
      </c>
      <c r="H664" s="7">
        <f t="shared" si="73"/>
        <v>7.9898627028038549E-13</v>
      </c>
      <c r="I664" s="8" t="str">
        <f t="shared" si="74"/>
        <v/>
      </c>
    </row>
    <row r="665" spans="1:9" x14ac:dyDescent="0.2">
      <c r="A665" s="5">
        <v>674</v>
      </c>
      <c r="B665" s="6">
        <v>2.8915799999999998</v>
      </c>
      <c r="C665" s="6">
        <f t="shared" si="70"/>
        <v>2.8485799999999997</v>
      </c>
      <c r="D665" s="6">
        <f t="shared" si="71"/>
        <v>1919.9429199999997</v>
      </c>
      <c r="E665" s="6">
        <f t="shared" si="75"/>
        <v>-1037.8722440000001</v>
      </c>
      <c r="F665" s="6">
        <f t="shared" si="76"/>
        <v>-1.3840000000000519E-3</v>
      </c>
      <c r="G665" s="6">
        <f t="shared" si="72"/>
        <v>1429.3414219750068</v>
      </c>
      <c r="H665" s="7">
        <f t="shared" si="73"/>
        <v>9.4992746784904938E-13</v>
      </c>
      <c r="I665" s="8" t="str">
        <f t="shared" si="74"/>
        <v/>
      </c>
    </row>
    <row r="666" spans="1:9" x14ac:dyDescent="0.2">
      <c r="A666" s="5">
        <v>672</v>
      </c>
      <c r="B666" s="6">
        <v>2.8942320000000001</v>
      </c>
      <c r="C666" s="6">
        <f t="shared" si="70"/>
        <v>2.851232</v>
      </c>
      <c r="D666" s="6">
        <f t="shared" si="71"/>
        <v>1916.027904</v>
      </c>
      <c r="E666" s="6">
        <f t="shared" si="75"/>
        <v>-1043.5720560000002</v>
      </c>
      <c r="F666" s="6">
        <f t="shared" si="76"/>
        <v>-1.2645000000000017E-3</v>
      </c>
      <c r="G666" s="6">
        <f t="shared" si="72"/>
        <v>1429.7032239345199</v>
      </c>
      <c r="H666" s="7">
        <f t="shared" si="73"/>
        <v>1.0399623556840125E-12</v>
      </c>
      <c r="I666" s="8" t="str">
        <f t="shared" si="74"/>
        <v/>
      </c>
    </row>
    <row r="667" spans="1:9" x14ac:dyDescent="0.2">
      <c r="A667" s="5">
        <v>670</v>
      </c>
      <c r="B667" s="6">
        <v>2.8966379999999998</v>
      </c>
      <c r="C667" s="6">
        <f t="shared" si="70"/>
        <v>2.8536379999999997</v>
      </c>
      <c r="D667" s="6">
        <f t="shared" si="71"/>
        <v>1911.9374599999999</v>
      </c>
      <c r="E667" s="6">
        <f t="shared" si="75"/>
        <v>-1049.2769260000002</v>
      </c>
      <c r="F667" s="6">
        <f t="shared" si="76"/>
        <v>-8.8049999999995077E-4</v>
      </c>
      <c r="G667" s="6">
        <f t="shared" si="72"/>
        <v>1430.026653078784</v>
      </c>
      <c r="H667" s="7">
        <f t="shared" si="73"/>
        <v>1.4938442781804437E-12</v>
      </c>
      <c r="I667" s="8" t="str">
        <f t="shared" si="74"/>
        <v/>
      </c>
    </row>
    <row r="668" spans="1:9" x14ac:dyDescent="0.2">
      <c r="A668" s="5">
        <v>668</v>
      </c>
      <c r="B668" s="6">
        <v>2.8977539999999999</v>
      </c>
      <c r="C668" s="6">
        <f t="shared" si="70"/>
        <v>2.8547539999999998</v>
      </c>
      <c r="D668" s="6">
        <f t="shared" si="71"/>
        <v>1906.9756719999998</v>
      </c>
      <c r="E668" s="6">
        <f t="shared" si="75"/>
        <v>-1054.9853180000002</v>
      </c>
      <c r="F668" s="6">
        <f t="shared" si="76"/>
        <v>-7.8250000000001929E-4</v>
      </c>
      <c r="G668" s="6">
        <f t="shared" si="72"/>
        <v>1430.1744405821087</v>
      </c>
      <c r="H668" s="7">
        <f t="shared" si="73"/>
        <v>1.6811064805004543E-12</v>
      </c>
      <c r="I668" s="8" t="str">
        <f t="shared" si="74"/>
        <v/>
      </c>
    </row>
    <row r="669" spans="1:9" x14ac:dyDescent="0.2">
      <c r="A669" s="5">
        <v>666</v>
      </c>
      <c r="B669" s="6">
        <v>2.8997679999999999</v>
      </c>
      <c r="C669" s="6">
        <f t="shared" si="70"/>
        <v>2.8567679999999998</v>
      </c>
      <c r="D669" s="6">
        <f t="shared" si="71"/>
        <v>1902.6074879999999</v>
      </c>
      <c r="E669" s="6">
        <f t="shared" si="75"/>
        <v>-1060.6968400000003</v>
      </c>
      <c r="F669" s="6">
        <f t="shared" si="76"/>
        <v>-2.1267500000000661E-3</v>
      </c>
      <c r="G669" s="6">
        <f t="shared" si="72"/>
        <v>1430.4371187036995</v>
      </c>
      <c r="H669" s="7">
        <f t="shared" si="73"/>
        <v>6.1864696402627309E-13</v>
      </c>
      <c r="I669" s="8" t="str">
        <f t="shared" si="74"/>
        <v/>
      </c>
    </row>
    <row r="670" spans="1:9" x14ac:dyDescent="0.2">
      <c r="A670" s="5">
        <v>664</v>
      </c>
      <c r="B670" s="6">
        <v>2.9062610000000002</v>
      </c>
      <c r="C670" s="6">
        <f t="shared" si="70"/>
        <v>2.8632610000000001</v>
      </c>
      <c r="D670" s="6">
        <f t="shared" si="71"/>
        <v>1901.2053040000001</v>
      </c>
      <c r="E670" s="6">
        <f t="shared" si="75"/>
        <v>-1066.4168690000004</v>
      </c>
      <c r="F670" s="6">
        <f t="shared" si="76"/>
        <v>-2.4855000000000294E-3</v>
      </c>
      <c r="G670" s="6">
        <f t="shared" si="72"/>
        <v>1431.2709892297623</v>
      </c>
      <c r="H670" s="7">
        <f t="shared" si="73"/>
        <v>5.2966180640568325E-13</v>
      </c>
      <c r="I670" s="8" t="str">
        <f t="shared" si="74"/>
        <v/>
      </c>
    </row>
    <row r="671" spans="1:9" x14ac:dyDescent="0.2">
      <c r="A671" s="5">
        <v>662</v>
      </c>
      <c r="B671" s="6">
        <v>2.90971</v>
      </c>
      <c r="C671" s="6">
        <f t="shared" si="70"/>
        <v>2.8667099999999999</v>
      </c>
      <c r="D671" s="6">
        <f t="shared" si="71"/>
        <v>1897.7620199999999</v>
      </c>
      <c r="E671" s="6">
        <f t="shared" si="75"/>
        <v>-1072.1468400000003</v>
      </c>
      <c r="F671" s="6">
        <f t="shared" si="76"/>
        <v>-1.3587499999999642E-3</v>
      </c>
      <c r="G671" s="6">
        <f t="shared" si="72"/>
        <v>1431.707032773639</v>
      </c>
      <c r="H671" s="7">
        <f t="shared" si="73"/>
        <v>9.6918159340718536E-13</v>
      </c>
      <c r="I671" s="8" t="str">
        <f t="shared" si="74"/>
        <v/>
      </c>
    </row>
    <row r="672" spans="1:9" x14ac:dyDescent="0.2">
      <c r="A672" s="5">
        <v>660</v>
      </c>
      <c r="B672" s="6">
        <v>2.9116960000000001</v>
      </c>
      <c r="C672" s="6">
        <f t="shared" si="70"/>
        <v>2.8686959999999999</v>
      </c>
      <c r="D672" s="6">
        <f t="shared" si="71"/>
        <v>1893.3393599999999</v>
      </c>
      <c r="E672" s="6">
        <f t="shared" si="75"/>
        <v>-1077.8822460000004</v>
      </c>
      <c r="F672" s="6">
        <f t="shared" si="76"/>
        <v>-8.6949999999996752E-4</v>
      </c>
      <c r="G672" s="6">
        <f t="shared" si="72"/>
        <v>1431.954142965039</v>
      </c>
      <c r="H672" s="7">
        <f t="shared" si="73"/>
        <v>1.5147818062162758E-12</v>
      </c>
      <c r="I672" s="8" t="str">
        <f t="shared" si="74"/>
        <v/>
      </c>
    </row>
    <row r="673" spans="1:9" x14ac:dyDescent="0.2">
      <c r="A673" s="5">
        <v>658</v>
      </c>
      <c r="B673" s="6">
        <v>2.9131879999999999</v>
      </c>
      <c r="C673" s="6">
        <f t="shared" si="70"/>
        <v>2.8701879999999997</v>
      </c>
      <c r="D673" s="6">
        <f t="shared" si="71"/>
        <v>1888.5837039999999</v>
      </c>
      <c r="E673" s="6">
        <f t="shared" si="75"/>
        <v>-1083.6211300000004</v>
      </c>
      <c r="F673" s="6">
        <f t="shared" si="76"/>
        <v>-1.1267499999999542E-3</v>
      </c>
      <c r="G673" s="6">
        <f t="shared" si="72"/>
        <v>1432.1368026737846</v>
      </c>
      <c r="H673" s="7">
        <f t="shared" si="73"/>
        <v>1.16908878615755E-12</v>
      </c>
      <c r="I673" s="8" t="str">
        <f t="shared" si="74"/>
        <v/>
      </c>
    </row>
    <row r="674" spans="1:9" x14ac:dyDescent="0.2">
      <c r="A674" s="5">
        <v>656</v>
      </c>
      <c r="B674" s="6">
        <v>2.9162029999999999</v>
      </c>
      <c r="C674" s="6">
        <f t="shared" si="70"/>
        <v>2.8732029999999997</v>
      </c>
      <c r="D674" s="6">
        <f t="shared" si="71"/>
        <v>1884.8211679999997</v>
      </c>
      <c r="E674" s="6">
        <f t="shared" si="75"/>
        <v>-1089.3645210000004</v>
      </c>
      <c r="F674" s="6">
        <f t="shared" si="76"/>
        <v>-8.1525000000004511E-4</v>
      </c>
      <c r="G674" s="6">
        <f t="shared" si="72"/>
        <v>1432.4998872997016</v>
      </c>
      <c r="H674" s="7">
        <f t="shared" si="73"/>
        <v>1.6161971822766193E-12</v>
      </c>
      <c r="I674" s="8" t="str">
        <f t="shared" si="74"/>
        <v/>
      </c>
    </row>
    <row r="675" spans="1:9" x14ac:dyDescent="0.2">
      <c r="A675" s="5">
        <v>654</v>
      </c>
      <c r="B675" s="6">
        <v>2.9164490000000001</v>
      </c>
      <c r="C675" s="6">
        <f t="shared" si="70"/>
        <v>2.8734489999999999</v>
      </c>
      <c r="D675" s="6">
        <f t="shared" si="71"/>
        <v>1879.2356459999999</v>
      </c>
      <c r="E675" s="6">
        <f t="shared" si="75"/>
        <v>-1095.1111730000005</v>
      </c>
      <c r="F675" s="6">
        <f t="shared" si="76"/>
        <v>-7.4625000000005937E-4</v>
      </c>
      <c r="G675" s="6">
        <f t="shared" si="72"/>
        <v>1432.5290201149508</v>
      </c>
      <c r="H675" s="7">
        <f t="shared" si="73"/>
        <v>1.7656704174722482E-12</v>
      </c>
      <c r="I675" s="8" t="str">
        <f t="shared" si="74"/>
        <v/>
      </c>
    </row>
    <row r="676" spans="1:9" x14ac:dyDescent="0.2">
      <c r="A676" s="5">
        <v>652</v>
      </c>
      <c r="B676" s="6">
        <v>2.9191880000000001</v>
      </c>
      <c r="C676" s="6">
        <f t="shared" si="70"/>
        <v>2.876188</v>
      </c>
      <c r="D676" s="6">
        <f t="shared" si="71"/>
        <v>1875.274576</v>
      </c>
      <c r="E676" s="6">
        <f t="shared" si="75"/>
        <v>-1100.8608100000004</v>
      </c>
      <c r="F676" s="6">
        <f t="shared" si="76"/>
        <v>-1.5109999999999291E-3</v>
      </c>
      <c r="G676" s="6">
        <f t="shared" si="72"/>
        <v>1432.8479111432712</v>
      </c>
      <c r="H676" s="7">
        <f t="shared" si="73"/>
        <v>8.7222029323794891E-13</v>
      </c>
      <c r="I676" s="8" t="str">
        <f t="shared" si="74"/>
        <v/>
      </c>
    </row>
    <row r="677" spans="1:9" x14ac:dyDescent="0.2">
      <c r="A677" s="5">
        <v>650</v>
      </c>
      <c r="B677" s="6">
        <v>2.9224929999999998</v>
      </c>
      <c r="C677" s="6">
        <f t="shared" si="70"/>
        <v>2.8794929999999996</v>
      </c>
      <c r="D677" s="6">
        <f t="shared" si="71"/>
        <v>1871.6704499999998</v>
      </c>
      <c r="E677" s="6">
        <f t="shared" si="75"/>
        <v>-1106.6164910000005</v>
      </c>
      <c r="F677" s="6">
        <f t="shared" si="76"/>
        <v>-8.5150000000000503E-4</v>
      </c>
      <c r="G677" s="6">
        <f t="shared" si="72"/>
        <v>1433.2260893318801</v>
      </c>
      <c r="H677" s="7">
        <f t="shared" si="73"/>
        <v>1.5481769924820713E-12</v>
      </c>
      <c r="I677" s="8" t="str">
        <f t="shared" si="74"/>
        <v/>
      </c>
    </row>
    <row r="678" spans="1:9" x14ac:dyDescent="0.2">
      <c r="A678" s="5">
        <v>648</v>
      </c>
      <c r="B678" s="6">
        <v>2.9225940000000001</v>
      </c>
      <c r="C678" s="6">
        <f t="shared" si="70"/>
        <v>2.879594</v>
      </c>
      <c r="D678" s="6">
        <f t="shared" si="71"/>
        <v>1865.9769120000001</v>
      </c>
      <c r="E678" s="6">
        <f t="shared" si="75"/>
        <v>-1112.3755780000004</v>
      </c>
      <c r="F678" s="6">
        <f t="shared" si="76"/>
        <v>-5.2900000000000169E-4</v>
      </c>
      <c r="G678" s="6">
        <f t="shared" si="72"/>
        <v>1433.2374443657832</v>
      </c>
      <c r="H678" s="7">
        <f t="shared" si="73"/>
        <v>2.4920286453500129E-12</v>
      </c>
      <c r="I678" s="8" t="str">
        <f t="shared" si="74"/>
        <v/>
      </c>
    </row>
    <row r="679" spans="1:9" x14ac:dyDescent="0.2">
      <c r="A679" s="5">
        <v>646</v>
      </c>
      <c r="B679" s="6">
        <v>2.9246089999999998</v>
      </c>
      <c r="C679" s="6">
        <f t="shared" si="70"/>
        <v>2.8816089999999996</v>
      </c>
      <c r="D679" s="6">
        <f t="shared" si="71"/>
        <v>1861.5194139999999</v>
      </c>
      <c r="E679" s="6">
        <f t="shared" si="75"/>
        <v>-1118.1367810000004</v>
      </c>
      <c r="F679" s="6">
        <f t="shared" si="76"/>
        <v>-1.4782500000000143E-3</v>
      </c>
      <c r="G679" s="6">
        <f t="shared" si="72"/>
        <v>1433.4599529134523</v>
      </c>
      <c r="H679" s="7">
        <f t="shared" si="73"/>
        <v>8.9192478634176331E-13</v>
      </c>
      <c r="I679" s="8" t="str">
        <f t="shared" si="74"/>
        <v/>
      </c>
    </row>
    <row r="680" spans="1:9" x14ac:dyDescent="0.2">
      <c r="A680" s="5">
        <v>644</v>
      </c>
      <c r="B680" s="6">
        <v>2.9285070000000002</v>
      </c>
      <c r="C680" s="6">
        <f t="shared" si="70"/>
        <v>2.885507</v>
      </c>
      <c r="D680" s="6">
        <f t="shared" si="71"/>
        <v>1858.2665079999999</v>
      </c>
      <c r="E680" s="6">
        <f t="shared" si="75"/>
        <v>-1123.9038970000004</v>
      </c>
      <c r="F680" s="6">
        <f t="shared" si="76"/>
        <v>-1.7172500000000035E-3</v>
      </c>
      <c r="G680" s="6">
        <f t="shared" si="72"/>
        <v>1433.8825977664621</v>
      </c>
      <c r="H680" s="7">
        <f t="shared" si="73"/>
        <v>7.6801663217082263E-13</v>
      </c>
      <c r="I680" s="8" t="str">
        <f t="shared" si="74"/>
        <v/>
      </c>
    </row>
    <row r="681" spans="1:9" x14ac:dyDescent="0.2">
      <c r="A681" s="5">
        <v>642</v>
      </c>
      <c r="B681" s="6">
        <v>2.9314779999999998</v>
      </c>
      <c r="C681" s="6">
        <f t="shared" si="70"/>
        <v>2.8884779999999997</v>
      </c>
      <c r="D681" s="6">
        <f t="shared" si="71"/>
        <v>1854.4028759999999</v>
      </c>
      <c r="E681" s="6">
        <f t="shared" si="75"/>
        <v>-1129.6778820000004</v>
      </c>
      <c r="F681" s="6">
        <f t="shared" si="76"/>
        <v>-1.2717499999999049E-3</v>
      </c>
      <c r="G681" s="6">
        <f t="shared" si="72"/>
        <v>1434.1987896449361</v>
      </c>
      <c r="H681" s="7">
        <f t="shared" si="73"/>
        <v>1.0372851527245237E-12</v>
      </c>
      <c r="I681" s="8" t="str">
        <f t="shared" si="74"/>
        <v/>
      </c>
    </row>
    <row r="682" spans="1:9" x14ac:dyDescent="0.2">
      <c r="A682" s="5">
        <v>640</v>
      </c>
      <c r="B682" s="6">
        <v>2.9335939999999998</v>
      </c>
      <c r="C682" s="6">
        <f t="shared" si="70"/>
        <v>2.8905939999999997</v>
      </c>
      <c r="D682" s="6">
        <f t="shared" si="71"/>
        <v>1849.9801599999998</v>
      </c>
      <c r="E682" s="6">
        <f t="shared" si="75"/>
        <v>-1135.4569540000005</v>
      </c>
      <c r="F682" s="6">
        <f t="shared" si="76"/>
        <v>-1.4057500000000944E-3</v>
      </c>
      <c r="G682" s="6">
        <f t="shared" si="72"/>
        <v>1434.4197552265086</v>
      </c>
      <c r="H682" s="7">
        <f t="shared" si="73"/>
        <v>9.385528264527003E-13</v>
      </c>
      <c r="I682" s="8" t="str">
        <f t="shared" si="74"/>
        <v/>
      </c>
    </row>
    <row r="683" spans="1:9" x14ac:dyDescent="0.2">
      <c r="A683" s="5">
        <v>638</v>
      </c>
      <c r="B683" s="6">
        <v>2.9371010000000002</v>
      </c>
      <c r="C683" s="6">
        <f t="shared" si="70"/>
        <v>2.894101</v>
      </c>
      <c r="D683" s="6">
        <f t="shared" si="71"/>
        <v>1846.436438</v>
      </c>
      <c r="E683" s="6">
        <f t="shared" si="75"/>
        <v>-1141.2416490000005</v>
      </c>
      <c r="F683" s="6">
        <f t="shared" si="76"/>
        <v>-1.2392500000000251E-3</v>
      </c>
      <c r="G683" s="6">
        <f t="shared" si="72"/>
        <v>1434.7789634829235</v>
      </c>
      <c r="H683" s="7">
        <f t="shared" si="73"/>
        <v>1.0649191312267804E-12</v>
      </c>
      <c r="I683" s="8" t="str">
        <f t="shared" si="74"/>
        <v/>
      </c>
    </row>
    <row r="684" spans="1:9" x14ac:dyDescent="0.2">
      <c r="A684" s="5">
        <v>636</v>
      </c>
      <c r="B684" s="6">
        <v>2.9385509999999999</v>
      </c>
      <c r="C684" s="6">
        <f t="shared" si="70"/>
        <v>2.8955509999999998</v>
      </c>
      <c r="D684" s="6">
        <f t="shared" si="71"/>
        <v>1841.5704359999997</v>
      </c>
      <c r="E684" s="6">
        <f t="shared" si="75"/>
        <v>-1147.0313010000004</v>
      </c>
      <c r="F684" s="6">
        <f t="shared" si="76"/>
        <v>-9.7124999999997907E-4</v>
      </c>
      <c r="G684" s="6">
        <f t="shared" si="72"/>
        <v>1434.9245812963827</v>
      </c>
      <c r="H684" s="7">
        <f t="shared" si="73"/>
        <v>1.3589034458265394E-12</v>
      </c>
      <c r="I684" s="8" t="str">
        <f t="shared" si="74"/>
        <v/>
      </c>
    </row>
    <row r="685" spans="1:9" x14ac:dyDescent="0.2">
      <c r="A685" s="5">
        <v>634</v>
      </c>
      <c r="B685" s="6">
        <v>2.9409860000000001</v>
      </c>
      <c r="C685" s="6">
        <f t="shared" si="70"/>
        <v>2.897986</v>
      </c>
      <c r="D685" s="6">
        <f t="shared" si="71"/>
        <v>1837.323124</v>
      </c>
      <c r="E685" s="6">
        <f t="shared" si="75"/>
        <v>-1152.8248380000005</v>
      </c>
      <c r="F685" s="6">
        <f t="shared" si="76"/>
        <v>-1.1229999999999851E-3</v>
      </c>
      <c r="G685" s="6">
        <f t="shared" si="72"/>
        <v>1435.1642487969159</v>
      </c>
      <c r="H685" s="7">
        <f t="shared" si="73"/>
        <v>1.1754723209972294E-12</v>
      </c>
      <c r="I685" s="8" t="str">
        <f t="shared" si="74"/>
        <v/>
      </c>
    </row>
    <row r="686" spans="1:9" x14ac:dyDescent="0.2">
      <c r="A686" s="5">
        <v>632</v>
      </c>
      <c r="B686" s="6">
        <v>2.9430429999999999</v>
      </c>
      <c r="C686" s="6">
        <f t="shared" si="70"/>
        <v>2.9000429999999997</v>
      </c>
      <c r="D686" s="6">
        <f t="shared" si="71"/>
        <v>1832.8271759999998</v>
      </c>
      <c r="E686" s="6">
        <f t="shared" si="75"/>
        <v>-1158.6228670000005</v>
      </c>
      <c r="F686" s="6">
        <f t="shared" si="76"/>
        <v>-9.2375000000000096E-4</v>
      </c>
      <c r="G686" s="6">
        <f t="shared" si="72"/>
        <v>1435.3625972398718</v>
      </c>
      <c r="H686" s="7">
        <f t="shared" si="73"/>
        <v>1.4292155411971812E-12</v>
      </c>
      <c r="I686" s="8" t="str">
        <f t="shared" si="74"/>
        <v/>
      </c>
    </row>
    <row r="687" spans="1:9" x14ac:dyDescent="0.2">
      <c r="A687" s="5">
        <v>630</v>
      </c>
      <c r="B687" s="6">
        <v>2.9446810000000001</v>
      </c>
      <c r="C687" s="6">
        <f t="shared" si="70"/>
        <v>2.901681</v>
      </c>
      <c r="D687" s="6">
        <f t="shared" si="71"/>
        <v>1828.0590299999999</v>
      </c>
      <c r="E687" s="6">
        <f t="shared" si="75"/>
        <v>-1164.4245910000004</v>
      </c>
      <c r="F687" s="6">
        <f t="shared" si="76"/>
        <v>-1.0327500000000267E-3</v>
      </c>
      <c r="G687" s="6">
        <f t="shared" si="72"/>
        <v>1435.5172671560415</v>
      </c>
      <c r="H687" s="7">
        <f t="shared" si="73"/>
        <v>1.2785089524439616E-12</v>
      </c>
      <c r="I687" s="8" t="str">
        <f t="shared" si="74"/>
        <v/>
      </c>
    </row>
    <row r="688" spans="1:9" x14ac:dyDescent="0.2">
      <c r="A688" s="5">
        <v>628</v>
      </c>
      <c r="B688" s="6">
        <v>2.947174</v>
      </c>
      <c r="C688" s="6">
        <f t="shared" si="70"/>
        <v>2.9041739999999998</v>
      </c>
      <c r="D688" s="6">
        <f t="shared" si="71"/>
        <v>1823.8212719999999</v>
      </c>
      <c r="E688" s="6">
        <f t="shared" si="75"/>
        <v>-1170.2304460000005</v>
      </c>
      <c r="F688" s="6">
        <f t="shared" si="76"/>
        <v>-1.6484999999999417E-3</v>
      </c>
      <c r="G688" s="6">
        <f t="shared" si="72"/>
        <v>1435.7476853691132</v>
      </c>
      <c r="H688" s="7">
        <f t="shared" si="73"/>
        <v>8.0108708396642832E-13</v>
      </c>
      <c r="I688" s="8" t="str">
        <f t="shared" si="74"/>
        <v/>
      </c>
    </row>
    <row r="689" spans="1:9" x14ac:dyDescent="0.2">
      <c r="A689" s="5">
        <v>626</v>
      </c>
      <c r="B689" s="6">
        <v>2.9512749999999999</v>
      </c>
      <c r="C689" s="6">
        <f t="shared" si="70"/>
        <v>2.9082749999999997</v>
      </c>
      <c r="D689" s="6">
        <f t="shared" si="71"/>
        <v>1820.5801499999998</v>
      </c>
      <c r="E689" s="6">
        <f t="shared" si="75"/>
        <v>-1176.0428950000005</v>
      </c>
      <c r="F689" s="6">
        <f t="shared" si="76"/>
        <v>-1.7245000000000177E-3</v>
      </c>
      <c r="G689" s="6">
        <f t="shared" si="72"/>
        <v>1436.1185227160072</v>
      </c>
      <c r="H689" s="7">
        <f t="shared" si="73"/>
        <v>7.6598037220799861E-13</v>
      </c>
      <c r="I689" s="8" t="str">
        <f t="shared" si="74"/>
        <v/>
      </c>
    </row>
    <row r="690" spans="1:9" x14ac:dyDescent="0.2">
      <c r="A690" s="5">
        <v>624</v>
      </c>
      <c r="B690" s="6">
        <v>2.954072</v>
      </c>
      <c r="C690" s="6">
        <f t="shared" si="70"/>
        <v>2.9110719999999999</v>
      </c>
      <c r="D690" s="6">
        <f t="shared" si="71"/>
        <v>1816.508928</v>
      </c>
      <c r="E690" s="6">
        <f t="shared" si="75"/>
        <v>-1181.8622420000006</v>
      </c>
      <c r="F690" s="6">
        <f t="shared" si="76"/>
        <v>-1.1920000000000819E-3</v>
      </c>
      <c r="G690" s="6">
        <f t="shared" si="72"/>
        <v>1436.3658504568664</v>
      </c>
      <c r="H690" s="7">
        <f t="shared" si="73"/>
        <v>1.1083562436546313E-12</v>
      </c>
      <c r="I690" s="8" t="str">
        <f t="shared" si="74"/>
        <v/>
      </c>
    </row>
    <row r="691" spans="1:9" x14ac:dyDescent="0.2">
      <c r="A691" s="5">
        <v>622</v>
      </c>
      <c r="B691" s="6">
        <v>2.9560430000000002</v>
      </c>
      <c r="C691" s="6">
        <f t="shared" si="70"/>
        <v>2.913043</v>
      </c>
      <c r="D691" s="6">
        <f t="shared" si="71"/>
        <v>1811.912746</v>
      </c>
      <c r="E691" s="6">
        <f t="shared" si="75"/>
        <v>-1187.6863570000005</v>
      </c>
      <c r="F691" s="6">
        <f t="shared" si="76"/>
        <v>-1.043499999999975E-3</v>
      </c>
      <c r="G691" s="6">
        <f t="shared" si="72"/>
        <v>1436.5361962570926</v>
      </c>
      <c r="H691" s="7">
        <f t="shared" si="73"/>
        <v>1.2662360569963106E-12</v>
      </c>
      <c r="I691" s="8" t="str">
        <f t="shared" si="74"/>
        <v/>
      </c>
    </row>
    <row r="692" spans="1:9" x14ac:dyDescent="0.2">
      <c r="A692" s="5">
        <v>620</v>
      </c>
      <c r="B692" s="6">
        <v>2.9582459999999999</v>
      </c>
      <c r="C692" s="6">
        <f t="shared" si="70"/>
        <v>2.9152459999999998</v>
      </c>
      <c r="D692" s="6">
        <f t="shared" si="71"/>
        <v>1807.4525199999998</v>
      </c>
      <c r="E692" s="6">
        <f t="shared" si="75"/>
        <v>-1193.5146460000005</v>
      </c>
      <c r="F692" s="6">
        <f t="shared" si="76"/>
        <v>-9.0599999999996239E-4</v>
      </c>
      <c r="G692" s="6">
        <f t="shared" si="72"/>
        <v>1436.7221869074724</v>
      </c>
      <c r="H692" s="7">
        <f t="shared" si="73"/>
        <v>1.458596466394761E-12</v>
      </c>
      <c r="I692" s="8" t="str">
        <f t="shared" si="74"/>
        <v/>
      </c>
    </row>
    <row r="693" spans="1:9" x14ac:dyDescent="0.2">
      <c r="A693" s="5">
        <v>618</v>
      </c>
      <c r="B693" s="6">
        <v>2.959667</v>
      </c>
      <c r="C693" s="6">
        <f t="shared" si="70"/>
        <v>2.9166669999999999</v>
      </c>
      <c r="D693" s="6">
        <f t="shared" si="71"/>
        <v>1802.5002059999999</v>
      </c>
      <c r="E693" s="6">
        <f t="shared" si="75"/>
        <v>-1199.3465590000005</v>
      </c>
      <c r="F693" s="6">
        <f t="shared" si="76"/>
        <v>-4.3124999999999414E-4</v>
      </c>
      <c r="G693" s="6">
        <f t="shared" si="72"/>
        <v>1436.8393143646624</v>
      </c>
      <c r="H693" s="7">
        <f t="shared" si="73"/>
        <v>3.0645707401321983E-12</v>
      </c>
      <c r="I693" s="8" t="str">
        <f t="shared" si="74"/>
        <v/>
      </c>
    </row>
    <row r="694" spans="1:9" x14ac:dyDescent="0.2">
      <c r="A694" s="5">
        <v>616</v>
      </c>
      <c r="B694" s="6">
        <v>2.9599709999999999</v>
      </c>
      <c r="C694" s="6">
        <f t="shared" si="70"/>
        <v>2.9169709999999998</v>
      </c>
      <c r="D694" s="6">
        <f t="shared" si="71"/>
        <v>1796.8541359999999</v>
      </c>
      <c r="E694" s="6">
        <f t="shared" si="75"/>
        <v>-1205.1801970000006</v>
      </c>
      <c r="F694" s="6">
        <f t="shared" si="76"/>
        <v>-9.2749999999997002E-4</v>
      </c>
      <c r="G694" s="6">
        <f t="shared" si="72"/>
        <v>1436.8637638924499</v>
      </c>
      <c r="H694" s="7">
        <f t="shared" si="73"/>
        <v>1.4249257360756544E-12</v>
      </c>
      <c r="I694" s="8" t="str">
        <f t="shared" si="74"/>
        <v/>
      </c>
    </row>
    <row r="695" spans="1:9" x14ac:dyDescent="0.2">
      <c r="A695" s="5">
        <v>614</v>
      </c>
      <c r="B695" s="6">
        <v>2.9633769999999999</v>
      </c>
      <c r="C695" s="6">
        <f t="shared" si="70"/>
        <v>2.9203769999999998</v>
      </c>
      <c r="D695" s="6">
        <f t="shared" si="71"/>
        <v>1793.1114779999998</v>
      </c>
      <c r="E695" s="6">
        <f t="shared" si="75"/>
        <v>-1211.0175450000006</v>
      </c>
      <c r="F695" s="6">
        <f t="shared" si="76"/>
        <v>-1.9274999999999709E-3</v>
      </c>
      <c r="G695" s="6">
        <f t="shared" si="72"/>
        <v>1437.1308831149618</v>
      </c>
      <c r="H695" s="7">
        <f t="shared" si="73"/>
        <v>6.8579212184656623E-13</v>
      </c>
      <c r="I695" s="8" t="str">
        <f t="shared" si="74"/>
        <v/>
      </c>
    </row>
    <row r="696" spans="1:9" x14ac:dyDescent="0.2">
      <c r="A696" s="5">
        <v>612</v>
      </c>
      <c r="B696" s="6">
        <v>2.9676809999999998</v>
      </c>
      <c r="C696" s="6">
        <f t="shared" si="70"/>
        <v>2.9246809999999996</v>
      </c>
      <c r="D696" s="6">
        <f t="shared" si="71"/>
        <v>1789.9047719999999</v>
      </c>
      <c r="E696" s="6">
        <f t="shared" si="75"/>
        <v>-1216.8626030000007</v>
      </c>
      <c r="F696" s="6">
        <f t="shared" si="76"/>
        <v>-1.6485000000000527E-3</v>
      </c>
      <c r="G696" s="6">
        <f t="shared" si="72"/>
        <v>1437.4598209557403</v>
      </c>
      <c r="H696" s="7">
        <f t="shared" si="73"/>
        <v>8.0204238392501127E-13</v>
      </c>
      <c r="I696" s="8" t="str">
        <f t="shared" si="74"/>
        <v/>
      </c>
    </row>
    <row r="697" spans="1:9" x14ac:dyDescent="0.2">
      <c r="A697" s="5">
        <v>610</v>
      </c>
      <c r="B697" s="6">
        <v>2.9699710000000001</v>
      </c>
      <c r="C697" s="6">
        <f t="shared" si="70"/>
        <v>2.926971</v>
      </c>
      <c r="D697" s="6">
        <f t="shared" si="71"/>
        <v>1785.4523099999999</v>
      </c>
      <c r="E697" s="6">
        <f t="shared" si="75"/>
        <v>-1222.7142550000008</v>
      </c>
      <c r="F697" s="6">
        <f t="shared" si="76"/>
        <v>-1.0255000000000125E-3</v>
      </c>
      <c r="G697" s="6">
        <f t="shared" si="72"/>
        <v>1437.6302566749278</v>
      </c>
      <c r="H697" s="7">
        <f t="shared" si="73"/>
        <v>1.289442843146302E-12</v>
      </c>
      <c r="I697" s="8" t="str">
        <f t="shared" si="74"/>
        <v/>
      </c>
    </row>
    <row r="698" spans="1:9" x14ac:dyDescent="0.2">
      <c r="A698" s="5">
        <v>608</v>
      </c>
      <c r="B698" s="6">
        <v>2.9717829999999998</v>
      </c>
      <c r="C698" s="6">
        <f t="shared" si="70"/>
        <v>2.9287829999999997</v>
      </c>
      <c r="D698" s="6">
        <f t="shared" si="71"/>
        <v>1780.7000639999999</v>
      </c>
      <c r="E698" s="6">
        <f t="shared" si="75"/>
        <v>-1228.5700090000007</v>
      </c>
      <c r="F698" s="6">
        <f t="shared" si="76"/>
        <v>-1.1992499999999851E-3</v>
      </c>
      <c r="G698" s="6">
        <f t="shared" si="72"/>
        <v>1437.7614927287125</v>
      </c>
      <c r="H698" s="7">
        <f t="shared" si="73"/>
        <v>1.1027261586633129E-12</v>
      </c>
      <c r="I698" s="8" t="str">
        <f t="shared" si="74"/>
        <v/>
      </c>
    </row>
    <row r="699" spans="1:9" x14ac:dyDescent="0.2">
      <c r="A699" s="5">
        <v>606</v>
      </c>
      <c r="B699" s="6">
        <v>2.9747680000000001</v>
      </c>
      <c r="C699" s="6">
        <f t="shared" si="70"/>
        <v>2.9317679999999999</v>
      </c>
      <c r="D699" s="6">
        <f t="shared" si="71"/>
        <v>1776.6514079999999</v>
      </c>
      <c r="E699" s="6">
        <f t="shared" si="75"/>
        <v>-1234.4305600000007</v>
      </c>
      <c r="F699" s="6">
        <f t="shared" si="76"/>
        <v>-1.0324999999999918E-3</v>
      </c>
      <c r="G699" s="6">
        <f t="shared" si="72"/>
        <v>1437.9717145722821</v>
      </c>
      <c r="H699" s="7">
        <f t="shared" si="73"/>
        <v>1.2810050426733566E-12</v>
      </c>
      <c r="I699" s="8" t="str">
        <f t="shared" si="74"/>
        <v/>
      </c>
    </row>
    <row r="700" spans="1:9" x14ac:dyDescent="0.2">
      <c r="A700" s="5">
        <v>604</v>
      </c>
      <c r="B700" s="6">
        <v>2.9759129999999998</v>
      </c>
      <c r="C700" s="6">
        <f t="shared" si="70"/>
        <v>2.9329129999999997</v>
      </c>
      <c r="D700" s="6">
        <f t="shared" si="71"/>
        <v>1771.4794519999998</v>
      </c>
      <c r="E700" s="6">
        <f t="shared" si="75"/>
        <v>-1240.2952410000007</v>
      </c>
      <c r="F700" s="6">
        <f t="shared" si="76"/>
        <v>-7.3199999999995491E-4</v>
      </c>
      <c r="G700" s="6">
        <f t="shared" si="72"/>
        <v>1438.0500624318759</v>
      </c>
      <c r="H700" s="7">
        <f t="shared" si="73"/>
        <v>1.8069805607224409E-12</v>
      </c>
      <c r="I700" s="8" t="str">
        <f t="shared" si="74"/>
        <v/>
      </c>
    </row>
    <row r="701" spans="1:9" x14ac:dyDescent="0.2">
      <c r="A701" s="5">
        <v>602</v>
      </c>
      <c r="B701" s="6">
        <v>2.9776959999999999</v>
      </c>
      <c r="C701" s="6">
        <f t="shared" si="70"/>
        <v>2.9346959999999997</v>
      </c>
      <c r="D701" s="6">
        <f t="shared" si="71"/>
        <v>1766.6869919999999</v>
      </c>
      <c r="E701" s="6">
        <f t="shared" si="75"/>
        <v>-1246.1628500000006</v>
      </c>
      <c r="F701" s="6">
        <f t="shared" si="76"/>
        <v>-5.6875000000000675E-4</v>
      </c>
      <c r="G701" s="6">
        <f t="shared" si="72"/>
        <v>1438.1685001293915</v>
      </c>
      <c r="H701" s="7">
        <f t="shared" si="73"/>
        <v>2.3258350922694847E-12</v>
      </c>
      <c r="I701" s="8" t="str">
        <f t="shared" si="74"/>
        <v/>
      </c>
    </row>
    <row r="702" spans="1:9" x14ac:dyDescent="0.2">
      <c r="A702" s="5">
        <v>600</v>
      </c>
      <c r="B702" s="6">
        <v>2.9781879999999998</v>
      </c>
      <c r="C702" s="6">
        <f t="shared" si="70"/>
        <v>2.9351879999999997</v>
      </c>
      <c r="D702" s="6">
        <f t="shared" si="71"/>
        <v>1761.1127999999999</v>
      </c>
      <c r="E702" s="6">
        <f t="shared" si="75"/>
        <v>-1252.0327340000006</v>
      </c>
      <c r="F702" s="6">
        <f t="shared" si="76"/>
        <v>-5.2525000000003264E-4</v>
      </c>
      <c r="G702" s="6">
        <f t="shared" si="72"/>
        <v>1438.2001977598893</v>
      </c>
      <c r="H702" s="7">
        <f t="shared" si="73"/>
        <v>2.5185109262588789E-12</v>
      </c>
      <c r="I702" s="8" t="str">
        <f t="shared" si="74"/>
        <v/>
      </c>
    </row>
    <row r="703" spans="1:9" x14ac:dyDescent="0.2">
      <c r="A703" s="5">
        <v>598</v>
      </c>
      <c r="B703" s="6">
        <v>2.979797</v>
      </c>
      <c r="C703" s="6">
        <f t="shared" si="70"/>
        <v>2.9367969999999999</v>
      </c>
      <c r="D703" s="6">
        <f t="shared" si="71"/>
        <v>1756.204606</v>
      </c>
      <c r="E703" s="6">
        <f t="shared" si="75"/>
        <v>-1257.9047190000006</v>
      </c>
      <c r="F703" s="6">
        <f t="shared" si="76"/>
        <v>-7.6100000000001167E-4</v>
      </c>
      <c r="G703" s="6">
        <f t="shared" si="72"/>
        <v>1438.30064131979</v>
      </c>
      <c r="H703" s="7">
        <f t="shared" si="73"/>
        <v>1.738423457815865E-12</v>
      </c>
      <c r="I703" s="8" t="str">
        <f t="shared" si="74"/>
        <v/>
      </c>
    </row>
    <row r="704" spans="1:9" x14ac:dyDescent="0.2">
      <c r="A704" s="5">
        <v>596</v>
      </c>
      <c r="B704" s="6">
        <v>2.9812319999999999</v>
      </c>
      <c r="C704" s="6">
        <f t="shared" si="70"/>
        <v>2.9382319999999997</v>
      </c>
      <c r="D704" s="6">
        <f t="shared" si="71"/>
        <v>1751.1862719999999</v>
      </c>
      <c r="E704" s="6">
        <f t="shared" si="75"/>
        <v>-1263.7797480000006</v>
      </c>
      <c r="F704" s="6">
        <f t="shared" si="76"/>
        <v>-4.9275000000004177E-4</v>
      </c>
      <c r="G704" s="6">
        <f t="shared" si="72"/>
        <v>1438.3873527420756</v>
      </c>
      <c r="H704" s="7">
        <f t="shared" si="73"/>
        <v>2.6849721117012606E-12</v>
      </c>
      <c r="I704" s="8" t="str">
        <f t="shared" si="74"/>
        <v/>
      </c>
    </row>
    <row r="705" spans="1:9" x14ac:dyDescent="0.2">
      <c r="A705" s="5">
        <v>594</v>
      </c>
      <c r="B705" s="6">
        <v>2.9817680000000002</v>
      </c>
      <c r="C705" s="6">
        <f t="shared" si="70"/>
        <v>2.938768</v>
      </c>
      <c r="D705" s="6">
        <f t="shared" si="71"/>
        <v>1745.6281920000001</v>
      </c>
      <c r="E705" s="6">
        <f t="shared" si="75"/>
        <v>-1269.6567480000006</v>
      </c>
      <c r="F705" s="6">
        <f t="shared" si="76"/>
        <v>2.7549999999998409E-4</v>
      </c>
      <c r="G705" s="6">
        <f t="shared" si="72"/>
        <v>1438.4186691200164</v>
      </c>
      <c r="H705" s="7">
        <f t="shared" si="73"/>
        <v>-4.8023550368655405E-12</v>
      </c>
      <c r="I705" s="8" t="str">
        <f t="shared" si="74"/>
        <v/>
      </c>
    </row>
    <row r="706" spans="1:9" x14ac:dyDescent="0.2">
      <c r="A706" s="5">
        <v>592</v>
      </c>
      <c r="B706" s="6">
        <v>2.9801299999999999</v>
      </c>
      <c r="C706" s="6">
        <f t="shared" ref="C706:C769" si="77">B706-$B$2</f>
        <v>2.9371299999999998</v>
      </c>
      <c r="D706" s="6">
        <f t="shared" ref="D706:D769" si="78">A706*C706</f>
        <v>1738.7809599999998</v>
      </c>
      <c r="E706" s="6">
        <f t="shared" si="75"/>
        <v>-1275.5326460000006</v>
      </c>
      <c r="F706" s="6">
        <f t="shared" si="76"/>
        <v>4.3500000000085137E-5</v>
      </c>
      <c r="G706" s="6">
        <f t="shared" ref="G706:G769" si="79">(A706-$L$5)*C706-E706</f>
        <v>1438.3262432038464</v>
      </c>
      <c r="H706" s="7">
        <f t="shared" ref="H706:H769" si="80">IF(ABS(F706)&lt;0.000000001,"",-(G706)/(2*$L$4*F706)*0.000000000001)</f>
        <v>-3.0412960916178885E-11</v>
      </c>
      <c r="I706" s="8" t="str">
        <f t="shared" ref="I706:I769" si="81">IF(AND(B706&gt;=0.5,B706&lt;=2.5,ISNUMBER(H706),H706&gt;0),H706,"")</f>
        <v/>
      </c>
    </row>
    <row r="707" spans="1:9" x14ac:dyDescent="0.2">
      <c r="A707" s="5">
        <v>590</v>
      </c>
      <c r="B707" s="6">
        <v>2.9815939999999999</v>
      </c>
      <c r="C707" s="6">
        <f t="shared" si="77"/>
        <v>2.9385939999999997</v>
      </c>
      <c r="D707" s="6">
        <f t="shared" si="78"/>
        <v>1733.7704599999997</v>
      </c>
      <c r="E707" s="6">
        <f t="shared" ref="E707:E770" si="82">E706+(C706+C707)/2*(A707-A706)</f>
        <v>-1281.4083700000006</v>
      </c>
      <c r="F707" s="6">
        <f t="shared" ref="F707:F770" si="83">(B708-B706)/(A708-A706)</f>
        <v>-1.0942499999999633E-3</v>
      </c>
      <c r="G707" s="6">
        <f t="shared" si="79"/>
        <v>1438.4059229824011</v>
      </c>
      <c r="H707" s="7">
        <f t="shared" si="80"/>
        <v>1.2090811869645458E-12</v>
      </c>
      <c r="I707" s="8" t="str">
        <f t="shared" si="81"/>
        <v/>
      </c>
    </row>
    <row r="708" spans="1:9" x14ac:dyDescent="0.2">
      <c r="A708" s="5">
        <v>588</v>
      </c>
      <c r="B708" s="6">
        <v>2.9845069999999998</v>
      </c>
      <c r="C708" s="6">
        <f t="shared" si="77"/>
        <v>2.9415069999999996</v>
      </c>
      <c r="D708" s="6">
        <f t="shared" si="78"/>
        <v>1729.6061159999997</v>
      </c>
      <c r="E708" s="6">
        <f t="shared" si="82"/>
        <v>-1287.2884710000005</v>
      </c>
      <c r="F708" s="6">
        <f t="shared" si="83"/>
        <v>-3.7675000000003678E-4</v>
      </c>
      <c r="G708" s="6">
        <f t="shared" si="79"/>
        <v>1438.558640148337</v>
      </c>
      <c r="H708" s="7">
        <f t="shared" si="80"/>
        <v>3.5120837615488686E-12</v>
      </c>
      <c r="I708" s="8" t="str">
        <f t="shared" si="81"/>
        <v/>
      </c>
    </row>
    <row r="709" spans="1:9" x14ac:dyDescent="0.2">
      <c r="A709" s="5">
        <v>586</v>
      </c>
      <c r="B709" s="6">
        <v>2.983101</v>
      </c>
      <c r="C709" s="6">
        <f t="shared" si="77"/>
        <v>2.9401009999999999</v>
      </c>
      <c r="D709" s="6">
        <f t="shared" si="78"/>
        <v>1722.8991859999999</v>
      </c>
      <c r="E709" s="6">
        <f t="shared" si="82"/>
        <v>-1293.1700790000004</v>
      </c>
      <c r="F709" s="6">
        <f t="shared" si="83"/>
        <v>-2.1750000000042569E-5</v>
      </c>
      <c r="G709" s="6">
        <f t="shared" si="79"/>
        <v>1438.4877410823203</v>
      </c>
      <c r="H709" s="7">
        <f t="shared" si="80"/>
        <v>6.0832751477147029E-11</v>
      </c>
      <c r="I709" s="8" t="str">
        <f t="shared" si="81"/>
        <v/>
      </c>
    </row>
    <row r="710" spans="1:9" x14ac:dyDescent="0.2">
      <c r="A710" s="5">
        <v>584</v>
      </c>
      <c r="B710" s="6">
        <v>2.984594</v>
      </c>
      <c r="C710" s="6">
        <f t="shared" si="77"/>
        <v>2.9415939999999998</v>
      </c>
      <c r="D710" s="6">
        <f t="shared" si="78"/>
        <v>1717.8908959999999</v>
      </c>
      <c r="E710" s="6">
        <f t="shared" si="82"/>
        <v>-1299.0517740000005</v>
      </c>
      <c r="F710" s="6">
        <f t="shared" si="83"/>
        <v>-5.217499999999875E-4</v>
      </c>
      <c r="G710" s="6">
        <f t="shared" si="79"/>
        <v>1438.5600412171443</v>
      </c>
      <c r="H710" s="7">
        <f t="shared" si="80"/>
        <v>2.5360399537294336E-12</v>
      </c>
      <c r="I710" s="8" t="str">
        <f t="shared" si="81"/>
        <v/>
      </c>
    </row>
    <row r="711" spans="1:9" x14ac:dyDescent="0.2">
      <c r="A711" s="5">
        <v>582</v>
      </c>
      <c r="B711" s="6">
        <v>2.985188</v>
      </c>
      <c r="C711" s="6">
        <f t="shared" si="77"/>
        <v>2.9421879999999998</v>
      </c>
      <c r="D711" s="6">
        <f t="shared" si="78"/>
        <v>1712.3534159999999</v>
      </c>
      <c r="E711" s="6">
        <f t="shared" si="82"/>
        <v>-1304.9355560000006</v>
      </c>
      <c r="F711" s="6">
        <f t="shared" si="83"/>
        <v>-3.0450000000004085E-4</v>
      </c>
      <c r="G711" s="6">
        <f t="shared" si="79"/>
        <v>1438.5876183076236</v>
      </c>
      <c r="H711" s="7">
        <f t="shared" si="80"/>
        <v>4.3454982302119865E-12</v>
      </c>
      <c r="I711" s="8" t="str">
        <f t="shared" si="81"/>
        <v/>
      </c>
    </row>
    <row r="712" spans="1:9" x14ac:dyDescent="0.2">
      <c r="A712" s="5">
        <v>580</v>
      </c>
      <c r="B712" s="6">
        <v>2.9858120000000001</v>
      </c>
      <c r="C712" s="6">
        <f t="shared" si="77"/>
        <v>2.942812</v>
      </c>
      <c r="D712" s="6">
        <f t="shared" si="78"/>
        <v>1706.83096</v>
      </c>
      <c r="E712" s="6">
        <f t="shared" si="82"/>
        <v>-1310.8205560000006</v>
      </c>
      <c r="F712" s="6">
        <f t="shared" si="83"/>
        <v>-1.3775000000004756E-4</v>
      </c>
      <c r="G712" s="6">
        <f t="shared" si="79"/>
        <v>1438.6153401804502</v>
      </c>
      <c r="H712" s="7">
        <f t="shared" si="80"/>
        <v>9.6060232995326815E-12</v>
      </c>
      <c r="I712" s="8" t="str">
        <f t="shared" si="81"/>
        <v/>
      </c>
    </row>
    <row r="713" spans="1:9" x14ac:dyDescent="0.2">
      <c r="A713" s="5">
        <v>578</v>
      </c>
      <c r="B713" s="6">
        <v>2.9857390000000001</v>
      </c>
      <c r="C713" s="6">
        <f t="shared" si="77"/>
        <v>2.942739</v>
      </c>
      <c r="D713" s="6">
        <f t="shared" si="78"/>
        <v>1700.9031419999999</v>
      </c>
      <c r="E713" s="6">
        <f t="shared" si="82"/>
        <v>-1316.7061070000007</v>
      </c>
      <c r="F713" s="6">
        <f t="shared" si="83"/>
        <v>-6.3749999999995755E-4</v>
      </c>
      <c r="G713" s="6">
        <f t="shared" si="79"/>
        <v>1438.6122430767382</v>
      </c>
      <c r="H713" s="7">
        <f t="shared" si="80"/>
        <v>2.0756499777472388E-12</v>
      </c>
      <c r="I713" s="8" t="str">
        <f t="shared" si="81"/>
        <v/>
      </c>
    </row>
    <row r="714" spans="1:9" x14ac:dyDescent="0.2">
      <c r="A714" s="5">
        <v>576</v>
      </c>
      <c r="B714" s="6">
        <v>2.988362</v>
      </c>
      <c r="C714" s="6">
        <f t="shared" si="77"/>
        <v>2.9453619999999998</v>
      </c>
      <c r="D714" s="6">
        <f t="shared" si="78"/>
        <v>1696.5285119999999</v>
      </c>
      <c r="E714" s="6">
        <f t="shared" si="82"/>
        <v>-1322.5942080000007</v>
      </c>
      <c r="F714" s="6">
        <f t="shared" si="83"/>
        <v>-1.3297500000000184E-3</v>
      </c>
      <c r="G714" s="6">
        <f t="shared" si="79"/>
        <v>1438.7182806799822</v>
      </c>
      <c r="H714" s="7">
        <f t="shared" si="80"/>
        <v>9.9516780865682077E-13</v>
      </c>
      <c r="I714" s="8" t="str">
        <f t="shared" si="81"/>
        <v/>
      </c>
    </row>
    <row r="715" spans="1:9" x14ac:dyDescent="0.2">
      <c r="A715" s="5">
        <v>574</v>
      </c>
      <c r="B715" s="6">
        <v>2.9910580000000002</v>
      </c>
      <c r="C715" s="6">
        <f t="shared" si="77"/>
        <v>2.9480580000000001</v>
      </c>
      <c r="D715" s="6">
        <f t="shared" si="78"/>
        <v>1692.1852920000001</v>
      </c>
      <c r="E715" s="6">
        <f t="shared" si="82"/>
        <v>-1328.4876280000008</v>
      </c>
      <c r="F715" s="6">
        <f t="shared" si="83"/>
        <v>-1.1919999999999709E-3</v>
      </c>
      <c r="G715" s="6">
        <f t="shared" si="79"/>
        <v>1438.8218773869382</v>
      </c>
      <c r="H715" s="7">
        <f t="shared" si="80"/>
        <v>1.1102514103921389E-12</v>
      </c>
      <c r="I715" s="8" t="str">
        <f t="shared" si="81"/>
        <v/>
      </c>
    </row>
    <row r="716" spans="1:9" x14ac:dyDescent="0.2">
      <c r="A716" s="5">
        <v>572</v>
      </c>
      <c r="B716" s="6">
        <v>2.9931299999999998</v>
      </c>
      <c r="C716" s="6">
        <f t="shared" si="77"/>
        <v>2.9501299999999997</v>
      </c>
      <c r="D716" s="6">
        <f t="shared" si="78"/>
        <v>1687.4743599999999</v>
      </c>
      <c r="E716" s="6">
        <f t="shared" si="82"/>
        <v>-1334.3858160000007</v>
      </c>
      <c r="F716" s="6">
        <f t="shared" si="83"/>
        <v>-4.7474999999996825E-4</v>
      </c>
      <c r="G716" s="6">
        <f t="shared" si="79"/>
        <v>1438.8973522210674</v>
      </c>
      <c r="H716" s="7">
        <f t="shared" si="80"/>
        <v>2.787760089488181E-12</v>
      </c>
      <c r="I716" s="8" t="str">
        <f t="shared" si="81"/>
        <v/>
      </c>
    </row>
    <row r="717" spans="1:9" x14ac:dyDescent="0.2">
      <c r="A717" s="5">
        <v>570</v>
      </c>
      <c r="B717" s="6">
        <v>2.9929570000000001</v>
      </c>
      <c r="C717" s="6">
        <f t="shared" si="77"/>
        <v>2.9499569999999999</v>
      </c>
      <c r="D717" s="6">
        <f t="shared" si="78"/>
        <v>1681.47549</v>
      </c>
      <c r="E717" s="6">
        <f t="shared" si="82"/>
        <v>-1340.2859030000006</v>
      </c>
      <c r="F717" s="6">
        <f t="shared" si="83"/>
        <v>-7.1750000000003755E-4</v>
      </c>
      <c r="G717" s="6">
        <f t="shared" si="79"/>
        <v>1438.8913965095305</v>
      </c>
      <c r="H717" s="7">
        <f t="shared" si="80"/>
        <v>1.8445764800791921E-12</v>
      </c>
      <c r="I717" s="8" t="str">
        <f t="shared" si="81"/>
        <v/>
      </c>
    </row>
    <row r="718" spans="1:9" x14ac:dyDescent="0.2">
      <c r="A718" s="5">
        <v>568</v>
      </c>
      <c r="B718" s="6">
        <v>2.996</v>
      </c>
      <c r="C718" s="6">
        <f t="shared" si="77"/>
        <v>2.9529999999999998</v>
      </c>
      <c r="D718" s="6">
        <f t="shared" si="78"/>
        <v>1677.3039999999999</v>
      </c>
      <c r="E718" s="6">
        <f t="shared" si="82"/>
        <v>-1346.1888600000007</v>
      </c>
      <c r="F718" s="6">
        <f t="shared" si="83"/>
        <v>-7.752500000000051E-4</v>
      </c>
      <c r="G718" s="6">
        <f t="shared" si="79"/>
        <v>1438.9900690656384</v>
      </c>
      <c r="H718" s="7">
        <f t="shared" si="80"/>
        <v>1.7072871755931811E-12</v>
      </c>
      <c r="I718" s="8" t="str">
        <f t="shared" si="81"/>
        <v/>
      </c>
    </row>
    <row r="719" spans="1:9" x14ac:dyDescent="0.2">
      <c r="A719" s="5">
        <v>566</v>
      </c>
      <c r="B719" s="6">
        <v>2.9960580000000001</v>
      </c>
      <c r="C719" s="6">
        <f t="shared" si="77"/>
        <v>2.953058</v>
      </c>
      <c r="D719" s="6">
        <f t="shared" si="78"/>
        <v>1671.430828</v>
      </c>
      <c r="E719" s="6">
        <f t="shared" si="82"/>
        <v>-1352.0949180000007</v>
      </c>
      <c r="F719" s="6">
        <f t="shared" si="83"/>
        <v>-9.8549999999997251E-4</v>
      </c>
      <c r="G719" s="6">
        <f t="shared" si="79"/>
        <v>1438.9918337781769</v>
      </c>
      <c r="H719" s="7">
        <f t="shared" si="80"/>
        <v>1.3430502344501313E-12</v>
      </c>
      <c r="I719" s="8" t="str">
        <f t="shared" si="81"/>
        <v/>
      </c>
    </row>
    <row r="720" spans="1:9" x14ac:dyDescent="0.2">
      <c r="A720" s="5">
        <v>564</v>
      </c>
      <c r="B720" s="6">
        <v>2.9999419999999999</v>
      </c>
      <c r="C720" s="6">
        <f t="shared" si="77"/>
        <v>2.9569419999999997</v>
      </c>
      <c r="D720" s="6">
        <f t="shared" si="78"/>
        <v>1667.7152879999999</v>
      </c>
      <c r="E720" s="6">
        <f t="shared" si="82"/>
        <v>-1358.0049180000008</v>
      </c>
      <c r="F720" s="6">
        <f t="shared" si="83"/>
        <v>-1.391249999999955E-3</v>
      </c>
      <c r="G720" s="6">
        <f t="shared" si="79"/>
        <v>1439.1022406660913</v>
      </c>
      <c r="H720" s="7">
        <f t="shared" si="80"/>
        <v>9.5143040980408646E-13</v>
      </c>
      <c r="I720" s="8" t="str">
        <f t="shared" si="81"/>
        <v/>
      </c>
    </row>
    <row r="721" spans="1:9" x14ac:dyDescent="0.2">
      <c r="A721" s="5">
        <v>562</v>
      </c>
      <c r="B721" s="6">
        <v>3.0016229999999999</v>
      </c>
      <c r="C721" s="6">
        <f t="shared" si="77"/>
        <v>2.9586229999999998</v>
      </c>
      <c r="D721" s="6">
        <f t="shared" si="78"/>
        <v>1662.7461259999998</v>
      </c>
      <c r="E721" s="6">
        <f t="shared" si="82"/>
        <v>-1363.9204830000008</v>
      </c>
      <c r="F721" s="6">
        <f t="shared" si="83"/>
        <v>1.2674999999995329E-4</v>
      </c>
      <c r="G721" s="6">
        <f t="shared" si="79"/>
        <v>1439.1466629036258</v>
      </c>
      <c r="H721" s="7">
        <f t="shared" si="80"/>
        <v>-1.0443537806283453E-11</v>
      </c>
      <c r="I721" s="8" t="str">
        <f t="shared" si="81"/>
        <v/>
      </c>
    </row>
    <row r="722" spans="1:9" x14ac:dyDescent="0.2">
      <c r="A722" s="5">
        <v>560</v>
      </c>
      <c r="B722" s="6">
        <v>2.9994350000000001</v>
      </c>
      <c r="C722" s="6">
        <f t="shared" si="77"/>
        <v>2.9564349999999999</v>
      </c>
      <c r="D722" s="6">
        <f t="shared" si="78"/>
        <v>1655.6035999999999</v>
      </c>
      <c r="E722" s="6">
        <f t="shared" si="82"/>
        <v>-1369.8355410000008</v>
      </c>
      <c r="F722" s="6">
        <f t="shared" si="83"/>
        <v>2.8974999999997753E-4</v>
      </c>
      <c r="G722" s="6">
        <f t="shared" si="79"/>
        <v>1439.0932186444197</v>
      </c>
      <c r="H722" s="7">
        <f t="shared" si="80"/>
        <v>-4.5683149585466756E-12</v>
      </c>
      <c r="I722" s="8" t="str">
        <f t="shared" si="81"/>
        <v/>
      </c>
    </row>
    <row r="723" spans="1:9" x14ac:dyDescent="0.2">
      <c r="A723" s="5">
        <v>558</v>
      </c>
      <c r="B723" s="6">
        <v>3.000464</v>
      </c>
      <c r="C723" s="6">
        <f t="shared" si="77"/>
        <v>2.9574639999999999</v>
      </c>
      <c r="D723" s="6">
        <f t="shared" si="78"/>
        <v>1650.2649119999999</v>
      </c>
      <c r="E723" s="6">
        <f t="shared" si="82"/>
        <v>-1375.7494400000007</v>
      </c>
      <c r="F723" s="6">
        <f t="shared" si="83"/>
        <v>-4.3824999999997338E-4</v>
      </c>
      <c r="G723" s="6">
        <f t="shared" si="79"/>
        <v>1439.1162950789367</v>
      </c>
      <c r="H723" s="7">
        <f t="shared" si="80"/>
        <v>3.020400421686494E-12</v>
      </c>
      <c r="I723" s="8" t="str">
        <f t="shared" si="81"/>
        <v/>
      </c>
    </row>
    <row r="724" spans="1:9" x14ac:dyDescent="0.2">
      <c r="A724" s="5">
        <v>556</v>
      </c>
      <c r="B724" s="6">
        <v>3.001188</v>
      </c>
      <c r="C724" s="6">
        <f t="shared" si="77"/>
        <v>2.9581879999999998</v>
      </c>
      <c r="D724" s="6">
        <f t="shared" si="78"/>
        <v>1644.752528</v>
      </c>
      <c r="E724" s="6">
        <f t="shared" si="82"/>
        <v>-1381.6650920000006</v>
      </c>
      <c r="F724" s="6">
        <f t="shared" si="83"/>
        <v>-7.6449999999994578E-4</v>
      </c>
      <c r="G724" s="6">
        <f t="shared" si="79"/>
        <v>1439.131083559588</v>
      </c>
      <c r="H724" s="7">
        <f t="shared" si="80"/>
        <v>1.7314638157742201E-12</v>
      </c>
      <c r="I724" s="8" t="str">
        <f t="shared" si="81"/>
        <v/>
      </c>
    </row>
    <row r="725" spans="1:9" x14ac:dyDescent="0.2">
      <c r="A725" s="5">
        <v>554</v>
      </c>
      <c r="B725" s="6">
        <v>3.0035219999999998</v>
      </c>
      <c r="C725" s="6">
        <f t="shared" si="77"/>
        <v>2.9605219999999997</v>
      </c>
      <c r="D725" s="6">
        <f t="shared" si="78"/>
        <v>1640.1291879999999</v>
      </c>
      <c r="E725" s="6">
        <f t="shared" si="82"/>
        <v>-1387.5838020000006</v>
      </c>
      <c r="F725" s="6">
        <f t="shared" si="83"/>
        <v>-5.1449999999997331E-4</v>
      </c>
      <c r="G725" s="6">
        <f t="shared" si="79"/>
        <v>1439.174090026218</v>
      </c>
      <c r="H725" s="7">
        <f t="shared" si="80"/>
        <v>2.5728739441163806E-12</v>
      </c>
      <c r="I725" s="8" t="str">
        <f t="shared" si="81"/>
        <v/>
      </c>
    </row>
    <row r="726" spans="1:9" x14ac:dyDescent="0.2">
      <c r="A726" s="5">
        <v>552</v>
      </c>
      <c r="B726" s="6">
        <v>3.0032459999999999</v>
      </c>
      <c r="C726" s="6">
        <f t="shared" si="77"/>
        <v>2.9602459999999997</v>
      </c>
      <c r="D726" s="6">
        <f t="shared" si="78"/>
        <v>1634.0557919999999</v>
      </c>
      <c r="E726" s="6">
        <f t="shared" si="82"/>
        <v>-1393.5045700000005</v>
      </c>
      <c r="F726" s="6">
        <f t="shared" si="83"/>
        <v>-4.6375000000009603E-4</v>
      </c>
      <c r="G726" s="6">
        <f t="shared" si="79"/>
        <v>1439.1695564286217</v>
      </c>
      <c r="H726" s="7">
        <f t="shared" si="80"/>
        <v>2.8544247423651126E-12</v>
      </c>
      <c r="I726" s="8" t="str">
        <f t="shared" si="81"/>
        <v/>
      </c>
    </row>
    <row r="727" spans="1:9" x14ac:dyDescent="0.2">
      <c r="A727" s="5">
        <v>550</v>
      </c>
      <c r="B727" s="6">
        <v>3.0053770000000002</v>
      </c>
      <c r="C727" s="6">
        <f t="shared" si="77"/>
        <v>2.962377</v>
      </c>
      <c r="D727" s="6">
        <f t="shared" si="78"/>
        <v>1629.30735</v>
      </c>
      <c r="E727" s="6">
        <f t="shared" si="82"/>
        <v>-1399.4271930000004</v>
      </c>
      <c r="F727" s="6">
        <f t="shared" si="83"/>
        <v>-1.1232500000000201E-3</v>
      </c>
      <c r="G727" s="6">
        <f t="shared" si="79"/>
        <v>1439.2002984013675</v>
      </c>
      <c r="H727" s="7">
        <f t="shared" si="80"/>
        <v>1.1785156915674252E-12</v>
      </c>
      <c r="I727" s="8" t="str">
        <f t="shared" si="81"/>
        <v/>
      </c>
    </row>
    <row r="728" spans="1:9" x14ac:dyDescent="0.2">
      <c r="A728" s="5">
        <v>548</v>
      </c>
      <c r="B728" s="6">
        <v>3.0077389999999999</v>
      </c>
      <c r="C728" s="6">
        <f t="shared" si="77"/>
        <v>2.9647389999999998</v>
      </c>
      <c r="D728" s="6">
        <f t="shared" si="78"/>
        <v>1624.676972</v>
      </c>
      <c r="E728" s="6">
        <f t="shared" si="82"/>
        <v>-1405.3543090000005</v>
      </c>
      <c r="F728" s="6">
        <f t="shared" si="83"/>
        <v>-1.0499999999991072E-4</v>
      </c>
      <c r="G728" s="6">
        <f t="shared" si="79"/>
        <v>1439.2296487981889</v>
      </c>
      <c r="H728" s="7">
        <f t="shared" si="80"/>
        <v>1.2607569017830097E-11</v>
      </c>
      <c r="I728" s="8" t="str">
        <f t="shared" si="81"/>
        <v/>
      </c>
    </row>
    <row r="729" spans="1:9" x14ac:dyDescent="0.2">
      <c r="A729" s="5">
        <v>546</v>
      </c>
      <c r="B729" s="6">
        <v>3.0057969999999998</v>
      </c>
      <c r="C729" s="6">
        <f t="shared" si="77"/>
        <v>2.9627969999999997</v>
      </c>
      <c r="D729" s="6">
        <f t="shared" si="78"/>
        <v>1617.6871619999997</v>
      </c>
      <c r="E729" s="6">
        <f t="shared" si="82"/>
        <v>-1411.2818450000004</v>
      </c>
      <c r="F729" s="6">
        <f t="shared" si="83"/>
        <v>4.6000000000001595E-4</v>
      </c>
      <c r="G729" s="6">
        <f t="shared" si="79"/>
        <v>1439.2094013542317</v>
      </c>
      <c r="H729" s="7">
        <f t="shared" si="80"/>
        <v>-2.877774181291754E-12</v>
      </c>
      <c r="I729" s="8" t="str">
        <f t="shared" si="81"/>
        <v/>
      </c>
    </row>
    <row r="730" spans="1:9" x14ac:dyDescent="0.2">
      <c r="A730" s="5">
        <v>544</v>
      </c>
      <c r="B730" s="6">
        <v>3.0058989999999999</v>
      </c>
      <c r="C730" s="6">
        <f t="shared" si="77"/>
        <v>2.9628989999999997</v>
      </c>
      <c r="D730" s="6">
        <f t="shared" si="78"/>
        <v>1611.8170559999999</v>
      </c>
      <c r="E730" s="6">
        <f t="shared" si="82"/>
        <v>-1417.2075410000004</v>
      </c>
      <c r="F730" s="6">
        <f t="shared" si="83"/>
        <v>-6.7025000000009438E-4</v>
      </c>
      <c r="G730" s="6">
        <f t="shared" si="79"/>
        <v>1439.2102608142129</v>
      </c>
      <c r="H730" s="7">
        <f t="shared" si="80"/>
        <v>1.9750494799256564E-12</v>
      </c>
      <c r="I730" s="8" t="str">
        <f t="shared" si="81"/>
        <v/>
      </c>
    </row>
    <row r="731" spans="1:9" x14ac:dyDescent="0.2">
      <c r="A731" s="5">
        <v>542</v>
      </c>
      <c r="B731" s="6">
        <v>3.0084780000000002</v>
      </c>
      <c r="C731" s="6">
        <f t="shared" si="77"/>
        <v>2.9654780000000001</v>
      </c>
      <c r="D731" s="6">
        <f t="shared" si="78"/>
        <v>1607.289076</v>
      </c>
      <c r="E731" s="6">
        <f t="shared" si="82"/>
        <v>-1423.1359180000004</v>
      </c>
      <c r="F731" s="6">
        <f t="shared" si="83"/>
        <v>-1.1630000000000251E-3</v>
      </c>
      <c r="G731" s="6">
        <f t="shared" si="79"/>
        <v>1439.2268336700138</v>
      </c>
      <c r="H731" s="7">
        <f t="shared" si="80"/>
        <v>1.1382563693319833E-12</v>
      </c>
      <c r="I731" s="8" t="str">
        <f t="shared" si="81"/>
        <v/>
      </c>
    </row>
    <row r="732" spans="1:9" x14ac:dyDescent="0.2">
      <c r="A732" s="5">
        <v>540</v>
      </c>
      <c r="B732" s="6">
        <v>3.010551</v>
      </c>
      <c r="C732" s="6">
        <f t="shared" si="77"/>
        <v>2.9675509999999998</v>
      </c>
      <c r="D732" s="6">
        <f t="shared" si="78"/>
        <v>1602.4775399999999</v>
      </c>
      <c r="E732" s="6">
        <f t="shared" si="82"/>
        <v>-1429.0689470000004</v>
      </c>
      <c r="F732" s="6">
        <f t="shared" si="83"/>
        <v>-9.0224999999999334E-4</v>
      </c>
      <c r="G732" s="6">
        <f t="shared" si="79"/>
        <v>1439.2360089302215</v>
      </c>
      <c r="H732" s="7">
        <f t="shared" si="80"/>
        <v>1.4672214983453721E-12</v>
      </c>
      <c r="I732" s="8" t="str">
        <f t="shared" si="81"/>
        <v/>
      </c>
    </row>
    <row r="733" spans="1:9" x14ac:dyDescent="0.2">
      <c r="A733" s="5">
        <v>538</v>
      </c>
      <c r="B733" s="6">
        <v>3.0120870000000002</v>
      </c>
      <c r="C733" s="6">
        <f t="shared" si="77"/>
        <v>2.969087</v>
      </c>
      <c r="D733" s="6">
        <f t="shared" si="78"/>
        <v>1597.3688059999999</v>
      </c>
      <c r="E733" s="6">
        <f t="shared" si="82"/>
        <v>-1435.0055850000003</v>
      </c>
      <c r="F733" s="6">
        <f t="shared" si="83"/>
        <v>-4.1650000000004184E-4</v>
      </c>
      <c r="G733" s="6">
        <f t="shared" si="79"/>
        <v>1439.2397353864098</v>
      </c>
      <c r="H733" s="7">
        <f t="shared" si="80"/>
        <v>3.1784010190969662E-12</v>
      </c>
      <c r="I733" s="8" t="str">
        <f t="shared" si="81"/>
        <v/>
      </c>
    </row>
    <row r="734" spans="1:9" x14ac:dyDescent="0.2">
      <c r="A734" s="5">
        <v>536</v>
      </c>
      <c r="B734" s="6">
        <v>3.0122170000000001</v>
      </c>
      <c r="C734" s="6">
        <f t="shared" si="77"/>
        <v>2.969217</v>
      </c>
      <c r="D734" s="6">
        <f t="shared" si="78"/>
        <v>1591.5003119999999</v>
      </c>
      <c r="E734" s="6">
        <f t="shared" si="82"/>
        <v>-1440.9438890000004</v>
      </c>
      <c r="F734" s="6">
        <f t="shared" si="83"/>
        <v>-1.8849999999992484E-4</v>
      </c>
      <c r="G734" s="6">
        <f t="shared" si="79"/>
        <v>1439.2397907765821</v>
      </c>
      <c r="H734" s="7">
        <f t="shared" si="80"/>
        <v>7.0228332912577908E-12</v>
      </c>
      <c r="I734" s="8" t="str">
        <f t="shared" si="81"/>
        <v/>
      </c>
    </row>
    <row r="735" spans="1:9" x14ac:dyDescent="0.2">
      <c r="A735" s="5">
        <v>534</v>
      </c>
      <c r="B735" s="6">
        <v>3.0128409999999999</v>
      </c>
      <c r="C735" s="6">
        <f t="shared" si="77"/>
        <v>2.9698409999999997</v>
      </c>
      <c r="D735" s="6">
        <f t="shared" si="78"/>
        <v>1585.8950939999997</v>
      </c>
      <c r="E735" s="6">
        <f t="shared" si="82"/>
        <v>-1446.8829470000003</v>
      </c>
      <c r="F735" s="6">
        <f t="shared" si="83"/>
        <v>-7.8274999999994321E-4</v>
      </c>
      <c r="G735" s="6">
        <f t="shared" si="79"/>
        <v>1439.2388086494086</v>
      </c>
      <c r="H735" s="7">
        <f t="shared" si="80"/>
        <v>1.6912209160613393E-12</v>
      </c>
      <c r="I735" s="8" t="str">
        <f t="shared" si="81"/>
        <v/>
      </c>
    </row>
    <row r="736" spans="1:9" x14ac:dyDescent="0.2">
      <c r="A736" s="5">
        <v>532</v>
      </c>
      <c r="B736" s="6">
        <v>3.0153479999999999</v>
      </c>
      <c r="C736" s="6">
        <f t="shared" si="77"/>
        <v>2.9723479999999998</v>
      </c>
      <c r="D736" s="6">
        <f t="shared" si="78"/>
        <v>1581.2891359999999</v>
      </c>
      <c r="E736" s="6">
        <f t="shared" si="82"/>
        <v>-1452.8251360000004</v>
      </c>
      <c r="F736" s="6">
        <f t="shared" si="83"/>
        <v>-7.5350000000007356E-4</v>
      </c>
      <c r="G736" s="6">
        <f t="shared" si="79"/>
        <v>1439.229848827576</v>
      </c>
      <c r="H736" s="7">
        <f t="shared" si="80"/>
        <v>1.7568612221058113E-12</v>
      </c>
      <c r="I736" s="8" t="str">
        <f t="shared" si="81"/>
        <v/>
      </c>
    </row>
    <row r="737" spans="1:9" x14ac:dyDescent="0.2">
      <c r="A737" s="5">
        <v>530</v>
      </c>
      <c r="B737" s="6">
        <v>3.0158550000000002</v>
      </c>
      <c r="C737" s="6">
        <f t="shared" si="77"/>
        <v>2.972855</v>
      </c>
      <c r="D737" s="6">
        <f t="shared" si="78"/>
        <v>1575.6131499999999</v>
      </c>
      <c r="E737" s="6">
        <f t="shared" si="82"/>
        <v>-1458.7703390000004</v>
      </c>
      <c r="F737" s="6">
        <f t="shared" si="83"/>
        <v>-3.9849999999996832E-4</v>
      </c>
      <c r="G737" s="6">
        <f t="shared" si="79"/>
        <v>1439.2270228492475</v>
      </c>
      <c r="H737" s="7">
        <f t="shared" si="80"/>
        <v>3.3219380967105349E-12</v>
      </c>
      <c r="I737" s="8" t="str">
        <f t="shared" si="81"/>
        <v/>
      </c>
    </row>
    <row r="738" spans="1:9" x14ac:dyDescent="0.2">
      <c r="A738" s="5">
        <v>528</v>
      </c>
      <c r="B738" s="6">
        <v>3.0169419999999998</v>
      </c>
      <c r="C738" s="6">
        <f t="shared" si="77"/>
        <v>2.9739419999999996</v>
      </c>
      <c r="D738" s="6">
        <f t="shared" si="78"/>
        <v>1570.2413759999997</v>
      </c>
      <c r="E738" s="6">
        <f t="shared" si="82"/>
        <v>-1464.7171360000004</v>
      </c>
      <c r="F738" s="6">
        <f t="shared" si="83"/>
        <v>1.4500000000028379E-5</v>
      </c>
      <c r="G738" s="6">
        <f t="shared" si="79"/>
        <v>1439.2187899963028</v>
      </c>
      <c r="H738" s="7">
        <f t="shared" si="80"/>
        <v>-9.1295500621240646E-11</v>
      </c>
      <c r="I738" s="8" t="str">
        <f t="shared" si="81"/>
        <v/>
      </c>
    </row>
    <row r="739" spans="1:9" x14ac:dyDescent="0.2">
      <c r="A739" s="5">
        <v>526</v>
      </c>
      <c r="B739" s="6">
        <v>3.0157970000000001</v>
      </c>
      <c r="C739" s="6">
        <f t="shared" si="77"/>
        <v>2.9727969999999999</v>
      </c>
      <c r="D739" s="6">
        <f t="shared" si="78"/>
        <v>1563.6912219999999</v>
      </c>
      <c r="E739" s="6">
        <f t="shared" si="82"/>
        <v>-1470.6638750000004</v>
      </c>
      <c r="F739" s="6">
        <f t="shared" si="83"/>
        <v>3.4424999999993489E-4</v>
      </c>
      <c r="G739" s="6">
        <f t="shared" si="79"/>
        <v>1439.2297521367093</v>
      </c>
      <c r="H739" s="7">
        <f t="shared" si="80"/>
        <v>-3.8454461638966817E-12</v>
      </c>
      <c r="I739" s="8" t="str">
        <f t="shared" si="81"/>
        <v/>
      </c>
    </row>
    <row r="740" spans="1:9" x14ac:dyDescent="0.2">
      <c r="A740" s="5">
        <v>524</v>
      </c>
      <c r="B740" s="6">
        <v>3.0155650000000001</v>
      </c>
      <c r="C740" s="6">
        <f t="shared" si="77"/>
        <v>2.9725649999999999</v>
      </c>
      <c r="D740" s="6">
        <f t="shared" si="78"/>
        <v>1557.6240599999999</v>
      </c>
      <c r="E740" s="6">
        <f t="shared" si="82"/>
        <v>-1476.6092370000003</v>
      </c>
      <c r="F740" s="6">
        <f t="shared" si="83"/>
        <v>-2.5724999999998666E-4</v>
      </c>
      <c r="G740" s="6">
        <f t="shared" si="79"/>
        <v>1439.2324372865555</v>
      </c>
      <c r="H740" s="7">
        <f t="shared" si="80"/>
        <v>5.1459565080889314E-12</v>
      </c>
      <c r="I740" s="8" t="str">
        <f t="shared" si="81"/>
        <v/>
      </c>
    </row>
    <row r="741" spans="1:9" x14ac:dyDescent="0.2">
      <c r="A741" s="5">
        <v>522</v>
      </c>
      <c r="B741" s="6">
        <v>3.016826</v>
      </c>
      <c r="C741" s="6">
        <f t="shared" si="77"/>
        <v>2.9738259999999999</v>
      </c>
      <c r="D741" s="6">
        <f t="shared" si="78"/>
        <v>1552.337172</v>
      </c>
      <c r="E741" s="6">
        <f t="shared" si="82"/>
        <v>-1482.5556280000003</v>
      </c>
      <c r="F741" s="6">
        <f t="shared" si="83"/>
        <v>-6.0874999999993573E-4</v>
      </c>
      <c r="G741" s="6">
        <f t="shared" si="79"/>
        <v>1439.2153205712261</v>
      </c>
      <c r="H741" s="7">
        <f t="shared" si="80"/>
        <v>2.174589844524794E-12</v>
      </c>
      <c r="I741" s="8" t="str">
        <f t="shared" si="81"/>
        <v/>
      </c>
    </row>
    <row r="742" spans="1:9" x14ac:dyDescent="0.2">
      <c r="A742" s="5">
        <v>520</v>
      </c>
      <c r="B742" s="6">
        <v>3.0179999999999998</v>
      </c>
      <c r="C742" s="6">
        <f t="shared" si="77"/>
        <v>2.9749999999999996</v>
      </c>
      <c r="D742" s="6">
        <f t="shared" si="78"/>
        <v>1546.9999999999998</v>
      </c>
      <c r="E742" s="6">
        <f t="shared" si="82"/>
        <v>-1488.5044540000004</v>
      </c>
      <c r="F742" s="6">
        <f t="shared" si="83"/>
        <v>-4.0574999999998251E-4</v>
      </c>
      <c r="G742" s="6">
        <f t="shared" si="79"/>
        <v>1439.197036787089</v>
      </c>
      <c r="H742" s="7">
        <f t="shared" si="80"/>
        <v>3.2625132484043325E-12</v>
      </c>
      <c r="I742" s="8" t="str">
        <f t="shared" si="81"/>
        <v/>
      </c>
    </row>
    <row r="743" spans="1:9" x14ac:dyDescent="0.2">
      <c r="A743" s="5">
        <v>518</v>
      </c>
      <c r="B743" s="6">
        <v>3.0184489999999999</v>
      </c>
      <c r="C743" s="6">
        <f t="shared" si="77"/>
        <v>2.9754489999999998</v>
      </c>
      <c r="D743" s="6">
        <f t="shared" si="78"/>
        <v>1541.2825819999998</v>
      </c>
      <c r="E743" s="6">
        <f t="shared" si="82"/>
        <v>-1494.4549030000003</v>
      </c>
      <c r="F743" s="6">
        <f t="shared" si="83"/>
        <v>-4.8550000000002758E-4</v>
      </c>
      <c r="G743" s="6">
        <f t="shared" si="79"/>
        <v>1439.1891460962222</v>
      </c>
      <c r="H743" s="7">
        <f t="shared" si="80"/>
        <v>2.7265859788467098E-12</v>
      </c>
      <c r="I743" s="8" t="str">
        <f t="shared" si="81"/>
        <v/>
      </c>
    </row>
    <row r="744" spans="1:9" x14ac:dyDescent="0.2">
      <c r="A744" s="5">
        <v>516</v>
      </c>
      <c r="B744" s="6">
        <v>3.0199419999999999</v>
      </c>
      <c r="C744" s="6">
        <f t="shared" si="77"/>
        <v>2.9769419999999998</v>
      </c>
      <c r="D744" s="6">
        <f t="shared" si="78"/>
        <v>1536.1020719999999</v>
      </c>
      <c r="E744" s="6">
        <f t="shared" si="82"/>
        <v>-1500.4072940000003</v>
      </c>
      <c r="F744" s="6">
        <f t="shared" si="83"/>
        <v>-5.3274999999997075E-4</v>
      </c>
      <c r="G744" s="6">
        <f t="shared" si="79"/>
        <v>1439.159922231046</v>
      </c>
      <c r="H744" s="7">
        <f t="shared" si="80"/>
        <v>2.4847125533465394E-12</v>
      </c>
      <c r="I744" s="8" t="str">
        <f t="shared" si="81"/>
        <v/>
      </c>
    </row>
    <row r="745" spans="1:9" x14ac:dyDescent="0.2">
      <c r="A745" s="5">
        <v>514</v>
      </c>
      <c r="B745" s="6">
        <v>3.0205799999999998</v>
      </c>
      <c r="C745" s="6">
        <f t="shared" si="77"/>
        <v>2.9775799999999997</v>
      </c>
      <c r="D745" s="6">
        <f t="shared" si="78"/>
        <v>1530.4761199999998</v>
      </c>
      <c r="E745" s="6">
        <f t="shared" si="82"/>
        <v>-1506.3618160000003</v>
      </c>
      <c r="F745" s="6">
        <f t="shared" si="83"/>
        <v>-7.9750000000045063E-5</v>
      </c>
      <c r="G745" s="6">
        <f t="shared" si="79"/>
        <v>1439.1461580689681</v>
      </c>
      <c r="H745" s="7">
        <f t="shared" si="80"/>
        <v>1.6598344233245391E-11</v>
      </c>
      <c r="I745" s="8" t="str">
        <f t="shared" si="81"/>
        <v/>
      </c>
    </row>
    <row r="746" spans="1:9" x14ac:dyDescent="0.2">
      <c r="A746" s="5">
        <v>512</v>
      </c>
      <c r="B746" s="6">
        <v>3.0202610000000001</v>
      </c>
      <c r="C746" s="6">
        <f t="shared" si="77"/>
        <v>2.9772609999999999</v>
      </c>
      <c r="D746" s="6">
        <f t="shared" si="78"/>
        <v>1524.357632</v>
      </c>
      <c r="E746" s="6">
        <f t="shared" si="82"/>
        <v>-1512.3166570000003</v>
      </c>
      <c r="F746" s="6">
        <f t="shared" si="83"/>
        <v>-7.2100000000008269E-4</v>
      </c>
      <c r="G746" s="6">
        <f t="shared" si="79"/>
        <v>1439.1536781500072</v>
      </c>
      <c r="H746" s="7">
        <f t="shared" si="80"/>
        <v>1.8359568231998344E-12</v>
      </c>
      <c r="I746" s="8" t="str">
        <f t="shared" si="81"/>
        <v/>
      </c>
    </row>
    <row r="747" spans="1:9" x14ac:dyDescent="0.2">
      <c r="A747" s="5">
        <v>510</v>
      </c>
      <c r="B747" s="6">
        <v>3.0234640000000002</v>
      </c>
      <c r="C747" s="6">
        <f t="shared" si="77"/>
        <v>2.980464</v>
      </c>
      <c r="D747" s="6">
        <f t="shared" si="78"/>
        <v>1520.03664</v>
      </c>
      <c r="E747" s="6">
        <f t="shared" si="82"/>
        <v>-1518.2743820000003</v>
      </c>
      <c r="F747" s="6">
        <f t="shared" si="83"/>
        <v>-1.4167499999999666E-3</v>
      </c>
      <c r="G747" s="6">
        <f t="shared" si="79"/>
        <v>1439.0717648786347</v>
      </c>
      <c r="H747" s="7">
        <f t="shared" si="80"/>
        <v>9.3428588402647443E-13</v>
      </c>
      <c r="I747" s="8" t="str">
        <f t="shared" si="81"/>
        <v/>
      </c>
    </row>
    <row r="748" spans="1:9" x14ac:dyDescent="0.2">
      <c r="A748" s="5">
        <v>508</v>
      </c>
      <c r="B748" s="6">
        <v>3.025928</v>
      </c>
      <c r="C748" s="6">
        <f t="shared" si="77"/>
        <v>2.9829279999999998</v>
      </c>
      <c r="D748" s="6">
        <f t="shared" si="78"/>
        <v>1515.3274239999998</v>
      </c>
      <c r="E748" s="6">
        <f t="shared" si="82"/>
        <v>-1524.2377740000004</v>
      </c>
      <c r="F748" s="6">
        <f t="shared" si="83"/>
        <v>-6.5925000000000011E-4</v>
      </c>
      <c r="G748" s="6">
        <f t="shared" si="79"/>
        <v>1439.0038227354373</v>
      </c>
      <c r="H748" s="7">
        <f t="shared" si="80"/>
        <v>2.0077163950263417E-12</v>
      </c>
      <c r="I748" s="8" t="str">
        <f t="shared" si="81"/>
        <v/>
      </c>
    </row>
    <row r="749" spans="1:9" x14ac:dyDescent="0.2">
      <c r="A749" s="5">
        <v>506</v>
      </c>
      <c r="B749" s="6">
        <v>3.0261010000000002</v>
      </c>
      <c r="C749" s="6">
        <f t="shared" si="77"/>
        <v>2.983101</v>
      </c>
      <c r="D749" s="6">
        <f t="shared" si="78"/>
        <v>1509.449106</v>
      </c>
      <c r="E749" s="6">
        <f t="shared" si="82"/>
        <v>-1530.2038030000003</v>
      </c>
      <c r="F749" s="6">
        <f t="shared" si="83"/>
        <v>2.2849999999996484E-4</v>
      </c>
      <c r="G749" s="6">
        <f t="shared" si="79"/>
        <v>1438.998706446974</v>
      </c>
      <c r="H749" s="7">
        <f t="shared" si="80"/>
        <v>-5.7924828336545391E-12</v>
      </c>
      <c r="I749" s="8" t="str">
        <f t="shared" si="81"/>
        <v/>
      </c>
    </row>
    <row r="750" spans="1:9" x14ac:dyDescent="0.2">
      <c r="A750" s="5">
        <v>504</v>
      </c>
      <c r="B750" s="6">
        <v>3.0250140000000001</v>
      </c>
      <c r="C750" s="6">
        <f t="shared" si="77"/>
        <v>2.9820139999999999</v>
      </c>
      <c r="D750" s="6">
        <f t="shared" si="78"/>
        <v>1502.935056</v>
      </c>
      <c r="E750" s="6">
        <f t="shared" si="82"/>
        <v>-1536.1689180000003</v>
      </c>
      <c r="F750" s="6">
        <f t="shared" si="83"/>
        <v>3.8400000000005097E-4</v>
      </c>
      <c r="G750" s="6">
        <f t="shared" si="79"/>
        <v>1439.0330272999188</v>
      </c>
      <c r="H750" s="7">
        <f t="shared" si="80"/>
        <v>-3.4469111864664958E-12</v>
      </c>
      <c r="I750" s="8" t="str">
        <f t="shared" si="81"/>
        <v/>
      </c>
    </row>
    <row r="751" spans="1:9" x14ac:dyDescent="0.2">
      <c r="A751" s="5">
        <v>502</v>
      </c>
      <c r="B751" s="6">
        <v>3.0245649999999999</v>
      </c>
      <c r="C751" s="6">
        <f t="shared" si="77"/>
        <v>2.9815649999999998</v>
      </c>
      <c r="D751" s="6">
        <f t="shared" si="78"/>
        <v>1496.7456299999999</v>
      </c>
      <c r="E751" s="6">
        <f t="shared" si="82"/>
        <v>-1542.1324970000003</v>
      </c>
      <c r="F751" s="6">
        <f t="shared" si="83"/>
        <v>-2.4649999999992733E-4</v>
      </c>
      <c r="G751" s="6">
        <f t="shared" si="79"/>
        <v>1439.0481019907854</v>
      </c>
      <c r="H751" s="7">
        <f t="shared" si="80"/>
        <v>5.3696866580665361E-12</v>
      </c>
      <c r="I751" s="8" t="str">
        <f t="shared" si="81"/>
        <v/>
      </c>
    </row>
    <row r="752" spans="1:9" x14ac:dyDescent="0.2">
      <c r="A752" s="5">
        <v>500</v>
      </c>
      <c r="B752" s="6">
        <v>3.0259999999999998</v>
      </c>
      <c r="C752" s="6">
        <f t="shared" si="77"/>
        <v>2.9829999999999997</v>
      </c>
      <c r="D752" s="6">
        <f t="shared" si="78"/>
        <v>1491.4999999999998</v>
      </c>
      <c r="E752" s="6">
        <f t="shared" si="82"/>
        <v>-1548.0970620000003</v>
      </c>
      <c r="F752" s="6">
        <f t="shared" si="83"/>
        <v>-6.812499999999666E-4</v>
      </c>
      <c r="G752" s="6">
        <f t="shared" si="79"/>
        <v>1438.9970534130709</v>
      </c>
      <c r="H752" s="7">
        <f t="shared" si="80"/>
        <v>1.942870909415506E-12</v>
      </c>
      <c r="I752" s="8" t="str">
        <f t="shared" si="81"/>
        <v/>
      </c>
    </row>
    <row r="753" spans="1:9" x14ac:dyDescent="0.2">
      <c r="A753" s="5">
        <v>498</v>
      </c>
      <c r="B753" s="6">
        <v>3.0272899999999998</v>
      </c>
      <c r="C753" s="6">
        <f t="shared" si="77"/>
        <v>2.9842899999999997</v>
      </c>
      <c r="D753" s="6">
        <f t="shared" si="78"/>
        <v>1486.1764199999998</v>
      </c>
      <c r="E753" s="6">
        <f t="shared" si="82"/>
        <v>-1554.0643520000003</v>
      </c>
      <c r="F753" s="6">
        <f t="shared" si="83"/>
        <v>3.4999999999341114E-6</v>
      </c>
      <c r="G753" s="6">
        <f t="shared" si="79"/>
        <v>1438.9485830540107</v>
      </c>
      <c r="H753" s="7">
        <f t="shared" si="80"/>
        <v>-3.7815320694867533E-10</v>
      </c>
      <c r="I753" s="8" t="str">
        <f t="shared" si="81"/>
        <v/>
      </c>
    </row>
    <row r="754" spans="1:9" x14ac:dyDescent="0.2">
      <c r="A754" s="5">
        <v>496</v>
      </c>
      <c r="B754" s="6">
        <v>3.0259860000000001</v>
      </c>
      <c r="C754" s="6">
        <f t="shared" si="77"/>
        <v>2.9829859999999999</v>
      </c>
      <c r="D754" s="6">
        <f t="shared" si="78"/>
        <v>1479.561056</v>
      </c>
      <c r="E754" s="6">
        <f t="shared" si="82"/>
        <v>-1560.0316280000004</v>
      </c>
      <c r="F754" s="6">
        <f t="shared" si="83"/>
        <v>-2.027500000000293E-4</v>
      </c>
      <c r="G754" s="6">
        <f t="shared" si="79"/>
        <v>1439.0001874479756</v>
      </c>
      <c r="H754" s="7">
        <f t="shared" si="80"/>
        <v>6.5281562994103683E-12</v>
      </c>
      <c r="I754" s="8" t="str">
        <f t="shared" si="81"/>
        <v/>
      </c>
    </row>
    <row r="755" spans="1:9" x14ac:dyDescent="0.2">
      <c r="A755" s="5">
        <v>494</v>
      </c>
      <c r="B755" s="6">
        <v>3.0281009999999999</v>
      </c>
      <c r="C755" s="6">
        <f t="shared" si="77"/>
        <v>2.9851009999999998</v>
      </c>
      <c r="D755" s="6">
        <f t="shared" si="78"/>
        <v>1474.6398939999999</v>
      </c>
      <c r="E755" s="6">
        <f t="shared" si="82"/>
        <v>-1565.9997150000004</v>
      </c>
      <c r="F755" s="6">
        <f t="shared" si="83"/>
        <v>-4.2025000000001089E-4</v>
      </c>
      <c r="G755" s="6">
        <f t="shared" si="79"/>
        <v>1438.9122586034696</v>
      </c>
      <c r="H755" s="7">
        <f t="shared" si="80"/>
        <v>3.1493225777156021E-12</v>
      </c>
      <c r="I755" s="8" t="str">
        <f t="shared" si="81"/>
        <v/>
      </c>
    </row>
    <row r="756" spans="1:9" x14ac:dyDescent="0.2">
      <c r="A756" s="5">
        <v>492</v>
      </c>
      <c r="B756" s="6">
        <v>3.0276670000000001</v>
      </c>
      <c r="C756" s="6">
        <f t="shared" si="77"/>
        <v>2.984667</v>
      </c>
      <c r="D756" s="6">
        <f t="shared" si="78"/>
        <v>1468.4561639999999</v>
      </c>
      <c r="E756" s="6">
        <f t="shared" si="82"/>
        <v>-1571.9694830000003</v>
      </c>
      <c r="F756" s="6">
        <f t="shared" si="83"/>
        <v>-2.1024999999996741E-4</v>
      </c>
      <c r="G756" s="6">
        <f t="shared" si="79"/>
        <v>1438.93116968551</v>
      </c>
      <c r="H756" s="7">
        <f t="shared" si="80"/>
        <v>6.2949831514120119E-12</v>
      </c>
      <c r="I756" s="8" t="str">
        <f t="shared" si="81"/>
        <v/>
      </c>
    </row>
    <row r="757" spans="1:9" x14ac:dyDescent="0.2">
      <c r="A757" s="5">
        <v>490</v>
      </c>
      <c r="B757" s="6">
        <v>3.0289419999999998</v>
      </c>
      <c r="C757" s="6">
        <f t="shared" si="77"/>
        <v>2.9859419999999997</v>
      </c>
      <c r="D757" s="6">
        <f t="shared" si="78"/>
        <v>1463.1115799999998</v>
      </c>
      <c r="E757" s="6">
        <f t="shared" si="82"/>
        <v>-1577.9400920000003</v>
      </c>
      <c r="F757" s="6">
        <f t="shared" si="83"/>
        <v>-7.1374999999995747E-4</v>
      </c>
      <c r="G757" s="6">
        <f t="shared" si="79"/>
        <v>1438.8730629352758</v>
      </c>
      <c r="H757" s="7">
        <f t="shared" si="80"/>
        <v>1.8542441489961347E-12</v>
      </c>
      <c r="I757" s="8" t="str">
        <f t="shared" si="81"/>
        <v/>
      </c>
    </row>
    <row r="758" spans="1:9" x14ac:dyDescent="0.2">
      <c r="A758" s="5">
        <v>488</v>
      </c>
      <c r="B758" s="6">
        <v>3.0305219999999999</v>
      </c>
      <c r="C758" s="6">
        <f t="shared" si="77"/>
        <v>2.9875219999999998</v>
      </c>
      <c r="D758" s="6">
        <f t="shared" si="78"/>
        <v>1457.9107359999998</v>
      </c>
      <c r="E758" s="6">
        <f t="shared" si="82"/>
        <v>-1583.9135560000002</v>
      </c>
      <c r="F758" s="6">
        <f t="shared" si="83"/>
        <v>-2.427500000000693E-4</v>
      </c>
      <c r="G758" s="6">
        <f t="shared" si="79"/>
        <v>1438.7978961389072</v>
      </c>
      <c r="H758" s="7">
        <f t="shared" si="80"/>
        <v>5.451689488691163E-12</v>
      </c>
      <c r="I758" s="8" t="str">
        <f t="shared" si="81"/>
        <v/>
      </c>
    </row>
    <row r="759" spans="1:9" x14ac:dyDescent="0.2">
      <c r="A759" s="5">
        <v>486</v>
      </c>
      <c r="B759" s="6">
        <v>3.0299130000000001</v>
      </c>
      <c r="C759" s="6">
        <f t="shared" si="77"/>
        <v>2.9869129999999999</v>
      </c>
      <c r="D759" s="6">
        <f t="shared" si="78"/>
        <v>1451.6397179999999</v>
      </c>
      <c r="E759" s="6">
        <f t="shared" si="82"/>
        <v>-1589.8879910000003</v>
      </c>
      <c r="F759" s="6">
        <f t="shared" si="83"/>
        <v>1.3774999999993653E-4</v>
      </c>
      <c r="G759" s="6">
        <f t="shared" si="79"/>
        <v>1438.8280866572545</v>
      </c>
      <c r="H759" s="7">
        <f t="shared" si="80"/>
        <v>-9.6074438652441251E-12</v>
      </c>
      <c r="I759" s="8" t="str">
        <f t="shared" si="81"/>
        <v/>
      </c>
    </row>
    <row r="760" spans="1:9" x14ac:dyDescent="0.2">
      <c r="A760" s="5">
        <v>484</v>
      </c>
      <c r="B760" s="6">
        <v>3.0299710000000002</v>
      </c>
      <c r="C760" s="6">
        <f t="shared" si="77"/>
        <v>2.986971</v>
      </c>
      <c r="D760" s="6">
        <f t="shared" si="78"/>
        <v>1445.6939640000001</v>
      </c>
      <c r="E760" s="6">
        <f t="shared" si="82"/>
        <v>-1595.8618750000003</v>
      </c>
      <c r="F760" s="6">
        <f t="shared" si="83"/>
        <v>-2.6099999999995571E-4</v>
      </c>
      <c r="G760" s="6">
        <f t="shared" si="79"/>
        <v>1438.8250953697927</v>
      </c>
      <c r="H760" s="7">
        <f t="shared" si="80"/>
        <v>5.0705848316813575E-12</v>
      </c>
      <c r="I760" s="8" t="str">
        <f t="shared" si="81"/>
        <v/>
      </c>
    </row>
    <row r="761" spans="1:9" x14ac:dyDescent="0.2">
      <c r="A761" s="5">
        <v>482</v>
      </c>
      <c r="B761" s="6">
        <v>3.0309569999999999</v>
      </c>
      <c r="C761" s="6">
        <f t="shared" si="77"/>
        <v>2.9879569999999998</v>
      </c>
      <c r="D761" s="6">
        <f t="shared" si="78"/>
        <v>1440.1952739999999</v>
      </c>
      <c r="E761" s="6">
        <f t="shared" si="82"/>
        <v>-1601.8368030000004</v>
      </c>
      <c r="F761" s="6">
        <f t="shared" si="83"/>
        <v>-4.6024999999993987E-4</v>
      </c>
      <c r="G761" s="6">
        <f t="shared" si="79"/>
        <v>1438.7722714829451</v>
      </c>
      <c r="H761" s="7">
        <f t="shared" si="80"/>
        <v>2.8753374339519645E-12</v>
      </c>
      <c r="I761" s="8" t="str">
        <f t="shared" si="81"/>
        <v/>
      </c>
    </row>
    <row r="762" spans="1:9" x14ac:dyDescent="0.2">
      <c r="A762" s="5">
        <v>480</v>
      </c>
      <c r="B762" s="6">
        <v>3.031812</v>
      </c>
      <c r="C762" s="6">
        <f t="shared" si="77"/>
        <v>2.9888119999999998</v>
      </c>
      <c r="D762" s="6">
        <f t="shared" si="78"/>
        <v>1434.6297599999998</v>
      </c>
      <c r="E762" s="6">
        <f t="shared" si="82"/>
        <v>-1607.8135720000005</v>
      </c>
      <c r="F762" s="6">
        <f t="shared" si="83"/>
        <v>-9.0924999999997258E-4</v>
      </c>
      <c r="G762" s="6">
        <f t="shared" si="79"/>
        <v>1438.7247557798471</v>
      </c>
      <c r="H762" s="7">
        <f t="shared" si="80"/>
        <v>1.4554086877308238E-12</v>
      </c>
      <c r="I762" s="8" t="str">
        <f t="shared" si="81"/>
        <v/>
      </c>
    </row>
    <row r="763" spans="1:9" x14ac:dyDescent="0.2">
      <c r="A763" s="5">
        <v>478</v>
      </c>
      <c r="B763" s="6">
        <v>3.0345939999999998</v>
      </c>
      <c r="C763" s="6">
        <f t="shared" si="77"/>
        <v>2.9915939999999996</v>
      </c>
      <c r="D763" s="6">
        <f t="shared" si="78"/>
        <v>1429.9819319999999</v>
      </c>
      <c r="E763" s="6">
        <f t="shared" si="82"/>
        <v>-1613.7939780000004</v>
      </c>
      <c r="F763" s="6">
        <f t="shared" si="83"/>
        <v>-8.9850000000002428E-4</v>
      </c>
      <c r="G763" s="6">
        <f t="shared" si="79"/>
        <v>1438.5645851295324</v>
      </c>
      <c r="H763" s="7">
        <f t="shared" si="80"/>
        <v>1.4726577911201582E-12</v>
      </c>
      <c r="I763" s="8" t="str">
        <f t="shared" si="81"/>
        <v/>
      </c>
    </row>
    <row r="764" spans="1:9" x14ac:dyDescent="0.2">
      <c r="A764" s="5">
        <v>476</v>
      </c>
      <c r="B764" s="6">
        <v>3.035406</v>
      </c>
      <c r="C764" s="6">
        <f t="shared" si="77"/>
        <v>2.9924059999999999</v>
      </c>
      <c r="D764" s="6">
        <f t="shared" si="78"/>
        <v>1424.385256</v>
      </c>
      <c r="E764" s="6">
        <f t="shared" si="82"/>
        <v>-1619.7779780000003</v>
      </c>
      <c r="F764" s="6">
        <f t="shared" si="83"/>
        <v>-1.1600000000000499E-4</v>
      </c>
      <c r="G764" s="6">
        <f t="shared" si="79"/>
        <v>1438.5162111050695</v>
      </c>
      <c r="H764" s="7">
        <f t="shared" si="80"/>
        <v>1.1406366648151909E-11</v>
      </c>
      <c r="I764" s="8" t="str">
        <f t="shared" si="81"/>
        <v/>
      </c>
    </row>
    <row r="765" spans="1:9" x14ac:dyDescent="0.2">
      <c r="A765" s="5">
        <v>474</v>
      </c>
      <c r="B765" s="6">
        <v>3.0350579999999998</v>
      </c>
      <c r="C765" s="6">
        <f t="shared" si="77"/>
        <v>2.9920579999999997</v>
      </c>
      <c r="D765" s="6">
        <f t="shared" si="78"/>
        <v>1418.2354919999998</v>
      </c>
      <c r="E765" s="6">
        <f t="shared" si="82"/>
        <v>-1625.7624420000002</v>
      </c>
      <c r="F765" s="6">
        <f t="shared" si="83"/>
        <v>1.8125000000002167E-4</v>
      </c>
      <c r="G765" s="6">
        <f t="shared" si="79"/>
        <v>1438.5376388298391</v>
      </c>
      <c r="H765" s="7">
        <f t="shared" si="80"/>
        <v>-7.3001833946343258E-12</v>
      </c>
      <c r="I765" s="8" t="str">
        <f t="shared" si="81"/>
        <v/>
      </c>
    </row>
    <row r="766" spans="1:9" x14ac:dyDescent="0.2">
      <c r="A766" s="5">
        <v>472</v>
      </c>
      <c r="B766" s="6">
        <v>3.034681</v>
      </c>
      <c r="C766" s="6">
        <f t="shared" si="77"/>
        <v>2.9916809999999998</v>
      </c>
      <c r="D766" s="6">
        <f t="shared" si="78"/>
        <v>1412.0734319999999</v>
      </c>
      <c r="E766" s="6">
        <f t="shared" si="82"/>
        <v>-1631.7461810000002</v>
      </c>
      <c r="F766" s="6">
        <f t="shared" si="83"/>
        <v>-3.2250000000000334E-4</v>
      </c>
      <c r="G766" s="6">
        <f t="shared" si="79"/>
        <v>1438.5616061983396</v>
      </c>
      <c r="H766" s="7">
        <f t="shared" si="80"/>
        <v>4.1028846056389066E-12</v>
      </c>
      <c r="I766" s="8" t="str">
        <f t="shared" si="81"/>
        <v/>
      </c>
    </row>
    <row r="767" spans="1:9" x14ac:dyDescent="0.2">
      <c r="A767" s="5">
        <v>470</v>
      </c>
      <c r="B767" s="6">
        <v>3.0363479999999998</v>
      </c>
      <c r="C767" s="6">
        <f t="shared" si="77"/>
        <v>2.9933479999999997</v>
      </c>
      <c r="D767" s="6">
        <f t="shared" si="78"/>
        <v>1406.8735599999998</v>
      </c>
      <c r="E767" s="6">
        <f t="shared" si="82"/>
        <v>-1637.7312100000001</v>
      </c>
      <c r="F767" s="6">
        <f t="shared" si="83"/>
        <v>-9.7750000000007553E-5</v>
      </c>
      <c r="G767" s="6">
        <f t="shared" si="79"/>
        <v>1438.4522944707787</v>
      </c>
      <c r="H767" s="7">
        <f t="shared" si="80"/>
        <v>1.3535342619447762E-11</v>
      </c>
      <c r="I767" s="8" t="str">
        <f t="shared" si="81"/>
        <v/>
      </c>
    </row>
    <row r="768" spans="1:9" x14ac:dyDescent="0.2">
      <c r="A768" s="5">
        <v>468</v>
      </c>
      <c r="B768" s="6">
        <v>3.035072</v>
      </c>
      <c r="C768" s="6">
        <f t="shared" si="77"/>
        <v>2.9920719999999998</v>
      </c>
      <c r="D768" s="6">
        <f t="shared" si="78"/>
        <v>1400.2896959999998</v>
      </c>
      <c r="E768" s="6">
        <f t="shared" si="82"/>
        <v>-1643.7166300000001</v>
      </c>
      <c r="F768" s="6">
        <f t="shared" si="83"/>
        <v>3.1899999999995821E-4</v>
      </c>
      <c r="G768" s="6">
        <f t="shared" si="79"/>
        <v>1438.5385187949346</v>
      </c>
      <c r="H768" s="7">
        <f t="shared" si="80"/>
        <v>-4.1478340114871105E-12</v>
      </c>
      <c r="I768" s="8" t="str">
        <f t="shared" si="81"/>
        <v/>
      </c>
    </row>
    <row r="769" spans="1:9" x14ac:dyDescent="0.2">
      <c r="A769" s="5">
        <v>466</v>
      </c>
      <c r="B769" s="6">
        <v>3.035072</v>
      </c>
      <c r="C769" s="6">
        <f t="shared" si="77"/>
        <v>2.9920719999999998</v>
      </c>
      <c r="D769" s="6">
        <f t="shared" si="78"/>
        <v>1394.305552</v>
      </c>
      <c r="E769" s="6">
        <f t="shared" si="82"/>
        <v>-1649.7007740000001</v>
      </c>
      <c r="F769" s="6">
        <f t="shared" si="83"/>
        <v>2.7524999999994915E-4</v>
      </c>
      <c r="G769" s="6">
        <f t="shared" si="79"/>
        <v>1438.5385187949346</v>
      </c>
      <c r="H769" s="7">
        <f t="shared" si="80"/>
        <v>-4.8071173466465378E-12</v>
      </c>
      <c r="I769" s="8" t="str">
        <f t="shared" si="81"/>
        <v/>
      </c>
    </row>
    <row r="770" spans="1:9" x14ac:dyDescent="0.2">
      <c r="A770" s="5">
        <v>464</v>
      </c>
      <c r="B770" s="6">
        <v>3.0339710000000002</v>
      </c>
      <c r="C770" s="6">
        <f t="shared" ref="C770:C833" si="84">B770-$B$2</f>
        <v>2.990971</v>
      </c>
      <c r="D770" s="6">
        <f t="shared" ref="D770:D833" si="85">A770*C770</f>
        <v>1387.8105439999999</v>
      </c>
      <c r="E770" s="6">
        <f t="shared" si="82"/>
        <v>-1655.6838170000001</v>
      </c>
      <c r="F770" s="6">
        <f t="shared" si="83"/>
        <v>2.027500000000293E-4</v>
      </c>
      <c r="G770" s="6">
        <f t="shared" ref="G770:G833" si="86">(A770-$L$5)*C770-E770</f>
        <v>1438.6173216827838</v>
      </c>
      <c r="H770" s="7">
        <f t="shared" ref="H770:H833" si="87">IF(ABS(F770)&lt;0.000000001,"",-(G770)/(2*$L$4*F770)*0.000000000001)</f>
        <v>-6.526419393759718E-12</v>
      </c>
      <c r="I770" s="8" t="str">
        <f t="shared" ref="I770:I833" si="88">IF(AND(B770&gt;=0.5,B770&lt;=2.5,ISNUMBER(H770),H770&gt;0),H770,"")</f>
        <v/>
      </c>
    </row>
    <row r="771" spans="1:9" x14ac:dyDescent="0.2">
      <c r="A771" s="5">
        <v>462</v>
      </c>
      <c r="B771" s="6">
        <v>3.0342609999999999</v>
      </c>
      <c r="C771" s="6">
        <f t="shared" si="84"/>
        <v>2.9912609999999997</v>
      </c>
      <c r="D771" s="6">
        <f t="shared" si="85"/>
        <v>1381.9625819999999</v>
      </c>
      <c r="E771" s="6">
        <f t="shared" ref="E771:E834" si="89">E770+(C770+C771)/2*(A771-A770)</f>
        <v>-1661.6660490000002</v>
      </c>
      <c r="F771" s="6">
        <f t="shared" ref="F771:F834" si="90">(B772-B770)/(A772-A770)</f>
        <v>-6.1499999999936605E-5</v>
      </c>
      <c r="G771" s="6">
        <f t="shared" si="86"/>
        <v>1438.5959852454757</v>
      </c>
      <c r="H771" s="7">
        <f t="shared" si="87"/>
        <v>2.1515640763577933E-11</v>
      </c>
      <c r="I771" s="8" t="str">
        <f t="shared" si="88"/>
        <v/>
      </c>
    </row>
    <row r="772" spans="1:9" x14ac:dyDescent="0.2">
      <c r="A772" s="5">
        <v>460</v>
      </c>
      <c r="B772" s="6">
        <v>3.0342169999999999</v>
      </c>
      <c r="C772" s="6">
        <f t="shared" si="84"/>
        <v>2.9912169999999998</v>
      </c>
      <c r="D772" s="6">
        <f t="shared" si="85"/>
        <v>1375.9598199999998</v>
      </c>
      <c r="E772" s="6">
        <f t="shared" si="89"/>
        <v>-1667.6485270000001</v>
      </c>
      <c r="F772" s="6">
        <f t="shared" si="90"/>
        <v>-1.7750000000005262E-4</v>
      </c>
      <c r="G772" s="6">
        <f t="shared" si="86"/>
        <v>1438.5993104980325</v>
      </c>
      <c r="H772" s="7">
        <f t="shared" si="87"/>
        <v>7.4547322000311232E-12</v>
      </c>
      <c r="I772" s="8" t="str">
        <f t="shared" si="88"/>
        <v/>
      </c>
    </row>
    <row r="773" spans="1:9" x14ac:dyDescent="0.2">
      <c r="A773" s="5">
        <v>458</v>
      </c>
      <c r="B773" s="6">
        <v>3.0349710000000001</v>
      </c>
      <c r="C773" s="6">
        <f t="shared" si="84"/>
        <v>2.9919709999999999</v>
      </c>
      <c r="D773" s="6">
        <f t="shared" si="85"/>
        <v>1370.3227179999999</v>
      </c>
      <c r="E773" s="6">
        <f t="shared" si="89"/>
        <v>-1673.631715</v>
      </c>
      <c r="F773" s="6">
        <f t="shared" si="90"/>
        <v>-2.4999999999997247E-4</v>
      </c>
      <c r="G773" s="6">
        <f t="shared" si="86"/>
        <v>1438.5408197610313</v>
      </c>
      <c r="H773" s="7">
        <f t="shared" si="87"/>
        <v>5.2926446643163713E-12</v>
      </c>
      <c r="I773" s="8" t="str">
        <f t="shared" si="88"/>
        <v/>
      </c>
    </row>
    <row r="774" spans="1:9" x14ac:dyDescent="0.2">
      <c r="A774" s="5">
        <v>456</v>
      </c>
      <c r="B774" s="6">
        <v>3.0352169999999998</v>
      </c>
      <c r="C774" s="6">
        <f t="shared" si="84"/>
        <v>2.9922169999999997</v>
      </c>
      <c r="D774" s="6">
        <f t="shared" si="85"/>
        <v>1364.4509519999999</v>
      </c>
      <c r="E774" s="6">
        <f t="shared" si="89"/>
        <v>-1679.6159029999999</v>
      </c>
      <c r="F774" s="6">
        <f t="shared" si="90"/>
        <v>-1.0580000000000034E-3</v>
      </c>
      <c r="G774" s="6">
        <f t="shared" si="86"/>
        <v>1438.5212445762802</v>
      </c>
      <c r="H774" s="7">
        <f t="shared" si="87"/>
        <v>1.2506079025917982E-12</v>
      </c>
      <c r="I774" s="8" t="str">
        <f t="shared" si="88"/>
        <v/>
      </c>
    </row>
    <row r="775" spans="1:9" x14ac:dyDescent="0.2">
      <c r="A775" s="5">
        <v>454</v>
      </c>
      <c r="B775" s="6">
        <v>3.0392030000000001</v>
      </c>
      <c r="C775" s="6">
        <f t="shared" si="84"/>
        <v>2.9962029999999999</v>
      </c>
      <c r="D775" s="6">
        <f t="shared" si="85"/>
        <v>1360.2761619999999</v>
      </c>
      <c r="E775" s="6">
        <f t="shared" si="89"/>
        <v>-1685.6043229999998</v>
      </c>
      <c r="F775" s="6">
        <f t="shared" si="90"/>
        <v>-1.1885000000000367E-3</v>
      </c>
      <c r="G775" s="6">
        <f t="shared" si="86"/>
        <v>1438.1960909241757</v>
      </c>
      <c r="H775" s="7">
        <f t="shared" si="87"/>
        <v>1.1130366736010164E-12</v>
      </c>
      <c r="I775" s="8" t="str">
        <f t="shared" si="88"/>
        <v/>
      </c>
    </row>
    <row r="776" spans="1:9" x14ac:dyDescent="0.2">
      <c r="A776" s="5">
        <v>452</v>
      </c>
      <c r="B776" s="6">
        <v>3.039971</v>
      </c>
      <c r="C776" s="6">
        <f t="shared" si="84"/>
        <v>2.9969709999999998</v>
      </c>
      <c r="D776" s="6">
        <f t="shared" si="85"/>
        <v>1354.6308919999999</v>
      </c>
      <c r="E776" s="6">
        <f t="shared" si="89"/>
        <v>-1691.5974969999997</v>
      </c>
      <c r="F776" s="6">
        <f t="shared" si="90"/>
        <v>1.340000000000785E-4</v>
      </c>
      <c r="G776" s="6">
        <f t="shared" si="86"/>
        <v>1438.1319061522699</v>
      </c>
      <c r="H776" s="7">
        <f t="shared" si="87"/>
        <v>-9.8715302224489259E-12</v>
      </c>
      <c r="I776" s="8" t="str">
        <f t="shared" si="88"/>
        <v/>
      </c>
    </row>
    <row r="777" spans="1:9" x14ac:dyDescent="0.2">
      <c r="A777" s="5">
        <v>450</v>
      </c>
      <c r="B777" s="6">
        <v>3.0386669999999998</v>
      </c>
      <c r="C777" s="6">
        <f t="shared" si="84"/>
        <v>2.9956669999999996</v>
      </c>
      <c r="D777" s="6">
        <f t="shared" si="85"/>
        <v>1348.0501499999998</v>
      </c>
      <c r="E777" s="6">
        <f t="shared" si="89"/>
        <v>-1697.5901349999997</v>
      </c>
      <c r="F777" s="6">
        <f t="shared" si="90"/>
        <v>-4.1674999999996576E-4</v>
      </c>
      <c r="G777" s="6">
        <f t="shared" si="86"/>
        <v>1438.2434945462348</v>
      </c>
      <c r="H777" s="7">
        <f t="shared" si="87"/>
        <v>3.174295592418719E-12</v>
      </c>
      <c r="I777" s="8" t="str">
        <f t="shared" si="88"/>
        <v/>
      </c>
    </row>
    <row r="778" spans="1:9" x14ac:dyDescent="0.2">
      <c r="A778" s="5">
        <v>448</v>
      </c>
      <c r="B778" s="6">
        <v>3.0416379999999998</v>
      </c>
      <c r="C778" s="6">
        <f t="shared" si="84"/>
        <v>2.9986379999999997</v>
      </c>
      <c r="D778" s="6">
        <f t="shared" si="85"/>
        <v>1343.3898239999999</v>
      </c>
      <c r="E778" s="6">
        <f t="shared" si="89"/>
        <v>-1703.5844399999996</v>
      </c>
      <c r="F778" s="6">
        <f t="shared" si="90"/>
        <v>-1.235500000000056E-3</v>
      </c>
      <c r="G778" s="6">
        <f t="shared" si="86"/>
        <v>1437.9833124247089</v>
      </c>
      <c r="H778" s="7">
        <f t="shared" si="87"/>
        <v>1.0705369277174039E-12</v>
      </c>
      <c r="I778" s="8" t="str">
        <f t="shared" si="88"/>
        <v/>
      </c>
    </row>
    <row r="779" spans="1:9" x14ac:dyDescent="0.2">
      <c r="A779" s="5">
        <v>446</v>
      </c>
      <c r="B779" s="6">
        <v>3.043609</v>
      </c>
      <c r="C779" s="6">
        <f t="shared" si="84"/>
        <v>3.0006089999999999</v>
      </c>
      <c r="D779" s="6">
        <f t="shared" si="85"/>
        <v>1338.271614</v>
      </c>
      <c r="E779" s="6">
        <f t="shared" si="89"/>
        <v>-1709.5836869999996</v>
      </c>
      <c r="F779" s="6">
        <f t="shared" si="90"/>
        <v>-8.839999999999959E-4</v>
      </c>
      <c r="G779" s="6">
        <f t="shared" si="86"/>
        <v>1437.806762224935</v>
      </c>
      <c r="H779" s="7">
        <f t="shared" si="87"/>
        <v>1.496024869215434E-12</v>
      </c>
      <c r="I779" s="8" t="str">
        <f t="shared" si="88"/>
        <v/>
      </c>
    </row>
    <row r="780" spans="1:9" x14ac:dyDescent="0.2">
      <c r="A780" s="5">
        <v>444</v>
      </c>
      <c r="B780" s="6">
        <v>3.0451739999999998</v>
      </c>
      <c r="C780" s="6">
        <f t="shared" si="84"/>
        <v>3.0021739999999997</v>
      </c>
      <c r="D780" s="6">
        <f t="shared" si="85"/>
        <v>1332.965256</v>
      </c>
      <c r="E780" s="6">
        <f t="shared" si="89"/>
        <v>-1715.5864699999995</v>
      </c>
      <c r="F780" s="6">
        <f t="shared" si="90"/>
        <v>-3.4425000000004591E-4</v>
      </c>
      <c r="G780" s="6">
        <f t="shared" si="86"/>
        <v>1437.6634490373926</v>
      </c>
      <c r="H780" s="7">
        <f t="shared" si="87"/>
        <v>3.8412611932638773E-12</v>
      </c>
      <c r="I780" s="8" t="str">
        <f t="shared" si="88"/>
        <v/>
      </c>
    </row>
    <row r="781" spans="1:9" x14ac:dyDescent="0.2">
      <c r="A781" s="5">
        <v>442</v>
      </c>
      <c r="B781" s="6">
        <v>3.0449860000000002</v>
      </c>
      <c r="C781" s="6">
        <f t="shared" si="84"/>
        <v>3.001986</v>
      </c>
      <c r="D781" s="6">
        <f t="shared" si="85"/>
        <v>1326.8778119999999</v>
      </c>
      <c r="E781" s="6">
        <f t="shared" si="89"/>
        <v>-1721.5906299999995</v>
      </c>
      <c r="F781" s="6">
        <f t="shared" si="90"/>
        <v>9.7750000000007553E-5</v>
      </c>
      <c r="G781" s="6">
        <f t="shared" si="86"/>
        <v>1437.6810409346822</v>
      </c>
      <c r="H781" s="7">
        <f t="shared" si="87"/>
        <v>-1.352808538825723E-11</v>
      </c>
      <c r="I781" s="8" t="str">
        <f t="shared" si="88"/>
        <v/>
      </c>
    </row>
    <row r="782" spans="1:9" x14ac:dyDescent="0.2">
      <c r="A782" s="5">
        <v>440</v>
      </c>
      <c r="B782" s="6">
        <v>3.0447829999999998</v>
      </c>
      <c r="C782" s="6">
        <f t="shared" si="84"/>
        <v>3.0017829999999996</v>
      </c>
      <c r="D782" s="6">
        <f t="shared" si="85"/>
        <v>1320.7845199999999</v>
      </c>
      <c r="E782" s="6">
        <f t="shared" si="89"/>
        <v>-1727.5943989999994</v>
      </c>
      <c r="F782" s="6">
        <f t="shared" si="90"/>
        <v>8.3500000000014118E-5</v>
      </c>
      <c r="G782" s="6">
        <f t="shared" si="86"/>
        <v>1437.7004424407978</v>
      </c>
      <c r="H782" s="7">
        <f t="shared" si="87"/>
        <v>-1.5836984336410563E-11</v>
      </c>
      <c r="I782" s="8" t="str">
        <f t="shared" si="88"/>
        <v/>
      </c>
    </row>
    <row r="783" spans="1:9" x14ac:dyDescent="0.2">
      <c r="A783" s="5">
        <v>438</v>
      </c>
      <c r="B783" s="6">
        <v>3.0446520000000001</v>
      </c>
      <c r="C783" s="6">
        <f t="shared" si="84"/>
        <v>3.001652</v>
      </c>
      <c r="D783" s="6">
        <f t="shared" si="85"/>
        <v>1314.7235760000001</v>
      </c>
      <c r="E783" s="6">
        <f t="shared" si="89"/>
        <v>-1733.5978339999995</v>
      </c>
      <c r="F783" s="6">
        <f t="shared" si="90"/>
        <v>3.2250000000000334E-4</v>
      </c>
      <c r="G783" s="6">
        <f t="shared" si="86"/>
        <v>1437.7132246245474</v>
      </c>
      <c r="H783" s="7">
        <f t="shared" si="87"/>
        <v>-4.1004649583441207E-12</v>
      </c>
      <c r="I783" s="8" t="str">
        <f t="shared" si="88"/>
        <v/>
      </c>
    </row>
    <row r="784" spans="1:9" x14ac:dyDescent="0.2">
      <c r="A784" s="5">
        <v>436</v>
      </c>
      <c r="B784" s="6">
        <v>3.0434929999999998</v>
      </c>
      <c r="C784" s="6">
        <f t="shared" si="84"/>
        <v>3.0004929999999996</v>
      </c>
      <c r="D784" s="6">
        <f t="shared" si="85"/>
        <v>1308.2149479999998</v>
      </c>
      <c r="E784" s="6">
        <f t="shared" si="89"/>
        <v>-1739.5999789999994</v>
      </c>
      <c r="F784" s="6">
        <f t="shared" si="90"/>
        <v>2.8250000000007436E-4</v>
      </c>
      <c r="G784" s="6">
        <f t="shared" si="86"/>
        <v>1437.8286307998583</v>
      </c>
      <c r="H784" s="7">
        <f t="shared" si="87"/>
        <v>-4.6814375184755835E-12</v>
      </c>
      <c r="I784" s="8" t="str">
        <f t="shared" si="88"/>
        <v/>
      </c>
    </row>
    <row r="785" spans="1:9" x14ac:dyDescent="0.2">
      <c r="A785" s="5">
        <v>434</v>
      </c>
      <c r="B785" s="6">
        <v>3.0435219999999998</v>
      </c>
      <c r="C785" s="6">
        <f t="shared" si="84"/>
        <v>3.0005219999999997</v>
      </c>
      <c r="D785" s="6">
        <f t="shared" si="85"/>
        <v>1302.2265479999999</v>
      </c>
      <c r="E785" s="6">
        <f t="shared" si="89"/>
        <v>-1745.6009939999994</v>
      </c>
      <c r="F785" s="6">
        <f t="shared" si="90"/>
        <v>-3.2975000000001753E-4</v>
      </c>
      <c r="G785" s="6">
        <f t="shared" si="86"/>
        <v>1437.8256851561273</v>
      </c>
      <c r="H785" s="7">
        <f t="shared" si="87"/>
        <v>4.0106243808470047E-12</v>
      </c>
      <c r="I785" s="8" t="str">
        <f t="shared" si="88"/>
        <v/>
      </c>
    </row>
    <row r="786" spans="1:9" x14ac:dyDescent="0.2">
      <c r="A786" s="5">
        <v>432</v>
      </c>
      <c r="B786" s="6">
        <v>3.0448119999999999</v>
      </c>
      <c r="C786" s="6">
        <f t="shared" si="84"/>
        <v>3.0018119999999997</v>
      </c>
      <c r="D786" s="6">
        <f t="shared" si="85"/>
        <v>1296.7827839999998</v>
      </c>
      <c r="E786" s="6">
        <f t="shared" si="89"/>
        <v>-1751.6033279999995</v>
      </c>
      <c r="F786" s="6">
        <f t="shared" si="90"/>
        <v>-7.6000000000076007E-5</v>
      </c>
      <c r="G786" s="6">
        <f t="shared" si="86"/>
        <v>1437.6920747970671</v>
      </c>
      <c r="H786" s="7">
        <f t="shared" si="87"/>
        <v>1.7399743362907483E-11</v>
      </c>
      <c r="I786" s="8" t="str">
        <f t="shared" si="88"/>
        <v/>
      </c>
    </row>
    <row r="787" spans="1:9" x14ac:dyDescent="0.2">
      <c r="A787" s="5">
        <v>430</v>
      </c>
      <c r="B787" s="6">
        <v>3.0438260000000001</v>
      </c>
      <c r="C787" s="6">
        <f t="shared" si="84"/>
        <v>3.000826</v>
      </c>
      <c r="D787" s="6">
        <f t="shared" si="85"/>
        <v>1290.35518</v>
      </c>
      <c r="E787" s="6">
        <f t="shared" si="89"/>
        <v>-1757.6059659999994</v>
      </c>
      <c r="F787" s="6">
        <f t="shared" si="90"/>
        <v>6.174999999997155E-5</v>
      </c>
      <c r="G787" s="6">
        <f t="shared" si="86"/>
        <v>1437.7961706839146</v>
      </c>
      <c r="H787" s="7">
        <f t="shared" si="87"/>
        <v>-2.1416619309336422E-11</v>
      </c>
      <c r="I787" s="8" t="str">
        <f t="shared" si="88"/>
        <v/>
      </c>
    </row>
    <row r="788" spans="1:9" x14ac:dyDescent="0.2">
      <c r="A788" s="5">
        <v>428</v>
      </c>
      <c r="B788" s="6">
        <v>3.044565</v>
      </c>
      <c r="C788" s="6">
        <f t="shared" si="84"/>
        <v>3.0015649999999998</v>
      </c>
      <c r="D788" s="6">
        <f t="shared" si="85"/>
        <v>1284.6698199999998</v>
      </c>
      <c r="E788" s="6">
        <f t="shared" si="89"/>
        <v>-1763.6083569999994</v>
      </c>
      <c r="F788" s="6">
        <f t="shared" si="90"/>
        <v>1.340000000000785E-4</v>
      </c>
      <c r="G788" s="6">
        <f t="shared" si="86"/>
        <v>1437.7166735557398</v>
      </c>
      <c r="H788" s="7">
        <f t="shared" si="87"/>
        <v>-9.8686800102337213E-12</v>
      </c>
      <c r="I788" s="8" t="str">
        <f t="shared" si="88"/>
        <v/>
      </c>
    </row>
    <row r="789" spans="1:9" x14ac:dyDescent="0.2">
      <c r="A789" s="5">
        <v>426</v>
      </c>
      <c r="B789" s="6">
        <v>3.0432899999999998</v>
      </c>
      <c r="C789" s="6">
        <f t="shared" si="84"/>
        <v>3.0002899999999997</v>
      </c>
      <c r="D789" s="6">
        <f t="shared" si="85"/>
        <v>1278.1235399999998</v>
      </c>
      <c r="E789" s="6">
        <f t="shared" si="89"/>
        <v>-1769.6102119999994</v>
      </c>
      <c r="F789" s="6">
        <f t="shared" si="90"/>
        <v>2.3899999999998922E-4</v>
      </c>
      <c r="G789" s="6">
        <f t="shared" si="86"/>
        <v>1437.8563803059737</v>
      </c>
      <c r="H789" s="7">
        <f t="shared" si="87"/>
        <v>-5.5336051163098274E-12</v>
      </c>
      <c r="I789" s="8" t="str">
        <f t="shared" si="88"/>
        <v/>
      </c>
    </row>
    <row r="790" spans="1:9" x14ac:dyDescent="0.2">
      <c r="A790" s="5">
        <v>424</v>
      </c>
      <c r="B790" s="6">
        <v>3.043609</v>
      </c>
      <c r="C790" s="6">
        <f t="shared" si="84"/>
        <v>3.0006089999999999</v>
      </c>
      <c r="D790" s="6">
        <f t="shared" si="85"/>
        <v>1272.2582159999999</v>
      </c>
      <c r="E790" s="6">
        <f t="shared" si="89"/>
        <v>-1775.6111109999993</v>
      </c>
      <c r="F790" s="6">
        <f t="shared" si="90"/>
        <v>-6.4125000000003762E-4</v>
      </c>
      <c r="G790" s="6">
        <f t="shared" si="86"/>
        <v>1437.8207882249349</v>
      </c>
      <c r="H790" s="7">
        <f t="shared" si="87"/>
        <v>2.0623764294994606E-12</v>
      </c>
      <c r="I790" s="8" t="str">
        <f t="shared" si="88"/>
        <v/>
      </c>
    </row>
    <row r="791" spans="1:9" x14ac:dyDescent="0.2">
      <c r="A791" s="5">
        <v>422</v>
      </c>
      <c r="B791" s="6">
        <v>3.045855</v>
      </c>
      <c r="C791" s="6">
        <f t="shared" si="84"/>
        <v>3.0028549999999998</v>
      </c>
      <c r="D791" s="6">
        <f t="shared" si="85"/>
        <v>1267.20481</v>
      </c>
      <c r="E791" s="6">
        <f t="shared" si="89"/>
        <v>-1781.6145749999991</v>
      </c>
      <c r="F791" s="6">
        <f t="shared" si="90"/>
        <v>-4.4549999999998757E-4</v>
      </c>
      <c r="G791" s="6">
        <f t="shared" si="86"/>
        <v>1437.5657011966791</v>
      </c>
      <c r="H791" s="7">
        <f t="shared" si="87"/>
        <v>2.9680454722945239E-12</v>
      </c>
      <c r="I791" s="8" t="str">
        <f t="shared" si="88"/>
        <v/>
      </c>
    </row>
    <row r="792" spans="1:9" x14ac:dyDescent="0.2">
      <c r="A792" s="5">
        <v>420</v>
      </c>
      <c r="B792" s="6">
        <v>3.045391</v>
      </c>
      <c r="C792" s="6">
        <f t="shared" si="84"/>
        <v>3.0023909999999998</v>
      </c>
      <c r="D792" s="6">
        <f t="shared" si="85"/>
        <v>1261.00422</v>
      </c>
      <c r="E792" s="6">
        <f t="shared" si="89"/>
        <v>-1787.6198209999991</v>
      </c>
      <c r="F792" s="6">
        <f t="shared" si="90"/>
        <v>9.4249999999962419E-5</v>
      </c>
      <c r="G792" s="6">
        <f t="shared" si="86"/>
        <v>1437.6193274963721</v>
      </c>
      <c r="H792" s="7">
        <f t="shared" si="87"/>
        <v>-1.4029852340101703E-11</v>
      </c>
      <c r="I792" s="8" t="str">
        <f t="shared" si="88"/>
        <v/>
      </c>
    </row>
    <row r="793" spans="1:9" x14ac:dyDescent="0.2">
      <c r="A793" s="5">
        <v>418</v>
      </c>
      <c r="B793" s="6">
        <v>3.0454780000000001</v>
      </c>
      <c r="C793" s="6">
        <f t="shared" si="84"/>
        <v>3.002478</v>
      </c>
      <c r="D793" s="6">
        <f t="shared" si="85"/>
        <v>1255.0358040000001</v>
      </c>
      <c r="E793" s="6">
        <f t="shared" si="89"/>
        <v>-1793.6246899999992</v>
      </c>
      <c r="F793" s="6">
        <f t="shared" si="90"/>
        <v>-4.7250000000054193E-5</v>
      </c>
      <c r="G793" s="6">
        <f t="shared" si="86"/>
        <v>1437.6090985651797</v>
      </c>
      <c r="H793" s="7">
        <f t="shared" si="87"/>
        <v>2.7985273535309009E-11</v>
      </c>
      <c r="I793" s="8" t="str">
        <f t="shared" si="88"/>
        <v/>
      </c>
    </row>
    <row r="794" spans="1:9" x14ac:dyDescent="0.2">
      <c r="A794" s="5">
        <v>416</v>
      </c>
      <c r="B794" s="6">
        <v>3.0455800000000002</v>
      </c>
      <c r="C794" s="6">
        <f t="shared" si="84"/>
        <v>3.00258</v>
      </c>
      <c r="D794" s="6">
        <f t="shared" si="85"/>
        <v>1249.0732800000001</v>
      </c>
      <c r="E794" s="6">
        <f t="shared" si="89"/>
        <v>-1799.6297479999992</v>
      </c>
      <c r="F794" s="6">
        <f t="shared" si="90"/>
        <v>2.8625000000004341E-4</v>
      </c>
      <c r="G794" s="6">
        <f t="shared" si="86"/>
        <v>1437.5969020251609</v>
      </c>
      <c r="H794" s="7">
        <f t="shared" si="87"/>
        <v>-4.6193640392689945E-12</v>
      </c>
      <c r="I794" s="8" t="str">
        <f t="shared" si="88"/>
        <v/>
      </c>
    </row>
    <row r="795" spans="1:9" x14ac:dyDescent="0.2">
      <c r="A795" s="5">
        <v>414</v>
      </c>
      <c r="B795" s="6">
        <v>3.044333</v>
      </c>
      <c r="C795" s="6">
        <f t="shared" si="84"/>
        <v>3.0013329999999998</v>
      </c>
      <c r="D795" s="6">
        <f t="shared" si="85"/>
        <v>1242.551862</v>
      </c>
      <c r="E795" s="6">
        <f t="shared" si="89"/>
        <v>-1805.6336609999992</v>
      </c>
      <c r="F795" s="6">
        <f t="shared" si="90"/>
        <v>3.2625000000008342E-4</v>
      </c>
      <c r="G795" s="6">
        <f t="shared" si="86"/>
        <v>1437.7485047055861</v>
      </c>
      <c r="H795" s="7">
        <f t="shared" si="87"/>
        <v>-4.0534326420576839E-12</v>
      </c>
      <c r="I795" s="8" t="str">
        <f t="shared" si="88"/>
        <v/>
      </c>
    </row>
    <row r="796" spans="1:9" x14ac:dyDescent="0.2">
      <c r="A796" s="5">
        <v>412</v>
      </c>
      <c r="B796" s="6">
        <v>3.0442749999999998</v>
      </c>
      <c r="C796" s="6">
        <f t="shared" si="84"/>
        <v>3.0012749999999997</v>
      </c>
      <c r="D796" s="6">
        <f t="shared" si="85"/>
        <v>1236.5252999999998</v>
      </c>
      <c r="E796" s="6">
        <f t="shared" si="89"/>
        <v>-1811.6362689999992</v>
      </c>
      <c r="F796" s="6">
        <f t="shared" si="90"/>
        <v>-3.9149999999998908E-4</v>
      </c>
      <c r="G796" s="6">
        <f t="shared" si="86"/>
        <v>1437.7556719930476</v>
      </c>
      <c r="H796" s="7">
        <f t="shared" si="87"/>
        <v>3.3778773739449685E-12</v>
      </c>
      <c r="I796" s="8" t="str">
        <f t="shared" si="88"/>
        <v/>
      </c>
    </row>
    <row r="797" spans="1:9" x14ac:dyDescent="0.2">
      <c r="A797" s="5">
        <v>410</v>
      </c>
      <c r="B797" s="6">
        <v>3.0458989999999999</v>
      </c>
      <c r="C797" s="6">
        <f t="shared" si="84"/>
        <v>3.0028989999999998</v>
      </c>
      <c r="D797" s="6">
        <f t="shared" si="85"/>
        <v>1231.18859</v>
      </c>
      <c r="E797" s="6">
        <f t="shared" si="89"/>
        <v>-1817.6404429999991</v>
      </c>
      <c r="F797" s="6">
        <f t="shared" si="90"/>
        <v>-4.5650000000008184E-4</v>
      </c>
      <c r="G797" s="6">
        <f t="shared" si="86"/>
        <v>1437.5517399441219</v>
      </c>
      <c r="H797" s="7">
        <f t="shared" si="87"/>
        <v>2.8964981740001634E-12</v>
      </c>
      <c r="I797" s="8" t="str">
        <f t="shared" si="88"/>
        <v/>
      </c>
    </row>
    <row r="798" spans="1:9" x14ac:dyDescent="0.2">
      <c r="A798" s="5">
        <v>408</v>
      </c>
      <c r="B798" s="6">
        <v>3.0461010000000002</v>
      </c>
      <c r="C798" s="6">
        <f t="shared" si="84"/>
        <v>3.003101</v>
      </c>
      <c r="D798" s="6">
        <f t="shared" si="85"/>
        <v>1225.265208</v>
      </c>
      <c r="E798" s="6">
        <f t="shared" si="89"/>
        <v>-1823.6464429999992</v>
      </c>
      <c r="F798" s="6">
        <f t="shared" si="90"/>
        <v>-4.0200000000001346E-4</v>
      </c>
      <c r="G798" s="6">
        <f t="shared" si="86"/>
        <v>1437.5259700119282</v>
      </c>
      <c r="H798" s="7">
        <f t="shared" si="87"/>
        <v>3.2891236651819087E-12</v>
      </c>
      <c r="I798" s="8" t="str">
        <f t="shared" si="88"/>
        <v/>
      </c>
    </row>
    <row r="799" spans="1:9" x14ac:dyDescent="0.2">
      <c r="A799" s="5">
        <v>406</v>
      </c>
      <c r="B799" s="6">
        <v>3.047507</v>
      </c>
      <c r="C799" s="6">
        <f t="shared" si="84"/>
        <v>3.0045069999999998</v>
      </c>
      <c r="D799" s="6">
        <f t="shared" si="85"/>
        <v>1219.8298419999999</v>
      </c>
      <c r="E799" s="6">
        <f t="shared" si="89"/>
        <v>-1829.6540509999991</v>
      </c>
      <c r="F799" s="6">
        <f t="shared" si="90"/>
        <v>-3.87749999999909E-4</v>
      </c>
      <c r="G799" s="6">
        <f t="shared" si="86"/>
        <v>1437.3437890779444</v>
      </c>
      <c r="H799" s="7">
        <f t="shared" si="87"/>
        <v>3.409568393242181E-12</v>
      </c>
      <c r="I799" s="8" t="str">
        <f t="shared" si="88"/>
        <v/>
      </c>
    </row>
    <row r="800" spans="1:9" x14ac:dyDescent="0.2">
      <c r="A800" s="5">
        <v>404</v>
      </c>
      <c r="B800" s="6">
        <v>3.0476519999999998</v>
      </c>
      <c r="C800" s="6">
        <f t="shared" si="84"/>
        <v>3.0046519999999997</v>
      </c>
      <c r="D800" s="6">
        <f t="shared" si="85"/>
        <v>1213.8794079999998</v>
      </c>
      <c r="E800" s="6">
        <f t="shared" si="89"/>
        <v>-1835.663209999999</v>
      </c>
      <c r="F800" s="6">
        <f t="shared" si="90"/>
        <v>-1.594999999999791E-4</v>
      </c>
      <c r="G800" s="6">
        <f t="shared" si="86"/>
        <v>1437.3247108592902</v>
      </c>
      <c r="H800" s="7">
        <f t="shared" si="87"/>
        <v>8.2886683162953949E-12</v>
      </c>
      <c r="I800" s="8" t="str">
        <f t="shared" si="88"/>
        <v/>
      </c>
    </row>
    <row r="801" spans="1:9" x14ac:dyDescent="0.2">
      <c r="A801" s="5">
        <v>402</v>
      </c>
      <c r="B801" s="6">
        <v>3.0481449999999999</v>
      </c>
      <c r="C801" s="6">
        <f t="shared" si="84"/>
        <v>3.0051449999999997</v>
      </c>
      <c r="D801" s="6">
        <f t="shared" si="85"/>
        <v>1208.0682899999999</v>
      </c>
      <c r="E801" s="6">
        <f t="shared" si="89"/>
        <v>-1841.673006999999</v>
      </c>
      <c r="F801" s="6">
        <f t="shared" si="90"/>
        <v>1.087499999999908E-4</v>
      </c>
      <c r="G801" s="6">
        <f t="shared" si="86"/>
        <v>1437.2588589158663</v>
      </c>
      <c r="H801" s="7">
        <f t="shared" si="87"/>
        <v>-1.2156156563023756E-11</v>
      </c>
      <c r="I801" s="8" t="str">
        <f t="shared" si="88"/>
        <v/>
      </c>
    </row>
    <row r="802" spans="1:9" x14ac:dyDescent="0.2">
      <c r="A802" s="5">
        <v>400</v>
      </c>
      <c r="B802" s="6">
        <v>3.0472169999999998</v>
      </c>
      <c r="C802" s="6">
        <f t="shared" si="84"/>
        <v>3.0042169999999997</v>
      </c>
      <c r="D802" s="6">
        <f t="shared" si="85"/>
        <v>1201.6867999999999</v>
      </c>
      <c r="E802" s="6">
        <f t="shared" si="89"/>
        <v>-1847.682368999999</v>
      </c>
      <c r="F802" s="6">
        <f t="shared" si="90"/>
        <v>4.6374999999998501E-4</v>
      </c>
      <c r="G802" s="6">
        <f t="shared" si="86"/>
        <v>1437.3846715152524</v>
      </c>
      <c r="H802" s="7">
        <f t="shared" si="87"/>
        <v>-2.8508846315871606E-12</v>
      </c>
      <c r="I802" s="8" t="str">
        <f t="shared" si="88"/>
        <v/>
      </c>
    </row>
    <row r="803" spans="1:9" x14ac:dyDescent="0.2">
      <c r="A803" s="5">
        <v>398</v>
      </c>
      <c r="B803" s="6">
        <v>3.0462899999999999</v>
      </c>
      <c r="C803" s="6">
        <f t="shared" si="84"/>
        <v>3.0032899999999998</v>
      </c>
      <c r="D803" s="6">
        <f t="shared" si="85"/>
        <v>1195.3094199999998</v>
      </c>
      <c r="E803" s="6">
        <f t="shared" si="89"/>
        <v>-1853.689875999999</v>
      </c>
      <c r="F803" s="6">
        <f t="shared" si="90"/>
        <v>-1.9225000000000492E-4</v>
      </c>
      <c r="G803" s="6">
        <f t="shared" si="86"/>
        <v>1437.5122025407168</v>
      </c>
      <c r="H803" s="7">
        <f t="shared" si="87"/>
        <v>6.8775815353247767E-12</v>
      </c>
      <c r="I803" s="8" t="str">
        <f t="shared" si="88"/>
        <v/>
      </c>
    </row>
    <row r="804" spans="1:9" x14ac:dyDescent="0.2">
      <c r="A804" s="5">
        <v>396</v>
      </c>
      <c r="B804" s="6">
        <v>3.0479859999999999</v>
      </c>
      <c r="C804" s="6">
        <f t="shared" si="84"/>
        <v>3.0049859999999997</v>
      </c>
      <c r="D804" s="6">
        <f t="shared" si="85"/>
        <v>1189.9744559999999</v>
      </c>
      <c r="E804" s="6">
        <f t="shared" si="89"/>
        <v>-1859.698151999999</v>
      </c>
      <c r="F804" s="6">
        <f t="shared" si="90"/>
        <v>6.8999999999985739E-5</v>
      </c>
      <c r="G804" s="6">
        <f t="shared" si="86"/>
        <v>1437.2754851694249</v>
      </c>
      <c r="H804" s="7">
        <f t="shared" si="87"/>
        <v>-1.915938143415504E-11</v>
      </c>
      <c r="I804" s="8" t="str">
        <f t="shared" si="88"/>
        <v/>
      </c>
    </row>
    <row r="805" spans="1:9" x14ac:dyDescent="0.2">
      <c r="A805" s="5">
        <v>394</v>
      </c>
      <c r="B805" s="6">
        <v>3.046014</v>
      </c>
      <c r="C805" s="6">
        <f t="shared" si="84"/>
        <v>3.0030139999999999</v>
      </c>
      <c r="D805" s="6">
        <f t="shared" si="85"/>
        <v>1183.187516</v>
      </c>
      <c r="E805" s="6">
        <f t="shared" si="89"/>
        <v>-1865.7061519999991</v>
      </c>
      <c r="F805" s="6">
        <f t="shared" si="90"/>
        <v>4.1674999999996576E-4</v>
      </c>
      <c r="G805" s="6">
        <f t="shared" si="86"/>
        <v>1437.5546689431205</v>
      </c>
      <c r="H805" s="7">
        <f t="shared" si="87"/>
        <v>-3.1727753101548313E-12</v>
      </c>
      <c r="I805" s="8" t="str">
        <f t="shared" si="88"/>
        <v/>
      </c>
    </row>
    <row r="806" spans="1:9" x14ac:dyDescent="0.2">
      <c r="A806" s="5">
        <v>392</v>
      </c>
      <c r="B806" s="6">
        <v>3.046319</v>
      </c>
      <c r="C806" s="6">
        <f t="shared" si="84"/>
        <v>3.0033189999999998</v>
      </c>
      <c r="D806" s="6">
        <f t="shared" si="85"/>
        <v>1177.301048</v>
      </c>
      <c r="E806" s="6">
        <f t="shared" si="89"/>
        <v>-1871.7124849999991</v>
      </c>
      <c r="F806" s="6">
        <f t="shared" si="90"/>
        <v>6.4999999999981739E-5</v>
      </c>
      <c r="G806" s="6">
        <f t="shared" si="86"/>
        <v>1437.510878896986</v>
      </c>
      <c r="H806" s="7">
        <f t="shared" si="87"/>
        <v>-2.0341751272108876E-11</v>
      </c>
      <c r="I806" s="8" t="str">
        <f t="shared" si="88"/>
        <v/>
      </c>
    </row>
    <row r="807" spans="1:9" x14ac:dyDescent="0.2">
      <c r="A807" s="5">
        <v>390</v>
      </c>
      <c r="B807" s="6">
        <v>3.0457540000000001</v>
      </c>
      <c r="C807" s="6">
        <f t="shared" si="84"/>
        <v>3.0027539999999999</v>
      </c>
      <c r="D807" s="6">
        <f t="shared" si="85"/>
        <v>1171.0740599999999</v>
      </c>
      <c r="E807" s="6">
        <f t="shared" si="89"/>
        <v>-1877.7185579999991</v>
      </c>
      <c r="F807" s="6">
        <f t="shared" si="90"/>
        <v>3.1899999999995821E-4</v>
      </c>
      <c r="G807" s="6">
        <f t="shared" si="86"/>
        <v>1437.5931281627761</v>
      </c>
      <c r="H807" s="7">
        <f t="shared" si="87"/>
        <v>-4.1451081036528918E-12</v>
      </c>
      <c r="I807" s="8" t="str">
        <f t="shared" si="88"/>
        <v/>
      </c>
    </row>
    <row r="808" spans="1:9" x14ac:dyDescent="0.2">
      <c r="A808" s="5">
        <v>388</v>
      </c>
      <c r="B808" s="6">
        <v>3.0450430000000002</v>
      </c>
      <c r="C808" s="6">
        <f t="shared" si="84"/>
        <v>3.002043</v>
      </c>
      <c r="D808" s="6">
        <f t="shared" si="85"/>
        <v>1164.792684</v>
      </c>
      <c r="E808" s="6">
        <f t="shared" si="89"/>
        <v>-1883.7233549999992</v>
      </c>
      <c r="F808" s="6">
        <f t="shared" si="90"/>
        <v>5.217499999999875E-4</v>
      </c>
      <c r="G808" s="6">
        <f t="shared" si="86"/>
        <v>1437.6980532211419</v>
      </c>
      <c r="H808" s="7">
        <f t="shared" si="87"/>
        <v>-2.5345203536190018E-12</v>
      </c>
      <c r="I808" s="8" t="str">
        <f t="shared" si="88"/>
        <v/>
      </c>
    </row>
    <row r="809" spans="1:9" x14ac:dyDescent="0.2">
      <c r="A809" s="5">
        <v>386</v>
      </c>
      <c r="B809" s="6">
        <v>3.0436670000000001</v>
      </c>
      <c r="C809" s="6">
        <f t="shared" si="84"/>
        <v>3.000667</v>
      </c>
      <c r="D809" s="6">
        <f t="shared" si="85"/>
        <v>1158.257462</v>
      </c>
      <c r="E809" s="6">
        <f t="shared" si="89"/>
        <v>-1889.7260649999992</v>
      </c>
      <c r="F809" s="6">
        <f t="shared" si="90"/>
        <v>4.709999999999992E-4</v>
      </c>
      <c r="G809" s="6">
        <f t="shared" si="86"/>
        <v>1437.9038669374731</v>
      </c>
      <c r="H809" s="7">
        <f t="shared" si="87"/>
        <v>-2.8080155004567247E-12</v>
      </c>
      <c r="I809" s="8" t="str">
        <f t="shared" si="88"/>
        <v/>
      </c>
    </row>
    <row r="810" spans="1:9" x14ac:dyDescent="0.2">
      <c r="A810" s="5">
        <v>384</v>
      </c>
      <c r="B810" s="6">
        <v>3.0431590000000002</v>
      </c>
      <c r="C810" s="6">
        <f t="shared" si="84"/>
        <v>3.000159</v>
      </c>
      <c r="D810" s="6">
        <f t="shared" si="85"/>
        <v>1152.061056</v>
      </c>
      <c r="E810" s="6">
        <f t="shared" si="89"/>
        <v>-1895.7268909999991</v>
      </c>
      <c r="F810" s="6">
        <f t="shared" si="90"/>
        <v>7.2500000000030873E-5</v>
      </c>
      <c r="G810" s="6">
        <f t="shared" si="86"/>
        <v>1437.9808664897232</v>
      </c>
      <c r="H810" s="7">
        <f t="shared" si="87"/>
        <v>-1.824339481983597E-11</v>
      </c>
      <c r="I810" s="8" t="str">
        <f t="shared" si="88"/>
        <v/>
      </c>
    </row>
    <row r="811" spans="1:9" x14ac:dyDescent="0.2">
      <c r="A811" s="5">
        <v>382</v>
      </c>
      <c r="B811" s="6">
        <v>3.043377</v>
      </c>
      <c r="C811" s="6">
        <f t="shared" si="84"/>
        <v>3.0003769999999998</v>
      </c>
      <c r="D811" s="6">
        <f t="shared" si="85"/>
        <v>1146.144014</v>
      </c>
      <c r="E811" s="6">
        <f t="shared" si="89"/>
        <v>-1901.7274269999991</v>
      </c>
      <c r="F811" s="6">
        <f t="shared" si="90"/>
        <v>-3.9499999999992319E-4</v>
      </c>
      <c r="G811" s="6">
        <f t="shared" si="86"/>
        <v>1437.9473873747811</v>
      </c>
      <c r="H811" s="7">
        <f t="shared" si="87"/>
        <v>3.3483932419012971E-12</v>
      </c>
      <c r="I811" s="8" t="str">
        <f t="shared" si="88"/>
        <v/>
      </c>
    </row>
    <row r="812" spans="1:9" x14ac:dyDescent="0.2">
      <c r="A812" s="5">
        <v>380</v>
      </c>
      <c r="B812" s="6">
        <v>3.0447389999999999</v>
      </c>
      <c r="C812" s="6">
        <f t="shared" si="84"/>
        <v>3.0017389999999997</v>
      </c>
      <c r="D812" s="6">
        <f t="shared" si="85"/>
        <v>1140.6608199999998</v>
      </c>
      <c r="E812" s="6">
        <f t="shared" si="89"/>
        <v>-1907.729542999999</v>
      </c>
      <c r="F812" s="6">
        <f t="shared" si="90"/>
        <v>-2.1375000000001254E-4</v>
      </c>
      <c r="G812" s="6">
        <f t="shared" si="86"/>
        <v>1437.7354956933546</v>
      </c>
      <c r="H812" s="7">
        <f t="shared" si="87"/>
        <v>6.1867622636754332E-12</v>
      </c>
      <c r="I812" s="8" t="str">
        <f t="shared" si="88"/>
        <v/>
      </c>
    </row>
    <row r="813" spans="1:9" x14ac:dyDescent="0.2">
      <c r="A813" s="5">
        <v>378</v>
      </c>
      <c r="B813" s="6">
        <v>3.044232</v>
      </c>
      <c r="C813" s="6">
        <f t="shared" si="84"/>
        <v>3.0012319999999999</v>
      </c>
      <c r="D813" s="6">
        <f t="shared" si="85"/>
        <v>1134.465696</v>
      </c>
      <c r="E813" s="6">
        <f t="shared" si="89"/>
        <v>-1913.7325139999989</v>
      </c>
      <c r="F813" s="6">
        <f t="shared" si="90"/>
        <v>1.3049999999992234E-4</v>
      </c>
      <c r="G813" s="6">
        <f t="shared" si="86"/>
        <v>1437.8153856716826</v>
      </c>
      <c r="H813" s="7">
        <f t="shared" si="87"/>
        <v>-1.0134052997559468E-11</v>
      </c>
      <c r="I813" s="8" t="str">
        <f t="shared" si="88"/>
        <v/>
      </c>
    </row>
    <row r="814" spans="1:9" x14ac:dyDescent="0.2">
      <c r="A814" s="5">
        <v>376</v>
      </c>
      <c r="B814" s="6">
        <v>3.0442170000000002</v>
      </c>
      <c r="C814" s="6">
        <f t="shared" si="84"/>
        <v>3.001217</v>
      </c>
      <c r="D814" s="6">
        <f t="shared" si="85"/>
        <v>1128.457592</v>
      </c>
      <c r="E814" s="6">
        <f t="shared" si="89"/>
        <v>-1919.734962999999</v>
      </c>
      <c r="F814" s="6">
        <f t="shared" si="90"/>
        <v>-1.194999999999391E-4</v>
      </c>
      <c r="G814" s="6">
        <f t="shared" si="86"/>
        <v>1437.8177792805091</v>
      </c>
      <c r="H814" s="7">
        <f t="shared" si="87"/>
        <v>1.1066913119735176E-11</v>
      </c>
      <c r="I814" s="8" t="str">
        <f t="shared" si="88"/>
        <v/>
      </c>
    </row>
    <row r="815" spans="1:9" x14ac:dyDescent="0.2">
      <c r="A815" s="5">
        <v>374</v>
      </c>
      <c r="B815" s="6">
        <v>3.0447099999999998</v>
      </c>
      <c r="C815" s="6">
        <f t="shared" si="84"/>
        <v>3.0017099999999997</v>
      </c>
      <c r="D815" s="6">
        <f t="shared" si="85"/>
        <v>1122.6395399999999</v>
      </c>
      <c r="E815" s="6">
        <f t="shared" si="89"/>
        <v>-1925.737889999999</v>
      </c>
      <c r="F815" s="6">
        <f t="shared" si="90"/>
        <v>7.2249999999995929E-5</v>
      </c>
      <c r="G815" s="6">
        <f t="shared" si="86"/>
        <v>1437.7381233370852</v>
      </c>
      <c r="H815" s="7">
        <f t="shared" si="87"/>
        <v>-1.83034304602301E-11</v>
      </c>
      <c r="I815" s="8" t="str">
        <f t="shared" si="88"/>
        <v/>
      </c>
    </row>
    <row r="816" spans="1:9" x14ac:dyDescent="0.2">
      <c r="A816" s="5">
        <v>372</v>
      </c>
      <c r="B816" s="6">
        <v>3.0439280000000002</v>
      </c>
      <c r="C816" s="6">
        <f t="shared" si="84"/>
        <v>3.000928</v>
      </c>
      <c r="D816" s="6">
        <f t="shared" si="85"/>
        <v>1116.3452159999999</v>
      </c>
      <c r="E816" s="6">
        <f t="shared" si="89"/>
        <v>-1931.7405279999989</v>
      </c>
      <c r="F816" s="6">
        <f t="shared" si="90"/>
        <v>3.5149999999994908E-4</v>
      </c>
      <c r="G816" s="6">
        <f t="shared" si="86"/>
        <v>1437.8660381438954</v>
      </c>
      <c r="H816" s="7">
        <f t="shared" si="87"/>
        <v>-3.7625618947915417E-12</v>
      </c>
      <c r="I816" s="8" t="str">
        <f t="shared" si="88"/>
        <v/>
      </c>
    </row>
    <row r="817" spans="1:9" x14ac:dyDescent="0.2">
      <c r="A817" s="5">
        <v>370</v>
      </c>
      <c r="B817" s="6">
        <v>3.043304</v>
      </c>
      <c r="C817" s="6">
        <f t="shared" si="84"/>
        <v>3.0003039999999999</v>
      </c>
      <c r="D817" s="6">
        <f t="shared" si="85"/>
        <v>1110.11248</v>
      </c>
      <c r="E817" s="6">
        <f t="shared" si="89"/>
        <v>-1937.741759999999</v>
      </c>
      <c r="F817" s="6">
        <f t="shared" si="90"/>
        <v>7.9750000000045063E-5</v>
      </c>
      <c r="G817" s="6">
        <f t="shared" si="86"/>
        <v>1437.969356271069</v>
      </c>
      <c r="H817" s="7">
        <f t="shared" si="87"/>
        <v>-1.6584771628943655E-11</v>
      </c>
      <c r="I817" s="8" t="str">
        <f t="shared" si="88"/>
        <v/>
      </c>
    </row>
    <row r="818" spans="1:9" x14ac:dyDescent="0.2">
      <c r="A818" s="5">
        <v>368</v>
      </c>
      <c r="B818" s="6">
        <v>3.043609</v>
      </c>
      <c r="C818" s="6">
        <f t="shared" si="84"/>
        <v>3.0006089999999999</v>
      </c>
      <c r="D818" s="6">
        <f t="shared" si="85"/>
        <v>1104.2241119999999</v>
      </c>
      <c r="E818" s="6">
        <f t="shared" si="89"/>
        <v>-1943.7426729999991</v>
      </c>
      <c r="F818" s="6">
        <f t="shared" si="90"/>
        <v>-2.2100000000002673E-4</v>
      </c>
      <c r="G818" s="6">
        <f t="shared" si="86"/>
        <v>1437.9182462249346</v>
      </c>
      <c r="H818" s="7">
        <f t="shared" si="87"/>
        <v>5.9845634692162886E-12</v>
      </c>
      <c r="I818" s="8" t="str">
        <f t="shared" si="88"/>
        <v/>
      </c>
    </row>
    <row r="819" spans="1:9" x14ac:dyDescent="0.2">
      <c r="A819" s="5">
        <v>366</v>
      </c>
      <c r="B819" s="6">
        <v>3.0441880000000001</v>
      </c>
      <c r="C819" s="6">
        <f t="shared" si="84"/>
        <v>3.001188</v>
      </c>
      <c r="D819" s="6">
        <f t="shared" si="85"/>
        <v>1098.434808</v>
      </c>
      <c r="E819" s="6">
        <f t="shared" si="89"/>
        <v>-1949.744469999999</v>
      </c>
      <c r="F819" s="6">
        <f t="shared" si="90"/>
        <v>-5.5075000000004426E-4</v>
      </c>
      <c r="G819" s="6">
        <f t="shared" si="86"/>
        <v>1437.8200629242399</v>
      </c>
      <c r="H819" s="7">
        <f t="shared" si="87"/>
        <v>2.4012677590364007E-12</v>
      </c>
      <c r="I819" s="8" t="str">
        <f t="shared" si="88"/>
        <v/>
      </c>
    </row>
    <row r="820" spans="1:9" x14ac:dyDescent="0.2">
      <c r="A820" s="5">
        <v>364</v>
      </c>
      <c r="B820" s="6">
        <v>3.0458120000000002</v>
      </c>
      <c r="C820" s="6">
        <f t="shared" si="84"/>
        <v>3.002812</v>
      </c>
      <c r="D820" s="6">
        <f t="shared" si="85"/>
        <v>1093.0235680000001</v>
      </c>
      <c r="E820" s="6">
        <f t="shared" si="89"/>
        <v>-1955.7484699999989</v>
      </c>
      <c r="F820" s="6">
        <f t="shared" si="90"/>
        <v>-3.6249999999993232E-4</v>
      </c>
      <c r="G820" s="6">
        <f t="shared" si="86"/>
        <v>1437.5414268753143</v>
      </c>
      <c r="H820" s="7">
        <f t="shared" si="87"/>
        <v>3.647563946298198E-12</v>
      </c>
      <c r="I820" s="8" t="str">
        <f t="shared" si="88"/>
        <v/>
      </c>
    </row>
    <row r="821" spans="1:9" x14ac:dyDescent="0.2">
      <c r="A821" s="5">
        <v>362</v>
      </c>
      <c r="B821" s="6">
        <v>3.0456379999999998</v>
      </c>
      <c r="C821" s="6">
        <f t="shared" si="84"/>
        <v>3.0026379999999997</v>
      </c>
      <c r="D821" s="6">
        <f t="shared" si="85"/>
        <v>1086.9549559999998</v>
      </c>
      <c r="E821" s="6">
        <f t="shared" si="89"/>
        <v>-1961.753919999999</v>
      </c>
      <c r="F821" s="6">
        <f t="shared" si="90"/>
        <v>1.1000000000094268E-5</v>
      </c>
      <c r="G821" s="6">
        <f t="shared" si="86"/>
        <v>1437.5716287376993</v>
      </c>
      <c r="H821" s="7">
        <f t="shared" si="87"/>
        <v>-1.2020633727384604E-10</v>
      </c>
      <c r="I821" s="8" t="str">
        <f t="shared" si="88"/>
        <v/>
      </c>
    </row>
    <row r="822" spans="1:9" x14ac:dyDescent="0.2">
      <c r="A822" s="5">
        <v>360</v>
      </c>
      <c r="B822" s="6">
        <v>3.0457679999999998</v>
      </c>
      <c r="C822" s="6">
        <f t="shared" si="84"/>
        <v>3.0027679999999997</v>
      </c>
      <c r="D822" s="6">
        <f t="shared" si="85"/>
        <v>1080.9964799999998</v>
      </c>
      <c r="E822" s="6">
        <f t="shared" si="89"/>
        <v>-1967.759325999999</v>
      </c>
      <c r="F822" s="6">
        <f t="shared" si="90"/>
        <v>-4.1650000000004184E-4</v>
      </c>
      <c r="G822" s="6">
        <f t="shared" si="86"/>
        <v>1437.5488041278713</v>
      </c>
      <c r="H822" s="7">
        <f t="shared" si="87"/>
        <v>3.174666785318381E-12</v>
      </c>
      <c r="I822" s="8" t="str">
        <f t="shared" si="88"/>
        <v/>
      </c>
    </row>
    <row r="823" spans="1:9" x14ac:dyDescent="0.2">
      <c r="A823" s="5">
        <v>358</v>
      </c>
      <c r="B823" s="6">
        <v>3.047304</v>
      </c>
      <c r="C823" s="6">
        <f t="shared" si="84"/>
        <v>3.0043039999999999</v>
      </c>
      <c r="D823" s="6">
        <f t="shared" si="85"/>
        <v>1075.5408319999999</v>
      </c>
      <c r="E823" s="6">
        <f t="shared" si="89"/>
        <v>-1973.7663979999991</v>
      </c>
      <c r="F823" s="6">
        <f t="shared" si="90"/>
        <v>7.5999999999964984E-5</v>
      </c>
      <c r="G823" s="6">
        <f t="shared" si="86"/>
        <v>1437.2760505840602</v>
      </c>
      <c r="H823" s="7">
        <f t="shared" si="87"/>
        <v>-1.7394708408184256E-11</v>
      </c>
      <c r="I823" s="8" t="str">
        <f t="shared" si="88"/>
        <v/>
      </c>
    </row>
    <row r="824" spans="1:9" x14ac:dyDescent="0.2">
      <c r="A824" s="5">
        <v>356</v>
      </c>
      <c r="B824" s="6">
        <v>3.0454639999999999</v>
      </c>
      <c r="C824" s="6">
        <f t="shared" si="84"/>
        <v>3.0024639999999998</v>
      </c>
      <c r="D824" s="6">
        <f t="shared" si="85"/>
        <v>1068.8771839999999</v>
      </c>
      <c r="E824" s="6">
        <f t="shared" si="89"/>
        <v>-1979.773165999999</v>
      </c>
      <c r="F824" s="6">
        <f t="shared" si="90"/>
        <v>-9.8000000000042498E-5</v>
      </c>
      <c r="G824" s="6">
        <f t="shared" si="86"/>
        <v>1437.6064666000843</v>
      </c>
      <c r="H824" s="7">
        <f t="shared" si="87"/>
        <v>1.349287503753755E-11</v>
      </c>
      <c r="I824" s="8" t="str">
        <f t="shared" si="88"/>
        <v/>
      </c>
    </row>
    <row r="825" spans="1:9" x14ac:dyDescent="0.2">
      <c r="A825" s="5">
        <v>354</v>
      </c>
      <c r="B825" s="6">
        <v>3.0476960000000002</v>
      </c>
      <c r="C825" s="6">
        <f t="shared" si="84"/>
        <v>3.004696</v>
      </c>
      <c r="D825" s="6">
        <f t="shared" si="85"/>
        <v>1063.662384</v>
      </c>
      <c r="E825" s="6">
        <f t="shared" si="89"/>
        <v>-1985.7803259999991</v>
      </c>
      <c r="F825" s="6">
        <f t="shared" si="90"/>
        <v>-8.8750000000004103E-4</v>
      </c>
      <c r="G825" s="6">
        <f t="shared" si="86"/>
        <v>1437.2011936067333</v>
      </c>
      <c r="H825" s="7">
        <f t="shared" si="87"/>
        <v>1.4894974490425508E-12</v>
      </c>
      <c r="I825" s="8" t="str">
        <f t="shared" si="88"/>
        <v/>
      </c>
    </row>
    <row r="826" spans="1:9" x14ac:dyDescent="0.2">
      <c r="A826" s="5">
        <v>352</v>
      </c>
      <c r="B826" s="6">
        <v>3.0490140000000001</v>
      </c>
      <c r="C826" s="6">
        <f t="shared" si="84"/>
        <v>3.006014</v>
      </c>
      <c r="D826" s="6">
        <f t="shared" si="85"/>
        <v>1058.1169279999999</v>
      </c>
      <c r="E826" s="6">
        <f t="shared" si="89"/>
        <v>-1991.7910359999992</v>
      </c>
      <c r="F826" s="6">
        <f t="shared" si="90"/>
        <v>-3.2250000000000334E-4</v>
      </c>
      <c r="G826" s="6">
        <f t="shared" si="86"/>
        <v>1436.9592431778638</v>
      </c>
      <c r="H826" s="7">
        <f t="shared" si="87"/>
        <v>4.0983145472270672E-12</v>
      </c>
      <c r="I826" s="8" t="str">
        <f t="shared" si="88"/>
        <v/>
      </c>
    </row>
    <row r="827" spans="1:9" x14ac:dyDescent="0.2">
      <c r="A827" s="5">
        <v>350</v>
      </c>
      <c r="B827" s="6">
        <v>3.0489860000000002</v>
      </c>
      <c r="C827" s="6">
        <f t="shared" si="84"/>
        <v>3.005986</v>
      </c>
      <c r="D827" s="6">
        <f t="shared" si="85"/>
        <v>1052.0951</v>
      </c>
      <c r="E827" s="6">
        <f t="shared" si="89"/>
        <v>-1997.8030359999991</v>
      </c>
      <c r="F827" s="6">
        <f t="shared" si="90"/>
        <v>-5.449999999995736E-5</v>
      </c>
      <c r="G827" s="6">
        <f t="shared" si="86"/>
        <v>1436.9644392476728</v>
      </c>
      <c r="H827" s="7">
        <f t="shared" si="87"/>
        <v>2.4251582032943766E-11</v>
      </c>
      <c r="I827" s="8" t="str">
        <f t="shared" si="88"/>
        <v/>
      </c>
    </row>
    <row r="828" spans="1:9" x14ac:dyDescent="0.2">
      <c r="A828" s="5">
        <v>348</v>
      </c>
      <c r="B828" s="6">
        <v>3.0492319999999999</v>
      </c>
      <c r="C828" s="6">
        <f t="shared" si="84"/>
        <v>3.0062319999999998</v>
      </c>
      <c r="D828" s="6">
        <f t="shared" si="85"/>
        <v>1046.1687359999999</v>
      </c>
      <c r="E828" s="6">
        <f t="shared" si="89"/>
        <v>-2003.8152539999992</v>
      </c>
      <c r="F828" s="6">
        <f t="shared" si="90"/>
        <v>-3.4399999999989994E-4</v>
      </c>
      <c r="G828" s="6">
        <f t="shared" si="86"/>
        <v>1436.9182960629219</v>
      </c>
      <c r="H828" s="7">
        <f t="shared" si="87"/>
        <v>3.8420604028252113E-12</v>
      </c>
      <c r="I828" s="8" t="str">
        <f t="shared" si="88"/>
        <v/>
      </c>
    </row>
    <row r="829" spans="1:9" x14ac:dyDescent="0.2">
      <c r="A829" s="5">
        <v>346</v>
      </c>
      <c r="B829" s="6">
        <v>3.0503619999999998</v>
      </c>
      <c r="C829" s="6">
        <f t="shared" si="84"/>
        <v>3.0073619999999996</v>
      </c>
      <c r="D829" s="6">
        <f t="shared" si="85"/>
        <v>1040.5472519999998</v>
      </c>
      <c r="E829" s="6">
        <f t="shared" si="89"/>
        <v>-2009.8288479999992</v>
      </c>
      <c r="F829" s="6">
        <f t="shared" si="90"/>
        <v>1.8249999999997435E-5</v>
      </c>
      <c r="G829" s="6">
        <f t="shared" si="86"/>
        <v>1436.7040775313419</v>
      </c>
      <c r="H829" s="7">
        <f t="shared" si="87"/>
        <v>-7.2409410501856908E-11</v>
      </c>
      <c r="I829" s="8" t="str">
        <f t="shared" si="88"/>
        <v/>
      </c>
    </row>
    <row r="830" spans="1:9" x14ac:dyDescent="0.2">
      <c r="A830" s="5">
        <v>344</v>
      </c>
      <c r="B830" s="6">
        <v>3.049159</v>
      </c>
      <c r="C830" s="6">
        <f t="shared" si="84"/>
        <v>3.0061589999999998</v>
      </c>
      <c r="D830" s="6">
        <f t="shared" si="85"/>
        <v>1034.118696</v>
      </c>
      <c r="E830" s="6">
        <f t="shared" si="89"/>
        <v>-2015.8423689999993</v>
      </c>
      <c r="F830" s="6">
        <f t="shared" si="90"/>
        <v>9.7749999999896531E-5</v>
      </c>
      <c r="G830" s="6">
        <f t="shared" si="86"/>
        <v>1436.9345409592099</v>
      </c>
      <c r="H830" s="7">
        <f t="shared" si="87"/>
        <v>-1.3521061079595639E-11</v>
      </c>
      <c r="I830" s="8" t="str">
        <f t="shared" si="88"/>
        <v/>
      </c>
    </row>
    <row r="831" spans="1:9" x14ac:dyDescent="0.2">
      <c r="A831" s="5">
        <v>342</v>
      </c>
      <c r="B831" s="6">
        <v>3.0499710000000002</v>
      </c>
      <c r="C831" s="6">
        <f t="shared" si="84"/>
        <v>3.0069710000000001</v>
      </c>
      <c r="D831" s="6">
        <f t="shared" si="85"/>
        <v>1028.384082</v>
      </c>
      <c r="E831" s="6">
        <f t="shared" si="89"/>
        <v>-2021.8554989999993</v>
      </c>
      <c r="F831" s="6">
        <f t="shared" si="90"/>
        <v>3.8024999999997089E-4</v>
      </c>
      <c r="G831" s="6">
        <f t="shared" si="86"/>
        <v>1436.7773589347471</v>
      </c>
      <c r="H831" s="7">
        <f t="shared" si="87"/>
        <v>-3.4754481142708412E-12</v>
      </c>
      <c r="I831" s="8" t="str">
        <f t="shared" si="88"/>
        <v/>
      </c>
    </row>
    <row r="832" spans="1:9" x14ac:dyDescent="0.2">
      <c r="A832" s="5">
        <v>340</v>
      </c>
      <c r="B832" s="6">
        <v>3.0476380000000001</v>
      </c>
      <c r="C832" s="6">
        <f t="shared" si="84"/>
        <v>3.0046379999999999</v>
      </c>
      <c r="D832" s="6">
        <f t="shared" si="85"/>
        <v>1021.57692</v>
      </c>
      <c r="E832" s="6">
        <f t="shared" si="89"/>
        <v>-2027.8671079999992</v>
      </c>
      <c r="F832" s="6">
        <f t="shared" si="90"/>
        <v>9.6750000000001002E-4</v>
      </c>
      <c r="G832" s="6">
        <f t="shared" si="86"/>
        <v>1437.2336328941951</v>
      </c>
      <c r="H832" s="7">
        <f t="shared" si="87"/>
        <v>-1.3663657090296483E-12</v>
      </c>
      <c r="I832" s="8" t="str">
        <f t="shared" si="88"/>
        <v/>
      </c>
    </row>
    <row r="833" spans="1:9" x14ac:dyDescent="0.2">
      <c r="A833" s="5">
        <v>338</v>
      </c>
      <c r="B833" s="6">
        <v>3.0461010000000002</v>
      </c>
      <c r="C833" s="6">
        <f t="shared" si="84"/>
        <v>3.003101</v>
      </c>
      <c r="D833" s="6">
        <f t="shared" si="85"/>
        <v>1015.048138</v>
      </c>
      <c r="E833" s="6">
        <f t="shared" si="89"/>
        <v>-2033.8748469999991</v>
      </c>
      <c r="F833" s="6">
        <f t="shared" si="90"/>
        <v>7.2500000000141895E-6</v>
      </c>
      <c r="G833" s="6">
        <f t="shared" si="86"/>
        <v>1437.537304011928</v>
      </c>
      <c r="H833" s="7">
        <f t="shared" si="87"/>
        <v>-1.8237767425453736E-10</v>
      </c>
      <c r="I833" s="8" t="str">
        <f t="shared" si="88"/>
        <v/>
      </c>
    </row>
    <row r="834" spans="1:9" x14ac:dyDescent="0.2">
      <c r="A834" s="5">
        <v>336</v>
      </c>
      <c r="B834" s="6">
        <v>3.047609</v>
      </c>
      <c r="C834" s="6">
        <f t="shared" ref="C834:C897" si="91">B834-$B$2</f>
        <v>3.0046089999999999</v>
      </c>
      <c r="D834" s="6">
        <f t="shared" ref="D834:D897" si="92">A834*C834</f>
        <v>1009.5486239999999</v>
      </c>
      <c r="E834" s="6">
        <f t="shared" si="89"/>
        <v>-2039.8825569999992</v>
      </c>
      <c r="F834" s="6">
        <f t="shared" si="90"/>
        <v>-6.1599999999994992E-4</v>
      </c>
      <c r="G834" s="6">
        <f t="shared" ref="G834:G897" si="93">(A834-$L$5)*C834-E834</f>
        <v>1437.2363465379258</v>
      </c>
      <c r="H834" s="7">
        <f t="shared" ref="H834:H897" si="94">IF(ABS(F834)&lt;0.000000001,"",-(G834)/(2*$L$4*F834)*0.000000000001)</f>
        <v>2.1460411030510325E-12</v>
      </c>
      <c r="I834" s="8" t="str">
        <f t="shared" ref="I834:I897" si="95">IF(AND(B834&gt;=0.5,B834&lt;=2.5,ISNUMBER(H834),H834&gt;0),H834,"")</f>
        <v/>
      </c>
    </row>
    <row r="835" spans="1:9" x14ac:dyDescent="0.2">
      <c r="A835" s="5">
        <v>334</v>
      </c>
      <c r="B835" s="6">
        <v>3.048565</v>
      </c>
      <c r="C835" s="6">
        <f t="shared" si="91"/>
        <v>3.0055649999999998</v>
      </c>
      <c r="D835" s="6">
        <f t="shared" si="92"/>
        <v>1003.85871</v>
      </c>
      <c r="E835" s="6">
        <f t="shared" ref="E835:E898" si="96">E834+(C834+C835)/2*(A835-A834)</f>
        <v>-2045.8927309999992</v>
      </c>
      <c r="F835" s="6">
        <f t="shared" ref="F835:F898" si="97">(B836-B834)/(A836-A834)</f>
        <v>-1.9550000000001511E-4</v>
      </c>
      <c r="G835" s="6">
        <f t="shared" si="93"/>
        <v>1437.0436418687307</v>
      </c>
      <c r="H835" s="7">
        <f t="shared" si="94"/>
        <v>6.7610438408555056E-12</v>
      </c>
      <c r="I835" s="8" t="str">
        <f t="shared" si="95"/>
        <v/>
      </c>
    </row>
    <row r="836" spans="1:9" x14ac:dyDescent="0.2">
      <c r="A836" s="5">
        <v>332</v>
      </c>
      <c r="B836" s="6">
        <v>3.0483910000000001</v>
      </c>
      <c r="C836" s="6">
        <f t="shared" si="91"/>
        <v>3.0053909999999999</v>
      </c>
      <c r="D836" s="6">
        <f t="shared" si="92"/>
        <v>997.78981199999998</v>
      </c>
      <c r="E836" s="6">
        <f t="shared" si="96"/>
        <v>-2051.9036869999991</v>
      </c>
      <c r="F836" s="6">
        <f t="shared" si="97"/>
        <v>-1.6300000000002424E-4</v>
      </c>
      <c r="G836" s="6">
        <f t="shared" si="93"/>
        <v>1437.0790637311154</v>
      </c>
      <c r="H836" s="7">
        <f t="shared" si="94"/>
        <v>8.1093046116714611E-12</v>
      </c>
      <c r="I836" s="8" t="str">
        <f t="shared" si="95"/>
        <v/>
      </c>
    </row>
    <row r="837" spans="1:9" x14ac:dyDescent="0.2">
      <c r="A837" s="5">
        <v>330</v>
      </c>
      <c r="B837" s="6">
        <v>3.0492170000000001</v>
      </c>
      <c r="C837" s="6">
        <f t="shared" si="91"/>
        <v>3.0062169999999999</v>
      </c>
      <c r="D837" s="6">
        <f t="shared" si="92"/>
        <v>992.05160999999998</v>
      </c>
      <c r="E837" s="6">
        <f t="shared" si="96"/>
        <v>-2057.9152949999989</v>
      </c>
      <c r="F837" s="6">
        <f t="shared" si="97"/>
        <v>-4.9999999999994493E-4</v>
      </c>
      <c r="G837" s="6">
        <f t="shared" si="93"/>
        <v>1436.9092596717478</v>
      </c>
      <c r="H837" s="7">
        <f t="shared" si="94"/>
        <v>2.6433209339071122E-12</v>
      </c>
      <c r="I837" s="8" t="str">
        <f t="shared" si="95"/>
        <v/>
      </c>
    </row>
    <row r="838" spans="1:9" x14ac:dyDescent="0.2">
      <c r="A838" s="5">
        <v>328</v>
      </c>
      <c r="B838" s="6">
        <v>3.0503909999999999</v>
      </c>
      <c r="C838" s="6">
        <f t="shared" si="91"/>
        <v>3.0073909999999997</v>
      </c>
      <c r="D838" s="6">
        <f t="shared" si="92"/>
        <v>986.42424799999992</v>
      </c>
      <c r="E838" s="6">
        <f t="shared" si="96"/>
        <v>-2063.9289029999991</v>
      </c>
      <c r="F838" s="6">
        <f t="shared" si="97"/>
        <v>-8.2249999999994827E-4</v>
      </c>
      <c r="G838" s="6">
        <f t="shared" si="93"/>
        <v>1436.6655678876109</v>
      </c>
      <c r="H838" s="7">
        <f t="shared" si="94"/>
        <v>1.6066095084751896E-12</v>
      </c>
      <c r="I838" s="8" t="str">
        <f t="shared" si="95"/>
        <v/>
      </c>
    </row>
    <row r="839" spans="1:9" x14ac:dyDescent="0.2">
      <c r="A839" s="5">
        <v>326</v>
      </c>
      <c r="B839" s="6">
        <v>3.0525069999999999</v>
      </c>
      <c r="C839" s="6">
        <f t="shared" si="91"/>
        <v>3.0095069999999997</v>
      </c>
      <c r="D839" s="6">
        <f t="shared" si="92"/>
        <v>981.0992819999999</v>
      </c>
      <c r="E839" s="6">
        <f t="shared" si="96"/>
        <v>-2069.9458009999989</v>
      </c>
      <c r="F839" s="6">
        <f t="shared" si="97"/>
        <v>-5.2550000000006758E-4</v>
      </c>
      <c r="G839" s="6">
        <f t="shared" si="93"/>
        <v>1436.2221094691831</v>
      </c>
      <c r="H839" s="7">
        <f t="shared" si="94"/>
        <v>2.5138504859050077E-12</v>
      </c>
      <c r="I839" s="8" t="str">
        <f t="shared" si="95"/>
        <v/>
      </c>
    </row>
    <row r="840" spans="1:9" x14ac:dyDescent="0.2">
      <c r="A840" s="5">
        <v>324</v>
      </c>
      <c r="B840" s="6">
        <v>3.0524930000000001</v>
      </c>
      <c r="C840" s="6">
        <f t="shared" si="91"/>
        <v>3.009493</v>
      </c>
      <c r="D840" s="6">
        <f t="shared" si="92"/>
        <v>975.07573200000002</v>
      </c>
      <c r="E840" s="6">
        <f t="shared" si="96"/>
        <v>-2075.9648009999987</v>
      </c>
      <c r="F840" s="6">
        <f t="shared" si="97"/>
        <v>-3.7324999999999164E-4</v>
      </c>
      <c r="G840" s="6">
        <f t="shared" si="93"/>
        <v>1436.2250715040873</v>
      </c>
      <c r="H840" s="7">
        <f t="shared" si="94"/>
        <v>3.5392663223177853E-12</v>
      </c>
      <c r="I840" s="8" t="str">
        <f t="shared" si="95"/>
        <v/>
      </c>
    </row>
    <row r="841" spans="1:9" x14ac:dyDescent="0.2">
      <c r="A841" s="5">
        <v>322</v>
      </c>
      <c r="B841" s="6">
        <v>3.0539999999999998</v>
      </c>
      <c r="C841" s="6">
        <f t="shared" si="91"/>
        <v>3.0109999999999997</v>
      </c>
      <c r="D841" s="6">
        <f t="shared" si="92"/>
        <v>969.54199999999992</v>
      </c>
      <c r="E841" s="6">
        <f t="shared" si="96"/>
        <v>-2081.9852939999987</v>
      </c>
      <c r="F841" s="6">
        <f t="shared" si="97"/>
        <v>-5.1075000000000426E-4</v>
      </c>
      <c r="G841" s="6">
        <f t="shared" si="93"/>
        <v>1435.9032156040066</v>
      </c>
      <c r="H841" s="7">
        <f t="shared" si="94"/>
        <v>2.5858739377194489E-12</v>
      </c>
      <c r="I841" s="8" t="str">
        <f t="shared" si="95"/>
        <v/>
      </c>
    </row>
    <row r="842" spans="1:9" x14ac:dyDescent="0.2">
      <c r="A842" s="5">
        <v>320</v>
      </c>
      <c r="B842" s="6">
        <v>3.0545360000000001</v>
      </c>
      <c r="C842" s="6">
        <f t="shared" si="91"/>
        <v>3.011536</v>
      </c>
      <c r="D842" s="6">
        <f t="shared" si="92"/>
        <v>963.69151999999997</v>
      </c>
      <c r="E842" s="6">
        <f t="shared" si="96"/>
        <v>-2088.0078299999986</v>
      </c>
      <c r="F842" s="6">
        <f t="shared" si="97"/>
        <v>-4.8200000000009346E-4</v>
      </c>
      <c r="G842" s="6">
        <f t="shared" si="93"/>
        <v>1435.7876679819474</v>
      </c>
      <c r="H842" s="7">
        <f t="shared" si="94"/>
        <v>2.7398938458182366E-12</v>
      </c>
      <c r="I842" s="8" t="str">
        <f t="shared" si="95"/>
        <v/>
      </c>
    </row>
    <row r="843" spans="1:9" x14ac:dyDescent="0.2">
      <c r="A843" s="5">
        <v>318</v>
      </c>
      <c r="B843" s="6">
        <v>3.0559280000000002</v>
      </c>
      <c r="C843" s="6">
        <f t="shared" si="91"/>
        <v>3.0129280000000001</v>
      </c>
      <c r="D843" s="6">
        <f t="shared" si="92"/>
        <v>958.11110400000007</v>
      </c>
      <c r="E843" s="6">
        <f t="shared" si="96"/>
        <v>-2094.0322939999987</v>
      </c>
      <c r="F843" s="6">
        <f t="shared" si="97"/>
        <v>1.2325000000001918E-4</v>
      </c>
      <c r="G843" s="6">
        <f t="shared" si="93"/>
        <v>1435.4848050828684</v>
      </c>
      <c r="H843" s="7">
        <f t="shared" si="94"/>
        <v>-1.0712781032189018E-11</v>
      </c>
      <c r="I843" s="8" t="str">
        <f t="shared" si="95"/>
        <v/>
      </c>
    </row>
    <row r="844" spans="1:9" x14ac:dyDescent="0.2">
      <c r="A844" s="5">
        <v>316</v>
      </c>
      <c r="B844" s="6">
        <v>3.0540430000000001</v>
      </c>
      <c r="C844" s="6">
        <f t="shared" si="91"/>
        <v>3.0110429999999999</v>
      </c>
      <c r="D844" s="6">
        <f t="shared" si="92"/>
        <v>951.48958800000003</v>
      </c>
      <c r="E844" s="6">
        <f t="shared" si="96"/>
        <v>-2100.0562649999988</v>
      </c>
      <c r="F844" s="6">
        <f t="shared" si="97"/>
        <v>5.5075000000004426E-4</v>
      </c>
      <c r="G844" s="6">
        <f t="shared" si="93"/>
        <v>1435.8987019253714</v>
      </c>
      <c r="H844" s="7">
        <f t="shared" si="94"/>
        <v>-2.3980589415083785E-12</v>
      </c>
      <c r="I844" s="8" t="str">
        <f t="shared" si="95"/>
        <v/>
      </c>
    </row>
    <row r="845" spans="1:9" x14ac:dyDescent="0.2">
      <c r="A845" s="5">
        <v>314</v>
      </c>
      <c r="B845" s="6">
        <v>3.053725</v>
      </c>
      <c r="C845" s="6">
        <f t="shared" si="91"/>
        <v>3.0107249999999999</v>
      </c>
      <c r="D845" s="6">
        <f t="shared" si="92"/>
        <v>945.36764999999991</v>
      </c>
      <c r="E845" s="6">
        <f t="shared" si="96"/>
        <v>-2106.0780329999989</v>
      </c>
      <c r="F845" s="6">
        <f t="shared" si="97"/>
        <v>3.6000000000036003E-5</v>
      </c>
      <c r="G845" s="6">
        <f t="shared" si="93"/>
        <v>1435.9691624324887</v>
      </c>
      <c r="H845" s="7">
        <f t="shared" si="94"/>
        <v>-3.6688771421772867E-11</v>
      </c>
      <c r="I845" s="8" t="str">
        <f t="shared" si="95"/>
        <v/>
      </c>
    </row>
    <row r="846" spans="1:9" x14ac:dyDescent="0.2">
      <c r="A846" s="5">
        <v>312</v>
      </c>
      <c r="B846" s="6">
        <v>3.0538989999999999</v>
      </c>
      <c r="C846" s="6">
        <f t="shared" si="91"/>
        <v>3.0108989999999998</v>
      </c>
      <c r="D846" s="6">
        <f t="shared" si="92"/>
        <v>939.40048799999988</v>
      </c>
      <c r="E846" s="6">
        <f t="shared" si="96"/>
        <v>-2112.0996569999988</v>
      </c>
      <c r="F846" s="6">
        <f t="shared" si="97"/>
        <v>-7.2500000000141895E-6</v>
      </c>
      <c r="G846" s="6">
        <f t="shared" si="93"/>
        <v>1435.9302605701039</v>
      </c>
      <c r="H846" s="7">
        <f t="shared" si="94"/>
        <v>1.8217379165300215E-10</v>
      </c>
      <c r="I846" s="8" t="str">
        <f t="shared" si="95"/>
        <v/>
      </c>
    </row>
    <row r="847" spans="1:9" x14ac:dyDescent="0.2">
      <c r="A847" s="5">
        <v>310</v>
      </c>
      <c r="B847" s="6">
        <v>3.0537540000000001</v>
      </c>
      <c r="C847" s="6">
        <f t="shared" si="91"/>
        <v>3.0107539999999999</v>
      </c>
      <c r="D847" s="6">
        <f t="shared" si="92"/>
        <v>933.33374000000003</v>
      </c>
      <c r="E847" s="6">
        <f t="shared" si="96"/>
        <v>-2118.1213099999986</v>
      </c>
      <c r="F847" s="6">
        <f t="shared" si="97"/>
        <v>2.5724999999998666E-4</v>
      </c>
      <c r="G847" s="6">
        <f t="shared" si="93"/>
        <v>1435.9629687887577</v>
      </c>
      <c r="H847" s="7">
        <f t="shared" si="94"/>
        <v>-5.1342665667991466E-12</v>
      </c>
      <c r="I847" s="8" t="str">
        <f t="shared" si="95"/>
        <v/>
      </c>
    </row>
    <row r="848" spans="1:9" x14ac:dyDescent="0.2">
      <c r="A848" s="5">
        <v>308</v>
      </c>
      <c r="B848" s="6">
        <v>3.05287</v>
      </c>
      <c r="C848" s="6">
        <f t="shared" si="91"/>
        <v>3.0098699999999998</v>
      </c>
      <c r="D848" s="6">
        <f t="shared" si="92"/>
        <v>927.03995999999995</v>
      </c>
      <c r="E848" s="6">
        <f t="shared" si="96"/>
        <v>-2124.1419339999989</v>
      </c>
      <c r="F848" s="6">
        <f t="shared" si="97"/>
        <v>4.0000000000040004E-5</v>
      </c>
      <c r="G848" s="6">
        <f t="shared" si="93"/>
        <v>1436.1641441355869</v>
      </c>
      <c r="H848" s="7">
        <f t="shared" si="94"/>
        <v>-3.3024377854446062E-11</v>
      </c>
      <c r="I848" s="8" t="str">
        <f t="shared" si="95"/>
        <v/>
      </c>
    </row>
    <row r="849" spans="1:9" x14ac:dyDescent="0.2">
      <c r="A849" s="5">
        <v>306</v>
      </c>
      <c r="B849" s="6">
        <v>3.0535939999999999</v>
      </c>
      <c r="C849" s="6">
        <f t="shared" si="91"/>
        <v>3.0105939999999998</v>
      </c>
      <c r="D849" s="6">
        <f t="shared" si="92"/>
        <v>921.24176399999988</v>
      </c>
      <c r="E849" s="6">
        <f t="shared" si="96"/>
        <v>-2130.162397999999</v>
      </c>
      <c r="F849" s="6">
        <f t="shared" si="97"/>
        <v>-4.6725000000003014E-4</v>
      </c>
      <c r="G849" s="6">
        <f t="shared" si="93"/>
        <v>1435.9979326162384</v>
      </c>
      <c r="H849" s="7">
        <f t="shared" si="94"/>
        <v>2.8267998583766225E-12</v>
      </c>
      <c r="I849" s="8" t="str">
        <f t="shared" si="95"/>
        <v/>
      </c>
    </row>
    <row r="850" spans="1:9" x14ac:dyDescent="0.2">
      <c r="A850" s="5">
        <v>304</v>
      </c>
      <c r="B850" s="6">
        <v>3.0547390000000001</v>
      </c>
      <c r="C850" s="6">
        <f t="shared" si="91"/>
        <v>3.0117389999999999</v>
      </c>
      <c r="D850" s="6">
        <f t="shared" si="92"/>
        <v>915.56865600000003</v>
      </c>
      <c r="E850" s="6">
        <f t="shared" si="96"/>
        <v>-2136.1847309999989</v>
      </c>
      <c r="F850" s="6">
        <f t="shared" si="97"/>
        <v>-3.0075000000007179E-4</v>
      </c>
      <c r="G850" s="6">
        <f t="shared" si="93"/>
        <v>1435.732780475832</v>
      </c>
      <c r="H850" s="7">
        <f t="shared" si="94"/>
        <v>4.3909504521608945E-12</v>
      </c>
      <c r="I850" s="8" t="str">
        <f t="shared" si="95"/>
        <v/>
      </c>
    </row>
    <row r="851" spans="1:9" x14ac:dyDescent="0.2">
      <c r="A851" s="5">
        <v>302</v>
      </c>
      <c r="B851" s="6">
        <v>3.0547970000000002</v>
      </c>
      <c r="C851" s="6">
        <f t="shared" si="91"/>
        <v>3.0117970000000001</v>
      </c>
      <c r="D851" s="6">
        <f t="shared" si="92"/>
        <v>909.56269399999996</v>
      </c>
      <c r="E851" s="6">
        <f t="shared" si="96"/>
        <v>-2142.2082669999991</v>
      </c>
      <c r="F851" s="6">
        <f t="shared" si="97"/>
        <v>-1.0500000000002174E-4</v>
      </c>
      <c r="G851" s="6">
        <f t="shared" si="93"/>
        <v>1435.7192331883705</v>
      </c>
      <c r="H851" s="7">
        <f t="shared" si="94"/>
        <v>1.2576817978801581E-11</v>
      </c>
      <c r="I851" s="8" t="str">
        <f t="shared" si="95"/>
        <v/>
      </c>
    </row>
    <row r="852" spans="1:9" x14ac:dyDescent="0.2">
      <c r="A852" s="5">
        <v>300</v>
      </c>
      <c r="B852" s="6">
        <v>3.0551590000000002</v>
      </c>
      <c r="C852" s="6">
        <f t="shared" si="91"/>
        <v>3.012159</v>
      </c>
      <c r="D852" s="6">
        <f t="shared" si="92"/>
        <v>903.64769999999999</v>
      </c>
      <c r="E852" s="6">
        <f t="shared" si="96"/>
        <v>-2148.2322229999991</v>
      </c>
      <c r="F852" s="6">
        <f t="shared" si="97"/>
        <v>-4.3474999999992825E-4</v>
      </c>
      <c r="G852" s="6">
        <f t="shared" si="93"/>
        <v>1435.633955428696</v>
      </c>
      <c r="H852" s="7">
        <f t="shared" si="94"/>
        <v>3.0373489357236615E-12</v>
      </c>
      <c r="I852" s="8" t="str">
        <f t="shared" si="95"/>
        <v/>
      </c>
    </row>
    <row r="853" spans="1:9" x14ac:dyDescent="0.2">
      <c r="A853" s="5">
        <v>298</v>
      </c>
      <c r="B853" s="6">
        <v>3.0565359999999999</v>
      </c>
      <c r="C853" s="6">
        <f t="shared" si="91"/>
        <v>3.0135359999999998</v>
      </c>
      <c r="D853" s="6">
        <f t="shared" si="92"/>
        <v>898.03372799999988</v>
      </c>
      <c r="E853" s="6">
        <f t="shared" si="96"/>
        <v>-2154.2579179999989</v>
      </c>
      <c r="F853" s="6">
        <f t="shared" si="97"/>
        <v>1.0500000000002174E-4</v>
      </c>
      <c r="G853" s="6">
        <f t="shared" si="93"/>
        <v>1435.3068161384431</v>
      </c>
      <c r="H853" s="7">
        <f t="shared" si="94"/>
        <v>-1.2573205229143853E-11</v>
      </c>
      <c r="I853" s="8" t="str">
        <f t="shared" si="95"/>
        <v/>
      </c>
    </row>
    <row r="854" spans="1:9" x14ac:dyDescent="0.2">
      <c r="A854" s="5">
        <v>296</v>
      </c>
      <c r="B854" s="6">
        <v>3.0547390000000001</v>
      </c>
      <c r="C854" s="6">
        <f t="shared" si="91"/>
        <v>3.0117389999999999</v>
      </c>
      <c r="D854" s="6">
        <f t="shared" si="92"/>
        <v>891.47474399999999</v>
      </c>
      <c r="E854" s="6">
        <f t="shared" si="96"/>
        <v>-2160.2831929999988</v>
      </c>
      <c r="F854" s="6">
        <f t="shared" si="97"/>
        <v>7.245000000000168E-4</v>
      </c>
      <c r="G854" s="6">
        <f t="shared" si="93"/>
        <v>1435.7373304758321</v>
      </c>
      <c r="H854" s="7">
        <f t="shared" si="94"/>
        <v>-1.8227502188408828E-12</v>
      </c>
      <c r="I854" s="8" t="str">
        <f t="shared" si="95"/>
        <v/>
      </c>
    </row>
    <row r="855" spans="1:9" x14ac:dyDescent="0.2">
      <c r="A855" s="5">
        <v>294</v>
      </c>
      <c r="B855" s="6">
        <v>3.0536379999999999</v>
      </c>
      <c r="C855" s="6">
        <f t="shared" si="91"/>
        <v>3.0106379999999997</v>
      </c>
      <c r="D855" s="6">
        <f t="shared" si="92"/>
        <v>885.12757199999987</v>
      </c>
      <c r="E855" s="6">
        <f t="shared" si="96"/>
        <v>-2166.3055699999986</v>
      </c>
      <c r="F855" s="6">
        <f t="shared" si="97"/>
        <v>8.7000000000059252E-5</v>
      </c>
      <c r="G855" s="6">
        <f t="shared" si="93"/>
        <v>1436.003303363681</v>
      </c>
      <c r="H855" s="7">
        <f t="shared" si="94"/>
        <v>-1.5181921538008668E-11</v>
      </c>
      <c r="I855" s="8" t="str">
        <f t="shared" si="95"/>
        <v/>
      </c>
    </row>
    <row r="856" spans="1:9" x14ac:dyDescent="0.2">
      <c r="A856" s="5">
        <v>292</v>
      </c>
      <c r="B856" s="6">
        <v>3.0543909999999999</v>
      </c>
      <c r="C856" s="6">
        <f t="shared" si="91"/>
        <v>3.0113909999999997</v>
      </c>
      <c r="D856" s="6">
        <f t="shared" si="92"/>
        <v>879.32617199999993</v>
      </c>
      <c r="E856" s="6">
        <f t="shared" si="96"/>
        <v>-2172.3275989999988</v>
      </c>
      <c r="F856" s="6">
        <f t="shared" si="97"/>
        <v>-1.447500000000268E-4</v>
      </c>
      <c r="G856" s="6">
        <f t="shared" si="93"/>
        <v>1435.8198922006018</v>
      </c>
      <c r="H856" s="7">
        <f t="shared" si="94"/>
        <v>9.1237200229795106E-12</v>
      </c>
      <c r="I856" s="8" t="str">
        <f t="shared" si="95"/>
        <v/>
      </c>
    </row>
    <row r="857" spans="1:9" x14ac:dyDescent="0.2">
      <c r="A857" s="5">
        <v>290</v>
      </c>
      <c r="B857" s="6">
        <v>3.054217</v>
      </c>
      <c r="C857" s="6">
        <f t="shared" si="91"/>
        <v>3.0112169999999998</v>
      </c>
      <c r="D857" s="6">
        <f t="shared" si="92"/>
        <v>873.25292999999999</v>
      </c>
      <c r="E857" s="6">
        <f t="shared" si="96"/>
        <v>-2178.350206999999</v>
      </c>
      <c r="F857" s="6">
        <f t="shared" si="97"/>
        <v>1.1574999999997004E-4</v>
      </c>
      <c r="G857" s="6">
        <f t="shared" si="93"/>
        <v>1435.8626220629867</v>
      </c>
      <c r="H857" s="7">
        <f t="shared" si="94"/>
        <v>-1.1409915991330164E-11</v>
      </c>
      <c r="I857" s="8" t="str">
        <f t="shared" si="95"/>
        <v/>
      </c>
    </row>
    <row r="858" spans="1:9" x14ac:dyDescent="0.2">
      <c r="A858" s="5">
        <v>288</v>
      </c>
      <c r="B858" s="6">
        <v>3.053928</v>
      </c>
      <c r="C858" s="6">
        <f t="shared" si="91"/>
        <v>3.0109279999999998</v>
      </c>
      <c r="D858" s="6">
        <f t="shared" si="92"/>
        <v>867.14726399999995</v>
      </c>
      <c r="E858" s="6">
        <f t="shared" si="96"/>
        <v>-2184.372351999999</v>
      </c>
      <c r="F858" s="6">
        <f t="shared" si="97"/>
        <v>-2.174999999999816E-4</v>
      </c>
      <c r="G858" s="6">
        <f t="shared" si="93"/>
        <v>1435.9341709263731</v>
      </c>
      <c r="H858" s="7">
        <f t="shared" si="94"/>
        <v>6.0724762584324789E-12</v>
      </c>
      <c r="I858" s="8" t="str">
        <f t="shared" si="95"/>
        <v/>
      </c>
    </row>
    <row r="859" spans="1:9" x14ac:dyDescent="0.2">
      <c r="A859" s="5">
        <v>286</v>
      </c>
      <c r="B859" s="6">
        <v>3.0550869999999999</v>
      </c>
      <c r="C859" s="6">
        <f t="shared" si="91"/>
        <v>3.0120869999999997</v>
      </c>
      <c r="D859" s="6">
        <f t="shared" si="92"/>
        <v>861.45688199999995</v>
      </c>
      <c r="E859" s="6">
        <f t="shared" si="96"/>
        <v>-2190.3953669999992</v>
      </c>
      <c r="F859" s="6">
        <f t="shared" si="97"/>
        <v>-1.9199999999996997E-4</v>
      </c>
      <c r="G859" s="6">
        <f t="shared" si="93"/>
        <v>1435.6449147510625</v>
      </c>
      <c r="H859" s="7">
        <f t="shared" si="94"/>
        <v>6.8775913027314388E-12</v>
      </c>
      <c r="I859" s="8" t="str">
        <f t="shared" si="95"/>
        <v/>
      </c>
    </row>
    <row r="860" spans="1:9" x14ac:dyDescent="0.2">
      <c r="A860" s="5">
        <v>284</v>
      </c>
      <c r="B860" s="6">
        <v>3.0546959999999999</v>
      </c>
      <c r="C860" s="6">
        <f t="shared" si="91"/>
        <v>3.0116959999999997</v>
      </c>
      <c r="D860" s="6">
        <f t="shared" si="92"/>
        <v>855.32166399999994</v>
      </c>
      <c r="E860" s="6">
        <f t="shared" si="96"/>
        <v>-2196.4191499999993</v>
      </c>
      <c r="F860" s="6">
        <f t="shared" si="97"/>
        <v>-1.9200000000008099E-4</v>
      </c>
      <c r="G860" s="6">
        <f t="shared" si="93"/>
        <v>1435.7432801544678</v>
      </c>
      <c r="H860" s="7">
        <f t="shared" si="94"/>
        <v>6.8780625313968899E-12</v>
      </c>
      <c r="I860" s="8" t="str">
        <f t="shared" si="95"/>
        <v/>
      </c>
    </row>
    <row r="861" spans="1:9" x14ac:dyDescent="0.2">
      <c r="A861" s="5">
        <v>282</v>
      </c>
      <c r="B861" s="6">
        <v>3.0558550000000002</v>
      </c>
      <c r="C861" s="6">
        <f t="shared" si="91"/>
        <v>3.0128550000000001</v>
      </c>
      <c r="D861" s="6">
        <f t="shared" si="92"/>
        <v>849.62511000000006</v>
      </c>
      <c r="E861" s="6">
        <f t="shared" si="96"/>
        <v>-2202.4437009999992</v>
      </c>
      <c r="F861" s="6">
        <f t="shared" si="97"/>
        <v>-1.5200000000004099E-4</v>
      </c>
      <c r="G861" s="6">
        <f t="shared" si="93"/>
        <v>1435.4493879791567</v>
      </c>
      <c r="H861" s="7">
        <f t="shared" si="94"/>
        <v>8.6863005643345616E-12</v>
      </c>
      <c r="I861" s="8" t="str">
        <f t="shared" si="95"/>
        <v/>
      </c>
    </row>
    <row r="862" spans="1:9" x14ac:dyDescent="0.2">
      <c r="A862" s="5">
        <v>280</v>
      </c>
      <c r="B862" s="6">
        <v>3.055304</v>
      </c>
      <c r="C862" s="6">
        <f t="shared" si="91"/>
        <v>3.0123039999999999</v>
      </c>
      <c r="D862" s="6">
        <f t="shared" si="92"/>
        <v>843.44511999999997</v>
      </c>
      <c r="E862" s="6">
        <f t="shared" si="96"/>
        <v>-2208.468859999999</v>
      </c>
      <c r="F862" s="6">
        <f t="shared" si="97"/>
        <v>4.0575000000009354E-4</v>
      </c>
      <c r="G862" s="6">
        <f t="shared" si="93"/>
        <v>1435.5902092100423</v>
      </c>
      <c r="H862" s="7">
        <f t="shared" si="94"/>
        <v>-3.2543369372701907E-12</v>
      </c>
      <c r="I862" s="8" t="str">
        <f t="shared" si="95"/>
        <v/>
      </c>
    </row>
    <row r="863" spans="1:9" x14ac:dyDescent="0.2">
      <c r="A863" s="5">
        <v>278</v>
      </c>
      <c r="B863" s="6">
        <v>3.0542319999999998</v>
      </c>
      <c r="C863" s="6">
        <f t="shared" si="91"/>
        <v>3.0112319999999997</v>
      </c>
      <c r="D863" s="6">
        <f t="shared" si="92"/>
        <v>837.12249599999996</v>
      </c>
      <c r="E863" s="6">
        <f t="shared" si="96"/>
        <v>-2214.4923959999992</v>
      </c>
      <c r="F863" s="6">
        <f t="shared" si="97"/>
        <v>-6.2324999999996411E-4</v>
      </c>
      <c r="G863" s="6">
        <f t="shared" si="93"/>
        <v>1435.8663284541608</v>
      </c>
      <c r="H863" s="7">
        <f t="shared" si="94"/>
        <v>2.1190552508823724E-12</v>
      </c>
      <c r="I863" s="8" t="str">
        <f t="shared" si="95"/>
        <v/>
      </c>
    </row>
    <row r="864" spans="1:9" x14ac:dyDescent="0.2">
      <c r="A864" s="5">
        <v>276</v>
      </c>
      <c r="B864" s="6">
        <v>3.0577969999999999</v>
      </c>
      <c r="C864" s="6">
        <f t="shared" si="91"/>
        <v>3.0147969999999997</v>
      </c>
      <c r="D864" s="6">
        <f t="shared" si="92"/>
        <v>832.0839719999999</v>
      </c>
      <c r="E864" s="6">
        <f t="shared" si="96"/>
        <v>-2220.5184249999993</v>
      </c>
      <c r="F864" s="6">
        <f t="shared" si="97"/>
        <v>-9.0224999999999334E-4</v>
      </c>
      <c r="G864" s="6">
        <f t="shared" si="93"/>
        <v>1434.940947423114</v>
      </c>
      <c r="H864" s="7">
        <f t="shared" si="94"/>
        <v>1.4628429207244384E-12</v>
      </c>
      <c r="I864" s="8" t="str">
        <f t="shared" si="95"/>
        <v/>
      </c>
    </row>
    <row r="865" spans="1:9" x14ac:dyDescent="0.2">
      <c r="A865" s="5">
        <v>274</v>
      </c>
      <c r="B865" s="6">
        <v>3.0578409999999998</v>
      </c>
      <c r="C865" s="6">
        <f t="shared" si="91"/>
        <v>3.0148409999999997</v>
      </c>
      <c r="D865" s="6">
        <f t="shared" si="92"/>
        <v>826.06643399999996</v>
      </c>
      <c r="E865" s="6">
        <f t="shared" si="96"/>
        <v>-2226.5480629999993</v>
      </c>
      <c r="F865" s="6">
        <f t="shared" si="97"/>
        <v>2.282499999999299E-4</v>
      </c>
      <c r="G865" s="6">
        <f t="shared" si="93"/>
        <v>1434.929438170557</v>
      </c>
      <c r="H865" s="7">
        <f t="shared" si="94"/>
        <v>-5.7824290868914054E-12</v>
      </c>
      <c r="I865" s="8" t="str">
        <f t="shared" si="95"/>
        <v/>
      </c>
    </row>
    <row r="866" spans="1:9" x14ac:dyDescent="0.2">
      <c r="A866" s="5">
        <v>272</v>
      </c>
      <c r="B866" s="6">
        <v>3.0568840000000002</v>
      </c>
      <c r="C866" s="6">
        <f t="shared" si="91"/>
        <v>3.013884</v>
      </c>
      <c r="D866" s="6">
        <f t="shared" si="92"/>
        <v>819.77644799999996</v>
      </c>
      <c r="E866" s="6">
        <f t="shared" si="96"/>
        <v>-2232.5767879999994</v>
      </c>
      <c r="F866" s="6">
        <f t="shared" si="97"/>
        <v>4.3499999999974115E-5</v>
      </c>
      <c r="G866" s="6">
        <f t="shared" si="93"/>
        <v>1435.181678413674</v>
      </c>
      <c r="H866" s="7">
        <f t="shared" si="94"/>
        <v>-3.0346470072114551E-11</v>
      </c>
      <c r="I866" s="8" t="str">
        <f t="shared" si="95"/>
        <v/>
      </c>
    </row>
    <row r="867" spans="1:9" x14ac:dyDescent="0.2">
      <c r="A867" s="5">
        <v>270</v>
      </c>
      <c r="B867" s="6">
        <v>3.0576669999999999</v>
      </c>
      <c r="C867" s="6">
        <f t="shared" si="91"/>
        <v>3.0146669999999998</v>
      </c>
      <c r="D867" s="6">
        <f t="shared" si="92"/>
        <v>813.96008999999992</v>
      </c>
      <c r="E867" s="6">
        <f t="shared" si="96"/>
        <v>-2238.6053389999993</v>
      </c>
      <c r="F867" s="6">
        <f t="shared" si="97"/>
        <v>-3.0074999999996077E-4</v>
      </c>
      <c r="G867" s="6">
        <f t="shared" si="93"/>
        <v>1434.9737340329418</v>
      </c>
      <c r="H867" s="7">
        <f t="shared" si="94"/>
        <v>4.3886290345791432E-12</v>
      </c>
      <c r="I867" s="8" t="str">
        <f t="shared" si="95"/>
        <v/>
      </c>
    </row>
    <row r="868" spans="1:9" x14ac:dyDescent="0.2">
      <c r="A868" s="5">
        <v>268</v>
      </c>
      <c r="B868" s="6">
        <v>3.058087</v>
      </c>
      <c r="C868" s="6">
        <f t="shared" si="91"/>
        <v>3.0150869999999999</v>
      </c>
      <c r="D868" s="6">
        <f t="shared" si="92"/>
        <v>808.043316</v>
      </c>
      <c r="E868" s="6">
        <f t="shared" si="96"/>
        <v>-2244.6350929999994</v>
      </c>
      <c r="F868" s="6">
        <f t="shared" si="97"/>
        <v>-2.524999999997668E-5</v>
      </c>
      <c r="G868" s="6">
        <f t="shared" si="93"/>
        <v>1434.861352985806</v>
      </c>
      <c r="H868" s="7">
        <f t="shared" si="94"/>
        <v>5.2268388702639935E-11</v>
      </c>
      <c r="I868" s="8" t="str">
        <f t="shared" si="95"/>
        <v/>
      </c>
    </row>
    <row r="869" spans="1:9" x14ac:dyDescent="0.2">
      <c r="A869" s="5">
        <v>266</v>
      </c>
      <c r="B869" s="6">
        <v>3.0577679999999998</v>
      </c>
      <c r="C869" s="6">
        <f t="shared" si="91"/>
        <v>3.0147679999999997</v>
      </c>
      <c r="D869" s="6">
        <f t="shared" si="92"/>
        <v>801.92828799999995</v>
      </c>
      <c r="E869" s="6">
        <f t="shared" si="96"/>
        <v>-2250.6649479999996</v>
      </c>
      <c r="F869" s="6">
        <f t="shared" si="97"/>
        <v>2.6099999999995571E-4</v>
      </c>
      <c r="G869" s="6">
        <f t="shared" si="93"/>
        <v>1434.9473470668454</v>
      </c>
      <c r="H869" s="7">
        <f t="shared" si="94"/>
        <v>-5.0569192014464676E-12</v>
      </c>
      <c r="I869" s="8" t="str">
        <f t="shared" si="95"/>
        <v/>
      </c>
    </row>
    <row r="870" spans="1:9" x14ac:dyDescent="0.2">
      <c r="A870" s="5">
        <v>264</v>
      </c>
      <c r="B870" s="6">
        <v>3.0570430000000002</v>
      </c>
      <c r="C870" s="6">
        <f t="shared" si="91"/>
        <v>3.014043</v>
      </c>
      <c r="D870" s="6">
        <f t="shared" si="92"/>
        <v>795.70735200000001</v>
      </c>
      <c r="E870" s="6">
        <f t="shared" si="96"/>
        <v>-2256.6937589999998</v>
      </c>
      <c r="F870" s="6">
        <f t="shared" si="97"/>
        <v>1.1224999999992491E-4</v>
      </c>
      <c r="G870" s="6">
        <f t="shared" si="93"/>
        <v>1435.1442381601157</v>
      </c>
      <c r="H870" s="7">
        <f t="shared" si="94"/>
        <v>-1.1759795196594801E-11</v>
      </c>
      <c r="I870" s="8" t="str">
        <f t="shared" si="95"/>
        <v/>
      </c>
    </row>
    <row r="871" spans="1:9" x14ac:dyDescent="0.2">
      <c r="A871" s="5">
        <v>262</v>
      </c>
      <c r="B871" s="6">
        <v>3.0573190000000001</v>
      </c>
      <c r="C871" s="6">
        <f t="shared" si="91"/>
        <v>3.014319</v>
      </c>
      <c r="D871" s="6">
        <f t="shared" si="92"/>
        <v>789.75157799999999</v>
      </c>
      <c r="E871" s="6">
        <f t="shared" si="96"/>
        <v>-2262.7221209999998</v>
      </c>
      <c r="F871" s="6">
        <f t="shared" si="97"/>
        <v>-6.812499999999666E-4</v>
      </c>
      <c r="G871" s="6">
        <f t="shared" si="93"/>
        <v>1435.0687317577122</v>
      </c>
      <c r="H871" s="7">
        <f t="shared" si="94"/>
        <v>1.9375670612603472E-12</v>
      </c>
      <c r="I871" s="8" t="str">
        <f t="shared" si="95"/>
        <v/>
      </c>
    </row>
    <row r="872" spans="1:9" x14ac:dyDescent="0.2">
      <c r="A872" s="5">
        <v>260</v>
      </c>
      <c r="B872" s="6">
        <v>3.059768</v>
      </c>
      <c r="C872" s="6">
        <f t="shared" si="91"/>
        <v>3.0167679999999999</v>
      </c>
      <c r="D872" s="6">
        <f t="shared" si="92"/>
        <v>784.35968000000003</v>
      </c>
      <c r="E872" s="6">
        <f t="shared" si="96"/>
        <v>-2268.7532079999996</v>
      </c>
      <c r="F872" s="6">
        <f t="shared" si="97"/>
        <v>-6.6674999999993823E-4</v>
      </c>
      <c r="G872" s="6">
        <f t="shared" si="93"/>
        <v>1434.3938512233408</v>
      </c>
      <c r="H872" s="7">
        <f t="shared" si="94"/>
        <v>1.9787728675519774E-12</v>
      </c>
      <c r="I872" s="8" t="str">
        <f t="shared" si="95"/>
        <v/>
      </c>
    </row>
    <row r="873" spans="1:9" x14ac:dyDescent="0.2">
      <c r="A873" s="5">
        <v>258</v>
      </c>
      <c r="B873" s="6">
        <v>3.0599859999999999</v>
      </c>
      <c r="C873" s="6">
        <f t="shared" si="91"/>
        <v>3.0169859999999997</v>
      </c>
      <c r="D873" s="6">
        <f t="shared" si="92"/>
        <v>778.38238799999988</v>
      </c>
      <c r="E873" s="6">
        <f t="shared" si="96"/>
        <v>-2274.7869619999997</v>
      </c>
      <c r="F873" s="6">
        <f t="shared" si="97"/>
        <v>-9.0499999999993364E-5</v>
      </c>
      <c r="G873" s="6">
        <f t="shared" si="93"/>
        <v>1434.3333401083987</v>
      </c>
      <c r="H873" s="7">
        <f t="shared" si="94"/>
        <v>1.4577802781014881E-11</v>
      </c>
      <c r="I873" s="8" t="str">
        <f t="shared" si="95"/>
        <v/>
      </c>
    </row>
    <row r="874" spans="1:9" x14ac:dyDescent="0.2">
      <c r="A874" s="5">
        <v>256</v>
      </c>
      <c r="B874" s="6">
        <v>3.06013</v>
      </c>
      <c r="C874" s="6">
        <f t="shared" si="91"/>
        <v>3.0171299999999999</v>
      </c>
      <c r="D874" s="6">
        <f t="shared" si="92"/>
        <v>772.38527999999997</v>
      </c>
      <c r="E874" s="6">
        <f t="shared" si="96"/>
        <v>-2280.8210779999995</v>
      </c>
      <c r="F874" s="6">
        <f t="shared" si="97"/>
        <v>-1.5200000000004099E-4</v>
      </c>
      <c r="G874" s="6">
        <f t="shared" si="93"/>
        <v>1434.2930814636661</v>
      </c>
      <c r="H874" s="7">
        <f t="shared" si="94"/>
        <v>8.6793034343610773E-12</v>
      </c>
      <c r="I874" s="8" t="str">
        <f t="shared" si="95"/>
        <v/>
      </c>
    </row>
    <row r="875" spans="1:9" x14ac:dyDescent="0.2">
      <c r="A875" s="5">
        <v>254</v>
      </c>
      <c r="B875" s="6">
        <v>3.060594</v>
      </c>
      <c r="C875" s="6">
        <f t="shared" si="91"/>
        <v>3.0175939999999999</v>
      </c>
      <c r="D875" s="6">
        <f t="shared" si="92"/>
        <v>766.46887600000002</v>
      </c>
      <c r="E875" s="6">
        <f t="shared" si="96"/>
        <v>-2286.8558019999996</v>
      </c>
      <c r="F875" s="6">
        <f t="shared" si="97"/>
        <v>-4.4575000000002252E-4</v>
      </c>
      <c r="G875" s="6">
        <f t="shared" si="93"/>
        <v>1434.1624311639735</v>
      </c>
      <c r="H875" s="7">
        <f t="shared" si="94"/>
        <v>2.9593582740680646E-12</v>
      </c>
      <c r="I875" s="8" t="str">
        <f t="shared" si="95"/>
        <v/>
      </c>
    </row>
    <row r="876" spans="1:9" x14ac:dyDescent="0.2">
      <c r="A876" s="5">
        <v>252</v>
      </c>
      <c r="B876" s="6">
        <v>3.0619130000000001</v>
      </c>
      <c r="C876" s="6">
        <f t="shared" si="91"/>
        <v>3.018913</v>
      </c>
      <c r="D876" s="6">
        <f t="shared" si="92"/>
        <v>760.766076</v>
      </c>
      <c r="E876" s="6">
        <f t="shared" si="96"/>
        <v>-2292.8923089999994</v>
      </c>
      <c r="F876" s="6">
        <f t="shared" si="97"/>
        <v>-2.9349999999994658E-4</v>
      </c>
      <c r="G876" s="6">
        <f t="shared" si="93"/>
        <v>1433.7883971611818</v>
      </c>
      <c r="H876" s="7">
        <f t="shared" si="94"/>
        <v>4.4933216914727189E-12</v>
      </c>
      <c r="I876" s="8" t="str">
        <f t="shared" si="95"/>
        <v/>
      </c>
    </row>
    <row r="877" spans="1:9" x14ac:dyDescent="0.2">
      <c r="A877" s="5">
        <v>250</v>
      </c>
      <c r="B877" s="6">
        <v>3.0617679999999998</v>
      </c>
      <c r="C877" s="6">
        <f t="shared" si="91"/>
        <v>3.0187679999999997</v>
      </c>
      <c r="D877" s="6">
        <f t="shared" si="92"/>
        <v>754.69199999999989</v>
      </c>
      <c r="E877" s="6">
        <f t="shared" si="96"/>
        <v>-2298.9299899999992</v>
      </c>
      <c r="F877" s="6">
        <f t="shared" si="97"/>
        <v>-3.5874999999996326E-4</v>
      </c>
      <c r="G877" s="6">
        <f t="shared" si="93"/>
        <v>1433.8298053798358</v>
      </c>
      <c r="H877" s="7">
        <f t="shared" si="94"/>
        <v>3.6761756194475401E-12</v>
      </c>
      <c r="I877" s="8" t="str">
        <f t="shared" si="95"/>
        <v/>
      </c>
    </row>
    <row r="878" spans="1:9" x14ac:dyDescent="0.2">
      <c r="A878" s="5">
        <v>248</v>
      </c>
      <c r="B878" s="6">
        <v>3.063348</v>
      </c>
      <c r="C878" s="6">
        <f t="shared" si="91"/>
        <v>3.0203479999999998</v>
      </c>
      <c r="D878" s="6">
        <f t="shared" si="92"/>
        <v>749.04630399999996</v>
      </c>
      <c r="E878" s="6">
        <f t="shared" si="96"/>
        <v>-2304.9691059999991</v>
      </c>
      <c r="F878" s="6">
        <f t="shared" si="97"/>
        <v>-7.1025000000002336E-4</v>
      </c>
      <c r="G878" s="6">
        <f t="shared" si="93"/>
        <v>1433.3754385834673</v>
      </c>
      <c r="H878" s="7">
        <f t="shared" si="94"/>
        <v>1.8562619917478458E-12</v>
      </c>
      <c r="I878" s="8" t="str">
        <f t="shared" si="95"/>
        <v/>
      </c>
    </row>
    <row r="879" spans="1:9" x14ac:dyDescent="0.2">
      <c r="A879" s="5">
        <v>246</v>
      </c>
      <c r="B879" s="6">
        <v>3.0646089999999999</v>
      </c>
      <c r="C879" s="6">
        <f t="shared" si="91"/>
        <v>3.0216089999999998</v>
      </c>
      <c r="D879" s="6">
        <f t="shared" si="92"/>
        <v>743.31581399999993</v>
      </c>
      <c r="E879" s="6">
        <f t="shared" si="96"/>
        <v>-2311.011062999999</v>
      </c>
      <c r="F879" s="6">
        <f t="shared" si="97"/>
        <v>-5.4350000000003007E-4</v>
      </c>
      <c r="G879" s="6">
        <f t="shared" si="93"/>
        <v>1433.0102858681375</v>
      </c>
      <c r="H879" s="7">
        <f t="shared" si="94"/>
        <v>2.4251595480673295E-12</v>
      </c>
      <c r="I879" s="8" t="str">
        <f t="shared" si="95"/>
        <v/>
      </c>
    </row>
    <row r="880" spans="1:9" x14ac:dyDescent="0.2">
      <c r="A880" s="5">
        <v>244</v>
      </c>
      <c r="B880" s="6">
        <v>3.0655220000000001</v>
      </c>
      <c r="C880" s="6">
        <f t="shared" si="91"/>
        <v>3.0225219999999999</v>
      </c>
      <c r="D880" s="6">
        <f t="shared" si="92"/>
        <v>737.49536799999998</v>
      </c>
      <c r="E880" s="6">
        <f t="shared" si="96"/>
        <v>-2317.0551939999991</v>
      </c>
      <c r="F880" s="6">
        <f t="shared" si="97"/>
        <v>-2.7900000000002922E-4</v>
      </c>
      <c r="G880" s="6">
        <f t="shared" si="93"/>
        <v>1432.744078877578</v>
      </c>
      <c r="H880" s="7">
        <f t="shared" si="94"/>
        <v>4.7234027196805176E-12</v>
      </c>
      <c r="I880" s="8" t="str">
        <f t="shared" si="95"/>
        <v/>
      </c>
    </row>
    <row r="881" spans="1:9" x14ac:dyDescent="0.2">
      <c r="A881" s="5">
        <v>242</v>
      </c>
      <c r="B881" s="6">
        <v>3.065725</v>
      </c>
      <c r="C881" s="6">
        <f t="shared" si="91"/>
        <v>3.0227249999999999</v>
      </c>
      <c r="D881" s="6">
        <f t="shared" si="92"/>
        <v>731.49945000000002</v>
      </c>
      <c r="E881" s="6">
        <f t="shared" si="96"/>
        <v>-2323.1004409999991</v>
      </c>
      <c r="F881" s="6">
        <f t="shared" si="97"/>
        <v>-5.4250000000033438E-5</v>
      </c>
      <c r="G881" s="6">
        <f t="shared" si="93"/>
        <v>1432.6844833714622</v>
      </c>
      <c r="H881" s="7">
        <f t="shared" si="94"/>
        <v>2.4290774989921757E-11</v>
      </c>
      <c r="I881" s="8" t="str">
        <f t="shared" si="95"/>
        <v/>
      </c>
    </row>
    <row r="882" spans="1:9" x14ac:dyDescent="0.2">
      <c r="A882" s="5">
        <v>240</v>
      </c>
      <c r="B882" s="6">
        <v>3.0657390000000002</v>
      </c>
      <c r="C882" s="6">
        <f t="shared" si="91"/>
        <v>3.0227390000000001</v>
      </c>
      <c r="D882" s="6">
        <f t="shared" si="92"/>
        <v>725.45735999999999</v>
      </c>
      <c r="E882" s="6">
        <f t="shared" si="96"/>
        <v>-2329.1459049999989</v>
      </c>
      <c r="F882" s="6">
        <f t="shared" si="97"/>
        <v>3.0450000000004085E-4</v>
      </c>
      <c r="G882" s="6">
        <f t="shared" si="93"/>
        <v>1432.6803453365574</v>
      </c>
      <c r="H882" s="7">
        <f t="shared" si="94"/>
        <v>-4.327654308914133E-12</v>
      </c>
      <c r="I882" s="8" t="str">
        <f t="shared" si="95"/>
        <v/>
      </c>
    </row>
    <row r="883" spans="1:9" x14ac:dyDescent="0.2">
      <c r="A883" s="5">
        <v>238</v>
      </c>
      <c r="B883" s="6">
        <v>3.0645069999999999</v>
      </c>
      <c r="C883" s="6">
        <f t="shared" si="91"/>
        <v>3.0215069999999997</v>
      </c>
      <c r="D883" s="6">
        <f t="shared" si="92"/>
        <v>719.11866599999996</v>
      </c>
      <c r="E883" s="6">
        <f t="shared" si="96"/>
        <v>-2335.1901509999989</v>
      </c>
      <c r="F883" s="6">
        <f t="shared" si="97"/>
        <v>9.0575000000003847E-4</v>
      </c>
      <c r="G883" s="6">
        <f t="shared" si="93"/>
        <v>1433.0469564081561</v>
      </c>
      <c r="H883" s="7">
        <f t="shared" si="94"/>
        <v>-1.4552668437383992E-12</v>
      </c>
      <c r="I883" s="8" t="str">
        <f t="shared" si="95"/>
        <v/>
      </c>
    </row>
    <row r="884" spans="1:9" x14ac:dyDescent="0.2">
      <c r="A884" s="5">
        <v>236</v>
      </c>
      <c r="B884" s="6">
        <v>3.0621160000000001</v>
      </c>
      <c r="C884" s="6">
        <f t="shared" si="91"/>
        <v>3.0191159999999999</v>
      </c>
      <c r="D884" s="6">
        <f t="shared" si="92"/>
        <v>712.51137599999993</v>
      </c>
      <c r="E884" s="6">
        <f t="shared" si="96"/>
        <v>-2341.2307739999987</v>
      </c>
      <c r="F884" s="6">
        <f t="shared" si="97"/>
        <v>6.9924999999992909E-4</v>
      </c>
      <c r="G884" s="6">
        <f t="shared" si="93"/>
        <v>1433.7632376550655</v>
      </c>
      <c r="H884" s="7">
        <f t="shared" si="94"/>
        <v>-1.885973221144397E-12</v>
      </c>
      <c r="I884" s="8" t="str">
        <f t="shared" si="95"/>
        <v/>
      </c>
    </row>
    <row r="885" spans="1:9" x14ac:dyDescent="0.2">
      <c r="A885" s="5">
        <v>234</v>
      </c>
      <c r="B885" s="6">
        <v>3.0617100000000002</v>
      </c>
      <c r="C885" s="6">
        <f t="shared" si="91"/>
        <v>3.01871</v>
      </c>
      <c r="D885" s="6">
        <f t="shared" si="92"/>
        <v>706.37814000000003</v>
      </c>
      <c r="E885" s="6">
        <f t="shared" si="96"/>
        <v>-2347.268599999999</v>
      </c>
      <c r="F885" s="6">
        <f t="shared" si="97"/>
        <v>1.6300000000002424E-4</v>
      </c>
      <c r="G885" s="6">
        <f t="shared" si="93"/>
        <v>1433.885676667297</v>
      </c>
      <c r="H885" s="7">
        <f t="shared" si="94"/>
        <v>-8.0912846230034482E-12</v>
      </c>
      <c r="I885" s="8" t="str">
        <f t="shared" si="95"/>
        <v/>
      </c>
    </row>
    <row r="886" spans="1:9" x14ac:dyDescent="0.2">
      <c r="A886" s="5">
        <v>232</v>
      </c>
      <c r="B886" s="6">
        <v>3.061464</v>
      </c>
      <c r="C886" s="6">
        <f t="shared" si="91"/>
        <v>3.0184639999999998</v>
      </c>
      <c r="D886" s="6">
        <f t="shared" si="92"/>
        <v>700.28364799999997</v>
      </c>
      <c r="E886" s="6">
        <f t="shared" si="96"/>
        <v>-2353.305773999999</v>
      </c>
      <c r="F886" s="6">
        <f t="shared" si="97"/>
        <v>1.340000000000785E-4</v>
      </c>
      <c r="G886" s="6">
        <f t="shared" si="93"/>
        <v>1433.9603558520485</v>
      </c>
      <c r="H886" s="7">
        <f t="shared" si="94"/>
        <v>-9.8428961418844533E-12</v>
      </c>
      <c r="I886" s="8" t="str">
        <f t="shared" si="95"/>
        <v/>
      </c>
    </row>
    <row r="887" spans="1:9" x14ac:dyDescent="0.2">
      <c r="A887" s="5">
        <v>230</v>
      </c>
      <c r="B887" s="6">
        <v>3.0611739999999998</v>
      </c>
      <c r="C887" s="6">
        <f t="shared" si="91"/>
        <v>3.0181739999999997</v>
      </c>
      <c r="D887" s="6">
        <f t="shared" si="92"/>
        <v>694.1800199999999</v>
      </c>
      <c r="E887" s="6">
        <f t="shared" si="96"/>
        <v>-2359.3424119999991</v>
      </c>
      <c r="F887" s="6">
        <f t="shared" si="97"/>
        <v>1.2674999999995329E-4</v>
      </c>
      <c r="G887" s="6">
        <f t="shared" si="93"/>
        <v>1434.0489722893567</v>
      </c>
      <c r="H887" s="7">
        <f t="shared" si="94"/>
        <v>-1.040654510357486E-11</v>
      </c>
      <c r="I887" s="8" t="str">
        <f t="shared" si="95"/>
        <v/>
      </c>
    </row>
    <row r="888" spans="1:9" x14ac:dyDescent="0.2">
      <c r="A888" s="5">
        <v>228</v>
      </c>
      <c r="B888" s="6">
        <v>3.0609570000000001</v>
      </c>
      <c r="C888" s="6">
        <f t="shared" si="91"/>
        <v>3.017957</v>
      </c>
      <c r="D888" s="6">
        <f t="shared" si="92"/>
        <v>688.09419600000001</v>
      </c>
      <c r="E888" s="6">
        <f t="shared" si="96"/>
        <v>-2365.3785429999989</v>
      </c>
      <c r="F888" s="6">
        <f t="shared" si="97"/>
        <v>5.4249999999922416E-5</v>
      </c>
      <c r="G888" s="6">
        <f t="shared" si="93"/>
        <v>1434.1157158303765</v>
      </c>
      <c r="H888" s="7">
        <f t="shared" si="94"/>
        <v>-2.4315041146282461E-11</v>
      </c>
      <c r="I888" s="8" t="str">
        <f t="shared" si="95"/>
        <v/>
      </c>
    </row>
    <row r="889" spans="1:9" x14ac:dyDescent="0.2">
      <c r="A889" s="5">
        <v>226</v>
      </c>
      <c r="B889" s="6">
        <v>3.0609570000000001</v>
      </c>
      <c r="C889" s="6">
        <f t="shared" si="91"/>
        <v>3.017957</v>
      </c>
      <c r="D889" s="6">
        <f t="shared" si="92"/>
        <v>682.05828199999996</v>
      </c>
      <c r="E889" s="6">
        <f t="shared" si="96"/>
        <v>-2371.4144569999989</v>
      </c>
      <c r="F889" s="6">
        <f t="shared" si="97"/>
        <v>3.7500000000800782E-6</v>
      </c>
      <c r="G889" s="6">
        <f t="shared" si="93"/>
        <v>1434.1157158303768</v>
      </c>
      <c r="H889" s="7">
        <f t="shared" si="94"/>
        <v>-3.5175759524153847E-10</v>
      </c>
      <c r="I889" s="8" t="str">
        <f t="shared" si="95"/>
        <v/>
      </c>
    </row>
    <row r="890" spans="1:9" x14ac:dyDescent="0.2">
      <c r="A890" s="5">
        <v>224</v>
      </c>
      <c r="B890" s="6">
        <v>3.0609419999999998</v>
      </c>
      <c r="C890" s="6">
        <f t="shared" si="91"/>
        <v>3.0179419999999997</v>
      </c>
      <c r="D890" s="6">
        <f t="shared" si="92"/>
        <v>676.01900799999999</v>
      </c>
      <c r="E890" s="6">
        <f t="shared" si="96"/>
        <v>-2377.4503559999989</v>
      </c>
      <c r="F890" s="6">
        <f t="shared" si="97"/>
        <v>2.1750000000009262E-4</v>
      </c>
      <c r="G890" s="6">
        <f t="shared" si="93"/>
        <v>1434.1203894392029</v>
      </c>
      <c r="H890" s="7">
        <f t="shared" si="94"/>
        <v>-6.0648058893819501E-12</v>
      </c>
      <c r="I890" s="8" t="str">
        <f t="shared" si="95"/>
        <v/>
      </c>
    </row>
    <row r="891" spans="1:9" x14ac:dyDescent="0.2">
      <c r="A891" s="5">
        <v>222</v>
      </c>
      <c r="B891" s="6">
        <v>3.0600869999999998</v>
      </c>
      <c r="C891" s="6">
        <f t="shared" si="91"/>
        <v>3.0170869999999996</v>
      </c>
      <c r="D891" s="6">
        <f t="shared" si="92"/>
        <v>669.7933139999999</v>
      </c>
      <c r="E891" s="6">
        <f t="shared" si="96"/>
        <v>-2383.485384999999</v>
      </c>
      <c r="F891" s="6">
        <f t="shared" si="97"/>
        <v>5.8000000000002494E-5</v>
      </c>
      <c r="G891" s="6">
        <f t="shared" si="93"/>
        <v>1434.3884951423013</v>
      </c>
      <c r="H891" s="7">
        <f t="shared" si="94"/>
        <v>-2.2747273843949653E-11</v>
      </c>
      <c r="I891" s="8" t="str">
        <f t="shared" si="95"/>
        <v/>
      </c>
    </row>
    <row r="892" spans="1:9" x14ac:dyDescent="0.2">
      <c r="A892" s="5">
        <v>220</v>
      </c>
      <c r="B892" s="6">
        <v>3.0607099999999998</v>
      </c>
      <c r="C892" s="6">
        <f t="shared" si="91"/>
        <v>3.0177099999999997</v>
      </c>
      <c r="D892" s="6">
        <f t="shared" si="92"/>
        <v>663.89619999999991</v>
      </c>
      <c r="E892" s="6">
        <f t="shared" si="96"/>
        <v>-2389.5201819999988</v>
      </c>
      <c r="F892" s="6">
        <f t="shared" si="97"/>
        <v>-6.3400000000002343E-4</v>
      </c>
      <c r="G892" s="6">
        <f t="shared" si="93"/>
        <v>1434.1918925890495</v>
      </c>
      <c r="H892" s="7">
        <f t="shared" si="94"/>
        <v>2.0806956610518561E-12</v>
      </c>
      <c r="I892" s="8" t="str">
        <f t="shared" si="95"/>
        <v/>
      </c>
    </row>
    <row r="893" spans="1:9" x14ac:dyDescent="0.2">
      <c r="A893" s="5">
        <v>218</v>
      </c>
      <c r="B893" s="6">
        <v>3.0626229999999999</v>
      </c>
      <c r="C893" s="6">
        <f t="shared" si="91"/>
        <v>3.0196229999999997</v>
      </c>
      <c r="D893" s="6">
        <f t="shared" si="92"/>
        <v>658.27781399999992</v>
      </c>
      <c r="E893" s="6">
        <f t="shared" si="96"/>
        <v>-2395.5575149999991</v>
      </c>
      <c r="F893" s="6">
        <f t="shared" si="97"/>
        <v>-2.5725000000009768E-4</v>
      </c>
      <c r="G893" s="6">
        <f t="shared" si="93"/>
        <v>1433.5843736767374</v>
      </c>
      <c r="H893" s="7">
        <f t="shared" si="94"/>
        <v>5.1257619314929337E-12</v>
      </c>
      <c r="I893" s="8" t="str">
        <f t="shared" si="95"/>
        <v/>
      </c>
    </row>
    <row r="894" spans="1:9" x14ac:dyDescent="0.2">
      <c r="A894" s="5">
        <v>216</v>
      </c>
      <c r="B894" s="6">
        <v>3.0617390000000002</v>
      </c>
      <c r="C894" s="6">
        <f t="shared" si="91"/>
        <v>3.0187390000000001</v>
      </c>
      <c r="D894" s="6">
        <f t="shared" si="92"/>
        <v>652.04762400000004</v>
      </c>
      <c r="E894" s="6">
        <f t="shared" si="96"/>
        <v>-2401.5958769999988</v>
      </c>
      <c r="F894" s="6">
        <f t="shared" si="97"/>
        <v>5.217499999999875E-4</v>
      </c>
      <c r="G894" s="6">
        <f t="shared" si="93"/>
        <v>1433.8668770235663</v>
      </c>
      <c r="H894" s="7">
        <f t="shared" si="94"/>
        <v>-2.5277663665566276E-12</v>
      </c>
      <c r="I894" s="8" t="str">
        <f t="shared" si="95"/>
        <v/>
      </c>
    </row>
    <row r="895" spans="1:9" x14ac:dyDescent="0.2">
      <c r="A895" s="5">
        <v>214</v>
      </c>
      <c r="B895" s="6">
        <v>3.0605359999999999</v>
      </c>
      <c r="C895" s="6">
        <f t="shared" si="91"/>
        <v>3.0175359999999998</v>
      </c>
      <c r="D895" s="6">
        <f t="shared" si="92"/>
        <v>645.75270399999999</v>
      </c>
      <c r="E895" s="6">
        <f t="shared" si="96"/>
        <v>-2407.6321519999988</v>
      </c>
      <c r="F895" s="6">
        <f t="shared" si="97"/>
        <v>7.3550000000000004E-4</v>
      </c>
      <c r="G895" s="6">
        <f t="shared" si="93"/>
        <v>1434.2537304514342</v>
      </c>
      <c r="H895" s="7">
        <f t="shared" si="94"/>
        <v>-1.7936341634257331E-12</v>
      </c>
      <c r="I895" s="8" t="str">
        <f t="shared" si="95"/>
        <v/>
      </c>
    </row>
    <row r="896" spans="1:9" x14ac:dyDescent="0.2">
      <c r="A896" s="5">
        <v>212</v>
      </c>
      <c r="B896" s="6">
        <v>3.0587970000000002</v>
      </c>
      <c r="C896" s="6">
        <f t="shared" si="91"/>
        <v>3.0157970000000001</v>
      </c>
      <c r="D896" s="6">
        <f t="shared" si="92"/>
        <v>639.34896400000002</v>
      </c>
      <c r="E896" s="6">
        <f t="shared" si="96"/>
        <v>-2413.6654849999986</v>
      </c>
      <c r="F896" s="6">
        <f t="shared" si="97"/>
        <v>-7.9750000000045063E-5</v>
      </c>
      <c r="G896" s="6">
        <f t="shared" si="93"/>
        <v>1434.8164255013612</v>
      </c>
      <c r="H896" s="7">
        <f t="shared" si="94"/>
        <v>1.6548407407029308E-11</v>
      </c>
      <c r="I896" s="8" t="str">
        <f t="shared" si="95"/>
        <v/>
      </c>
    </row>
    <row r="897" spans="1:9" x14ac:dyDescent="0.2">
      <c r="A897" s="5">
        <v>210</v>
      </c>
      <c r="B897" s="6">
        <v>3.0608550000000001</v>
      </c>
      <c r="C897" s="6">
        <f t="shared" si="91"/>
        <v>3.017855</v>
      </c>
      <c r="D897" s="6">
        <f t="shared" si="92"/>
        <v>633.74955</v>
      </c>
      <c r="E897" s="6">
        <f t="shared" si="96"/>
        <v>-2419.6991369999987</v>
      </c>
      <c r="F897" s="6">
        <f t="shared" si="97"/>
        <v>-3.8049999999989481E-4</v>
      </c>
      <c r="G897" s="6">
        <f t="shared" si="93"/>
        <v>1434.1463943703952</v>
      </c>
      <c r="H897" s="7">
        <f t="shared" si="94"/>
        <v>3.4668047309337749E-12</v>
      </c>
      <c r="I897" s="8" t="str">
        <f t="shared" si="95"/>
        <v/>
      </c>
    </row>
    <row r="898" spans="1:9" x14ac:dyDescent="0.2">
      <c r="A898" s="5">
        <v>208</v>
      </c>
      <c r="B898" s="6">
        <v>3.0603189999999998</v>
      </c>
      <c r="C898" s="6">
        <f t="shared" ref="C898:C961" si="98">B898-$B$2</f>
        <v>3.0173189999999996</v>
      </c>
      <c r="D898" s="6">
        <f t="shared" ref="D898:D961" si="99">A898*C898</f>
        <v>627.60235199999988</v>
      </c>
      <c r="E898" s="6">
        <f t="shared" si="96"/>
        <v>-2425.7343109999988</v>
      </c>
      <c r="F898" s="6">
        <f t="shared" si="97"/>
        <v>-2.0299999999995322E-4</v>
      </c>
      <c r="G898" s="6">
        <f t="shared" ref="G898:G961" si="100">(A898-$L$5)*C898-E898</f>
        <v>1434.3219739924543</v>
      </c>
      <c r="H898" s="7">
        <f t="shared" ref="H898:H961" si="101">IF(ABS(F898)&lt;0.000000001,"",-(G898)/(2*$L$4*F898)*0.000000000001)</f>
        <v>6.498919690626551E-12</v>
      </c>
      <c r="I898" s="8" t="str">
        <f t="shared" ref="I898:I961" si="102">IF(AND(B898&gt;=0.5,B898&lt;=2.5,ISNUMBER(H898),H898&gt;0),H898,"")</f>
        <v/>
      </c>
    </row>
    <row r="899" spans="1:9" x14ac:dyDescent="0.2">
      <c r="A899" s="5">
        <v>206</v>
      </c>
      <c r="B899" s="6">
        <v>3.0616669999999999</v>
      </c>
      <c r="C899" s="6">
        <f t="shared" si="98"/>
        <v>3.0186669999999998</v>
      </c>
      <c r="D899" s="6">
        <f t="shared" si="99"/>
        <v>621.84540199999992</v>
      </c>
      <c r="E899" s="6">
        <f t="shared" ref="E899:E962" si="103">E898+(C898+C899)/2*(A899-A898)</f>
        <v>-2431.7702969999987</v>
      </c>
      <c r="F899" s="6">
        <f t="shared" ref="F899:F962" si="104">(B900-B898)/(A900-A898)</f>
        <v>-3.7325000000010267E-4</v>
      </c>
      <c r="G899" s="6">
        <f t="shared" si="100"/>
        <v>1433.8777083459322</v>
      </c>
      <c r="H899" s="7">
        <f t="shared" si="101"/>
        <v>3.5334817530756427E-12</v>
      </c>
      <c r="I899" s="8" t="str">
        <f t="shared" si="102"/>
        <v/>
      </c>
    </row>
    <row r="900" spans="1:9" x14ac:dyDescent="0.2">
      <c r="A900" s="5">
        <v>204</v>
      </c>
      <c r="B900" s="6">
        <v>3.0618120000000002</v>
      </c>
      <c r="C900" s="6">
        <f t="shared" si="98"/>
        <v>3.0188120000000001</v>
      </c>
      <c r="D900" s="6">
        <f t="shared" si="99"/>
        <v>615.83764800000006</v>
      </c>
      <c r="E900" s="6">
        <f t="shared" si="103"/>
        <v>-2437.8077759999987</v>
      </c>
      <c r="F900" s="6">
        <f t="shared" si="104"/>
        <v>-1.9199999999996997E-4</v>
      </c>
      <c r="G900" s="6">
        <f t="shared" si="100"/>
        <v>1433.8296301272781</v>
      </c>
      <c r="H900" s="7">
        <f t="shared" si="101"/>
        <v>6.8688950118782876E-12</v>
      </c>
      <c r="I900" s="8" t="str">
        <f t="shared" si="102"/>
        <v/>
      </c>
    </row>
    <row r="901" spans="1:9" x14ac:dyDescent="0.2">
      <c r="A901" s="5">
        <v>202</v>
      </c>
      <c r="B901" s="6">
        <v>3.0624349999999998</v>
      </c>
      <c r="C901" s="6">
        <f t="shared" si="98"/>
        <v>3.0194349999999996</v>
      </c>
      <c r="D901" s="6">
        <f t="shared" si="99"/>
        <v>609.92586999999992</v>
      </c>
      <c r="E901" s="6">
        <f t="shared" si="103"/>
        <v>-2443.8460229999987</v>
      </c>
      <c r="F901" s="6">
        <f t="shared" si="104"/>
        <v>-8.6224999999995333E-4</v>
      </c>
      <c r="G901" s="6">
        <f t="shared" si="100"/>
        <v>1433.6218135740266</v>
      </c>
      <c r="H901" s="7">
        <f t="shared" si="101"/>
        <v>1.5292974124311387E-12</v>
      </c>
      <c r="I901" s="8" t="str">
        <f t="shared" si="102"/>
        <v/>
      </c>
    </row>
    <row r="902" spans="1:9" x14ac:dyDescent="0.2">
      <c r="A902" s="5">
        <v>200</v>
      </c>
      <c r="B902" s="6">
        <v>3.065261</v>
      </c>
      <c r="C902" s="6">
        <f t="shared" si="98"/>
        <v>3.0222609999999999</v>
      </c>
      <c r="D902" s="6">
        <f t="shared" si="99"/>
        <v>604.45219999999995</v>
      </c>
      <c r="E902" s="6">
        <f t="shared" si="103"/>
        <v>-2449.8877189999985</v>
      </c>
      <c r="F902" s="6">
        <f t="shared" si="104"/>
        <v>-4.5275000000000176E-4</v>
      </c>
      <c r="G902" s="6">
        <f t="shared" si="100"/>
        <v>1432.6734816711546</v>
      </c>
      <c r="H902" s="7">
        <f t="shared" si="101"/>
        <v>2.9105785177393752E-12</v>
      </c>
      <c r="I902" s="8" t="str">
        <f t="shared" si="102"/>
        <v/>
      </c>
    </row>
    <row r="903" spans="1:9" x14ac:dyDescent="0.2">
      <c r="A903" s="5">
        <v>198</v>
      </c>
      <c r="B903" s="6">
        <v>3.0642459999999998</v>
      </c>
      <c r="C903" s="6">
        <f t="shared" si="98"/>
        <v>3.0212459999999997</v>
      </c>
      <c r="D903" s="6">
        <f t="shared" si="99"/>
        <v>598.20670799999994</v>
      </c>
      <c r="E903" s="6">
        <f t="shared" si="103"/>
        <v>-2455.9312259999983</v>
      </c>
      <c r="F903" s="6">
        <f t="shared" si="104"/>
        <v>-2.2100000000002673E-4</v>
      </c>
      <c r="G903" s="6">
        <f t="shared" si="100"/>
        <v>1433.0161192017331</v>
      </c>
      <c r="H903" s="7">
        <f t="shared" si="101"/>
        <v>5.9641609947490987E-12</v>
      </c>
      <c r="I903" s="8" t="str">
        <f t="shared" si="102"/>
        <v/>
      </c>
    </row>
    <row r="904" spans="1:9" x14ac:dyDescent="0.2">
      <c r="A904" s="5">
        <v>196</v>
      </c>
      <c r="B904" s="6">
        <v>3.0661450000000001</v>
      </c>
      <c r="C904" s="6">
        <f t="shared" si="98"/>
        <v>3.023145</v>
      </c>
      <c r="D904" s="6">
        <f t="shared" si="99"/>
        <v>592.53642000000002</v>
      </c>
      <c r="E904" s="6">
        <f t="shared" si="103"/>
        <v>-2461.9756169999982</v>
      </c>
      <c r="F904" s="6">
        <f t="shared" si="104"/>
        <v>-6.5600000000010095E-4</v>
      </c>
      <c r="G904" s="6">
        <f t="shared" si="100"/>
        <v>1432.3712683243252</v>
      </c>
      <c r="H904" s="7">
        <f t="shared" si="101"/>
        <v>2.0083634906911587E-12</v>
      </c>
      <c r="I904" s="8" t="str">
        <f t="shared" si="102"/>
        <v/>
      </c>
    </row>
    <row r="905" spans="1:9" x14ac:dyDescent="0.2">
      <c r="A905" s="5">
        <v>194</v>
      </c>
      <c r="B905" s="6">
        <v>3.0668700000000002</v>
      </c>
      <c r="C905" s="6">
        <f t="shared" si="98"/>
        <v>3.0238700000000001</v>
      </c>
      <c r="D905" s="6">
        <f t="shared" si="99"/>
        <v>586.63077999999996</v>
      </c>
      <c r="E905" s="6">
        <f t="shared" si="103"/>
        <v>-2468.0226319999983</v>
      </c>
      <c r="F905" s="6">
        <f t="shared" si="104"/>
        <v>-6.0149999999992154E-4</v>
      </c>
      <c r="G905" s="6">
        <f t="shared" si="100"/>
        <v>1432.123627231055</v>
      </c>
      <c r="H905" s="7">
        <f t="shared" si="101"/>
        <v>2.1899562279474876E-12</v>
      </c>
      <c r="I905" s="8" t="str">
        <f t="shared" si="102"/>
        <v/>
      </c>
    </row>
    <row r="906" spans="1:9" x14ac:dyDescent="0.2">
      <c r="A906" s="5">
        <v>192</v>
      </c>
      <c r="B906" s="6">
        <v>3.0685509999999998</v>
      </c>
      <c r="C906" s="6">
        <f t="shared" si="98"/>
        <v>3.0255509999999997</v>
      </c>
      <c r="D906" s="6">
        <f t="shared" si="99"/>
        <v>580.90579199999991</v>
      </c>
      <c r="E906" s="6">
        <f t="shared" si="103"/>
        <v>-2474.0720529999985</v>
      </c>
      <c r="F906" s="6">
        <f t="shared" si="104"/>
        <v>-2.3549999999994409E-4</v>
      </c>
      <c r="G906" s="6">
        <f t="shared" si="100"/>
        <v>1431.5460794685898</v>
      </c>
      <c r="H906" s="7">
        <f t="shared" si="101"/>
        <v>5.5911993467663469E-12</v>
      </c>
      <c r="I906" s="8" t="str">
        <f t="shared" si="102"/>
        <v/>
      </c>
    </row>
    <row r="907" spans="1:9" x14ac:dyDescent="0.2">
      <c r="A907" s="5">
        <v>190</v>
      </c>
      <c r="B907" s="6">
        <v>3.067812</v>
      </c>
      <c r="C907" s="6">
        <f t="shared" si="98"/>
        <v>3.0248119999999998</v>
      </c>
      <c r="D907" s="6">
        <f t="shared" si="99"/>
        <v>574.71427999999992</v>
      </c>
      <c r="E907" s="6">
        <f t="shared" si="103"/>
        <v>-2480.1224159999983</v>
      </c>
      <c r="F907" s="6">
        <f t="shared" si="104"/>
        <v>2.282499999999299E-4</v>
      </c>
      <c r="G907" s="6">
        <f t="shared" si="100"/>
        <v>1431.8014585967644</v>
      </c>
      <c r="H907" s="7">
        <f t="shared" si="101"/>
        <v>-5.7698240628466271E-12</v>
      </c>
      <c r="I907" s="8" t="str">
        <f t="shared" si="102"/>
        <v/>
      </c>
    </row>
    <row r="908" spans="1:9" x14ac:dyDescent="0.2">
      <c r="A908" s="5">
        <v>188</v>
      </c>
      <c r="B908" s="6">
        <v>3.0676380000000001</v>
      </c>
      <c r="C908" s="6">
        <f t="shared" si="98"/>
        <v>3.0246379999999999</v>
      </c>
      <c r="D908" s="6">
        <f t="shared" si="99"/>
        <v>568.63194399999998</v>
      </c>
      <c r="E908" s="6">
        <f t="shared" si="103"/>
        <v>-2486.1718659999983</v>
      </c>
      <c r="F908" s="6">
        <f t="shared" si="104"/>
        <v>7.6249999999999929E-5</v>
      </c>
      <c r="G908" s="6">
        <f t="shared" si="100"/>
        <v>1431.8619364591493</v>
      </c>
      <c r="H908" s="7">
        <f t="shared" si="101"/>
        <v>-1.7272366813340942E-11</v>
      </c>
      <c r="I908" s="8" t="str">
        <f t="shared" si="102"/>
        <v/>
      </c>
    </row>
    <row r="909" spans="1:9" x14ac:dyDescent="0.2">
      <c r="A909" s="5">
        <v>186</v>
      </c>
      <c r="B909" s="6">
        <v>3.067507</v>
      </c>
      <c r="C909" s="6">
        <f t="shared" si="98"/>
        <v>3.0245069999999998</v>
      </c>
      <c r="D909" s="6">
        <f t="shared" si="99"/>
        <v>562.55830199999991</v>
      </c>
      <c r="E909" s="6">
        <f t="shared" si="103"/>
        <v>-2492.2210109999983</v>
      </c>
      <c r="F909" s="6">
        <f t="shared" si="104"/>
        <v>5.9425000000001837E-4</v>
      </c>
      <c r="G909" s="6">
        <f t="shared" si="100"/>
        <v>1431.9077306428987</v>
      </c>
      <c r="H909" s="7">
        <f t="shared" si="101"/>
        <v>-2.2163400769559989E-12</v>
      </c>
      <c r="I909" s="8" t="str">
        <f t="shared" si="102"/>
        <v/>
      </c>
    </row>
    <row r="910" spans="1:9" x14ac:dyDescent="0.2">
      <c r="A910" s="5">
        <v>184</v>
      </c>
      <c r="B910" s="6">
        <v>3.065261</v>
      </c>
      <c r="C910" s="6">
        <f t="shared" si="98"/>
        <v>3.0222609999999999</v>
      </c>
      <c r="D910" s="6">
        <f t="shared" si="99"/>
        <v>556.09602399999994</v>
      </c>
      <c r="E910" s="6">
        <f t="shared" si="103"/>
        <v>-2498.2677789999984</v>
      </c>
      <c r="F910" s="6">
        <f t="shared" si="104"/>
        <v>2.1000000000004349E-4</v>
      </c>
      <c r="G910" s="6">
        <f t="shared" si="100"/>
        <v>1432.6973656711546</v>
      </c>
      <c r="H910" s="7">
        <f t="shared" si="101"/>
        <v>-6.2751732965015322E-12</v>
      </c>
      <c r="I910" s="8" t="str">
        <f t="shared" si="102"/>
        <v/>
      </c>
    </row>
    <row r="911" spans="1:9" x14ac:dyDescent="0.2">
      <c r="A911" s="5">
        <v>182</v>
      </c>
      <c r="B911" s="6">
        <v>3.0666669999999998</v>
      </c>
      <c r="C911" s="6">
        <f t="shared" si="98"/>
        <v>3.0236669999999997</v>
      </c>
      <c r="D911" s="6">
        <f t="shared" si="99"/>
        <v>550.30739399999993</v>
      </c>
      <c r="E911" s="6">
        <f t="shared" si="103"/>
        <v>-2504.3137069999984</v>
      </c>
      <c r="F911" s="6">
        <f t="shared" si="104"/>
        <v>-2.0649999999999835E-4</v>
      </c>
      <c r="G911" s="6">
        <f t="shared" si="100"/>
        <v>1432.2002407371708</v>
      </c>
      <c r="H911" s="7">
        <f t="shared" si="101"/>
        <v>6.3793178680431157E-12</v>
      </c>
      <c r="I911" s="8" t="str">
        <f t="shared" si="102"/>
        <v/>
      </c>
    </row>
    <row r="912" spans="1:9" x14ac:dyDescent="0.2">
      <c r="A912" s="5">
        <v>180</v>
      </c>
      <c r="B912" s="6">
        <v>3.066087</v>
      </c>
      <c r="C912" s="6">
        <f t="shared" si="98"/>
        <v>3.0230869999999999</v>
      </c>
      <c r="D912" s="6">
        <f t="shared" si="99"/>
        <v>544.15566000000001</v>
      </c>
      <c r="E912" s="6">
        <f t="shared" si="103"/>
        <v>-2510.3604609999984</v>
      </c>
      <c r="F912" s="6">
        <f t="shared" si="104"/>
        <v>6.8849999999998079E-4</v>
      </c>
      <c r="G912" s="6">
        <f t="shared" si="100"/>
        <v>1432.4064736117871</v>
      </c>
      <c r="H912" s="7">
        <f t="shared" si="101"/>
        <v>-1.9136075984090399E-12</v>
      </c>
      <c r="I912" s="8" t="str">
        <f t="shared" si="102"/>
        <v/>
      </c>
    </row>
    <row r="913" spans="1:9" x14ac:dyDescent="0.2">
      <c r="A913" s="5">
        <v>178</v>
      </c>
      <c r="B913" s="6">
        <v>3.0639129999999999</v>
      </c>
      <c r="C913" s="6">
        <f t="shared" si="98"/>
        <v>3.0209129999999997</v>
      </c>
      <c r="D913" s="6">
        <f t="shared" si="99"/>
        <v>537.72251399999993</v>
      </c>
      <c r="E913" s="6">
        <f t="shared" si="103"/>
        <v>-2516.4044609999983</v>
      </c>
      <c r="F913" s="6">
        <f t="shared" si="104"/>
        <v>2.3925000000002417E-4</v>
      </c>
      <c r="G913" s="6">
        <f t="shared" si="100"/>
        <v>1433.1838393176763</v>
      </c>
      <c r="H913" s="7">
        <f t="shared" si="101"/>
        <v>-5.509859342905848E-12</v>
      </c>
      <c r="I913" s="8" t="str">
        <f t="shared" si="102"/>
        <v/>
      </c>
    </row>
    <row r="914" spans="1:9" x14ac:dyDescent="0.2">
      <c r="A914" s="5">
        <v>176</v>
      </c>
      <c r="B914" s="6">
        <v>3.0651299999999999</v>
      </c>
      <c r="C914" s="6">
        <f t="shared" si="98"/>
        <v>3.0221299999999998</v>
      </c>
      <c r="D914" s="6">
        <f t="shared" si="99"/>
        <v>531.89487999999994</v>
      </c>
      <c r="E914" s="6">
        <f t="shared" si="103"/>
        <v>-2522.4475039999984</v>
      </c>
      <c r="F914" s="6">
        <f t="shared" si="104"/>
        <v>-3.7500000000800782E-6</v>
      </c>
      <c r="G914" s="6">
        <f t="shared" si="100"/>
        <v>1432.7462378549039</v>
      </c>
      <c r="H914" s="7">
        <f t="shared" si="101"/>
        <v>3.5142169188724766E-10</v>
      </c>
      <c r="I914" s="8" t="str">
        <f t="shared" si="102"/>
        <v/>
      </c>
    </row>
    <row r="915" spans="1:9" x14ac:dyDescent="0.2">
      <c r="A915" s="5">
        <v>174</v>
      </c>
      <c r="B915" s="6">
        <v>3.0639280000000002</v>
      </c>
      <c r="C915" s="6">
        <f t="shared" si="98"/>
        <v>3.0209280000000001</v>
      </c>
      <c r="D915" s="6">
        <f t="shared" si="99"/>
        <v>525.64147200000002</v>
      </c>
      <c r="E915" s="6">
        <f t="shared" si="103"/>
        <v>-2528.4905619999986</v>
      </c>
      <c r="F915" s="6">
        <f t="shared" si="104"/>
        <v>2.4999999999997247E-4</v>
      </c>
      <c r="G915" s="6">
        <f t="shared" si="100"/>
        <v>1433.1808497088502</v>
      </c>
      <c r="H915" s="7">
        <f t="shared" si="101"/>
        <v>-5.2729243918653716E-12</v>
      </c>
      <c r="I915" s="8" t="str">
        <f t="shared" si="102"/>
        <v/>
      </c>
    </row>
    <row r="916" spans="1:9" x14ac:dyDescent="0.2">
      <c r="A916" s="5">
        <v>172</v>
      </c>
      <c r="B916" s="6">
        <v>3.06413</v>
      </c>
      <c r="C916" s="6">
        <f t="shared" si="98"/>
        <v>3.0211299999999999</v>
      </c>
      <c r="D916" s="6">
        <f t="shared" si="99"/>
        <v>519.63436000000002</v>
      </c>
      <c r="E916" s="6">
        <f t="shared" si="103"/>
        <v>-2534.5326199999986</v>
      </c>
      <c r="F916" s="6">
        <f t="shared" si="104"/>
        <v>-1.194999999999391E-4</v>
      </c>
      <c r="G916" s="6">
        <f t="shared" si="100"/>
        <v>1433.1074077766564</v>
      </c>
      <c r="H916" s="7">
        <f t="shared" si="101"/>
        <v>1.103065729306088E-11</v>
      </c>
      <c r="I916" s="8" t="str">
        <f t="shared" si="102"/>
        <v/>
      </c>
    </row>
    <row r="917" spans="1:9" x14ac:dyDescent="0.2">
      <c r="A917" s="5">
        <v>170</v>
      </c>
      <c r="B917" s="6">
        <v>3.064406</v>
      </c>
      <c r="C917" s="6">
        <f t="shared" si="98"/>
        <v>3.0214059999999998</v>
      </c>
      <c r="D917" s="6">
        <f t="shared" si="99"/>
        <v>513.63901999999996</v>
      </c>
      <c r="E917" s="6">
        <f t="shared" si="103"/>
        <v>-2540.5751559999985</v>
      </c>
      <c r="F917" s="6">
        <f t="shared" si="104"/>
        <v>4.2750000000002508E-4</v>
      </c>
      <c r="G917" s="6">
        <f t="shared" si="100"/>
        <v>1433.0065093742528</v>
      </c>
      <c r="H917" s="7">
        <f t="shared" si="101"/>
        <v>-3.0832064111773124E-12</v>
      </c>
      <c r="I917" s="8" t="str">
        <f t="shared" si="102"/>
        <v/>
      </c>
    </row>
    <row r="918" spans="1:9" x14ac:dyDescent="0.2">
      <c r="A918" s="5">
        <v>168</v>
      </c>
      <c r="B918" s="6">
        <v>3.0624199999999999</v>
      </c>
      <c r="C918" s="6">
        <f t="shared" si="98"/>
        <v>3.0194199999999998</v>
      </c>
      <c r="D918" s="6">
        <f t="shared" si="99"/>
        <v>507.26255999999995</v>
      </c>
      <c r="E918" s="6">
        <f t="shared" si="103"/>
        <v>-2546.6159819999984</v>
      </c>
      <c r="F918" s="6">
        <f t="shared" si="104"/>
        <v>2.4650000000003836E-4</v>
      </c>
      <c r="G918" s="6">
        <f t="shared" si="100"/>
        <v>1433.7365111828526</v>
      </c>
      <c r="H918" s="7">
        <f t="shared" si="101"/>
        <v>-5.3498669048154274E-12</v>
      </c>
      <c r="I918" s="8" t="str">
        <f t="shared" si="102"/>
        <v/>
      </c>
    </row>
    <row r="919" spans="1:9" x14ac:dyDescent="0.2">
      <c r="A919" s="5">
        <v>166</v>
      </c>
      <c r="B919" s="6">
        <v>3.0634199999999998</v>
      </c>
      <c r="C919" s="6">
        <f t="shared" si="98"/>
        <v>3.0204199999999997</v>
      </c>
      <c r="D919" s="6">
        <f t="shared" si="99"/>
        <v>501.38971999999995</v>
      </c>
      <c r="E919" s="6">
        <f t="shared" si="103"/>
        <v>-2552.6558219999984</v>
      </c>
      <c r="F919" s="6">
        <f t="shared" si="104"/>
        <v>-6.0525000000000162E-4</v>
      </c>
      <c r="G919" s="6">
        <f t="shared" si="100"/>
        <v>1433.3669372611005</v>
      </c>
      <c r="H919" s="7">
        <f t="shared" si="101"/>
        <v>2.1782771750085584E-12</v>
      </c>
      <c r="I919" s="8" t="str">
        <f t="shared" si="102"/>
        <v/>
      </c>
    </row>
    <row r="920" spans="1:9" x14ac:dyDescent="0.2">
      <c r="A920" s="5">
        <v>164</v>
      </c>
      <c r="B920" s="6">
        <v>3.0648409999999999</v>
      </c>
      <c r="C920" s="6">
        <f t="shared" si="98"/>
        <v>3.0218409999999998</v>
      </c>
      <c r="D920" s="6">
        <f t="shared" si="99"/>
        <v>495.58192399999996</v>
      </c>
      <c r="E920" s="6">
        <f t="shared" si="103"/>
        <v>-2558.6980829999984</v>
      </c>
      <c r="F920" s="6">
        <f t="shared" si="104"/>
        <v>-3.8775000000002002E-4</v>
      </c>
      <c r="G920" s="6">
        <f t="shared" si="100"/>
        <v>1432.8389307182904</v>
      </c>
      <c r="H920" s="7">
        <f t="shared" si="101"/>
        <v>3.3988822770901354E-12</v>
      </c>
      <c r="I920" s="8" t="str">
        <f t="shared" si="102"/>
        <v/>
      </c>
    </row>
    <row r="921" spans="1:9" x14ac:dyDescent="0.2">
      <c r="A921" s="5">
        <v>162</v>
      </c>
      <c r="B921" s="6">
        <v>3.0649709999999999</v>
      </c>
      <c r="C921" s="6">
        <f t="shared" si="98"/>
        <v>3.0219709999999997</v>
      </c>
      <c r="D921" s="6">
        <f t="shared" si="99"/>
        <v>489.55930199999995</v>
      </c>
      <c r="E921" s="6">
        <f t="shared" si="103"/>
        <v>-2564.7418949999983</v>
      </c>
      <c r="F921" s="6">
        <f t="shared" si="104"/>
        <v>3.2975000000001753E-4</v>
      </c>
      <c r="G921" s="6">
        <f t="shared" si="100"/>
        <v>1432.7903661084626</v>
      </c>
      <c r="H921" s="7">
        <f t="shared" si="101"/>
        <v>-3.9965790250389996E-12</v>
      </c>
      <c r="I921" s="8" t="str">
        <f t="shared" si="102"/>
        <v/>
      </c>
    </row>
    <row r="922" spans="1:9" x14ac:dyDescent="0.2">
      <c r="A922" s="5">
        <v>160</v>
      </c>
      <c r="B922" s="6">
        <v>3.0635219999999999</v>
      </c>
      <c r="C922" s="6">
        <f t="shared" si="98"/>
        <v>3.0205219999999997</v>
      </c>
      <c r="D922" s="6">
        <f t="shared" si="99"/>
        <v>483.28351999999995</v>
      </c>
      <c r="E922" s="6">
        <f t="shared" si="103"/>
        <v>-2570.7843879999982</v>
      </c>
      <c r="F922" s="6">
        <f t="shared" si="104"/>
        <v>1.594999999999791E-4</v>
      </c>
      <c r="G922" s="6">
        <f t="shared" si="100"/>
        <v>1433.3345727210815</v>
      </c>
      <c r="H922" s="7">
        <f t="shared" si="101"/>
        <v>-8.2656582537020649E-12</v>
      </c>
      <c r="I922" s="8" t="str">
        <f t="shared" si="102"/>
        <v/>
      </c>
    </row>
    <row r="923" spans="1:9" x14ac:dyDescent="0.2">
      <c r="A923" s="5">
        <v>158</v>
      </c>
      <c r="B923" s="6">
        <v>3.064333</v>
      </c>
      <c r="C923" s="6">
        <f t="shared" si="98"/>
        <v>3.0213329999999998</v>
      </c>
      <c r="D923" s="6">
        <f t="shared" si="99"/>
        <v>477.37061399999999</v>
      </c>
      <c r="E923" s="6">
        <f t="shared" si="103"/>
        <v>-2576.8262429999982</v>
      </c>
      <c r="F923" s="6">
        <f t="shared" si="104"/>
        <v>-3.2250000000000334E-4</v>
      </c>
      <c r="G923" s="6">
        <f t="shared" si="100"/>
        <v>1433.0283602705404</v>
      </c>
      <c r="H923" s="7">
        <f t="shared" si="101"/>
        <v>4.0871033770571309E-12</v>
      </c>
      <c r="I923" s="8" t="str">
        <f t="shared" si="102"/>
        <v/>
      </c>
    </row>
    <row r="924" spans="1:9" x14ac:dyDescent="0.2">
      <c r="A924" s="5">
        <v>156</v>
      </c>
      <c r="B924" s="6">
        <v>3.0648119999999999</v>
      </c>
      <c r="C924" s="6">
        <f t="shared" si="98"/>
        <v>3.0218119999999997</v>
      </c>
      <c r="D924" s="6">
        <f t="shared" si="99"/>
        <v>471.40267199999994</v>
      </c>
      <c r="E924" s="6">
        <f t="shared" si="103"/>
        <v>-2582.8693879999983</v>
      </c>
      <c r="F924" s="6">
        <f t="shared" si="104"/>
        <v>-3.4075000000000077E-4</v>
      </c>
      <c r="G924" s="6">
        <f t="shared" si="100"/>
        <v>1432.8465443620212</v>
      </c>
      <c r="H924" s="7">
        <f t="shared" si="101"/>
        <v>3.8677141773303866E-12</v>
      </c>
      <c r="I924" s="8" t="str">
        <f t="shared" si="102"/>
        <v/>
      </c>
    </row>
    <row r="925" spans="1:9" x14ac:dyDescent="0.2">
      <c r="A925" s="5">
        <v>154</v>
      </c>
      <c r="B925" s="6">
        <v>3.065696</v>
      </c>
      <c r="C925" s="6">
        <f t="shared" si="98"/>
        <v>3.0226959999999998</v>
      </c>
      <c r="D925" s="6">
        <f t="shared" si="99"/>
        <v>465.49518399999999</v>
      </c>
      <c r="E925" s="6">
        <f t="shared" si="103"/>
        <v>-2588.9138959999982</v>
      </c>
      <c r="F925" s="6">
        <f t="shared" si="104"/>
        <v>2.3924999999991314E-4</v>
      </c>
      <c r="G925" s="6">
        <f t="shared" si="100"/>
        <v>1432.509233015192</v>
      </c>
      <c r="H925" s="7">
        <f t="shared" si="101"/>
        <v>-5.507265826475581E-12</v>
      </c>
      <c r="I925" s="8" t="str">
        <f t="shared" si="102"/>
        <v/>
      </c>
    </row>
    <row r="926" spans="1:9" x14ac:dyDescent="0.2">
      <c r="A926" s="5">
        <v>152</v>
      </c>
      <c r="B926" s="6">
        <v>3.0638550000000002</v>
      </c>
      <c r="C926" s="6">
        <f t="shared" si="98"/>
        <v>3.0208550000000001</v>
      </c>
      <c r="D926" s="6">
        <f t="shared" si="99"/>
        <v>459.16996</v>
      </c>
      <c r="E926" s="6">
        <f t="shared" si="103"/>
        <v>-2594.9574469999984</v>
      </c>
      <c r="F926" s="6">
        <f t="shared" si="104"/>
        <v>3.2975000000001753E-4</v>
      </c>
      <c r="G926" s="6">
        <f t="shared" si="100"/>
        <v>1433.215392605138</v>
      </c>
      <c r="H926" s="7">
        <f t="shared" si="101"/>
        <v>-3.9977645801780338E-12</v>
      </c>
      <c r="I926" s="8" t="str">
        <f t="shared" si="102"/>
        <v/>
      </c>
    </row>
    <row r="927" spans="1:9" x14ac:dyDescent="0.2">
      <c r="A927" s="5">
        <v>150</v>
      </c>
      <c r="B927" s="6">
        <v>3.0643769999999999</v>
      </c>
      <c r="C927" s="6">
        <f t="shared" si="98"/>
        <v>3.0213769999999998</v>
      </c>
      <c r="D927" s="6">
        <f t="shared" si="99"/>
        <v>453.20654999999994</v>
      </c>
      <c r="E927" s="6">
        <f t="shared" si="103"/>
        <v>-2600.9996789999982</v>
      </c>
      <c r="F927" s="6">
        <f t="shared" si="104"/>
        <v>3.4425000000004591E-4</v>
      </c>
      <c r="G927" s="6">
        <f t="shared" si="100"/>
        <v>1433.0141230179834</v>
      </c>
      <c r="H927" s="7">
        <f t="shared" si="101"/>
        <v>-3.8288387618351958E-12</v>
      </c>
      <c r="I927" s="8" t="str">
        <f t="shared" si="102"/>
        <v/>
      </c>
    </row>
    <row r="928" spans="1:9" x14ac:dyDescent="0.2">
      <c r="A928" s="5">
        <v>148</v>
      </c>
      <c r="B928" s="6">
        <v>3.062478</v>
      </c>
      <c r="C928" s="6">
        <f t="shared" si="98"/>
        <v>3.0194779999999999</v>
      </c>
      <c r="D928" s="6">
        <f t="shared" si="99"/>
        <v>446.882744</v>
      </c>
      <c r="E928" s="6">
        <f t="shared" si="103"/>
        <v>-2607.0405339999984</v>
      </c>
      <c r="F928" s="6">
        <f t="shared" si="104"/>
        <v>5.6175000000002751E-4</v>
      </c>
      <c r="G928" s="6">
        <f t="shared" si="100"/>
        <v>1433.750125895391</v>
      </c>
      <c r="H928" s="7">
        <f t="shared" si="101"/>
        <v>-2.3475829368359364E-12</v>
      </c>
      <c r="I928" s="8" t="str">
        <f t="shared" si="102"/>
        <v/>
      </c>
    </row>
    <row r="929" spans="1:9" x14ac:dyDescent="0.2">
      <c r="A929" s="5">
        <v>146</v>
      </c>
      <c r="B929" s="6">
        <v>3.0621299999999998</v>
      </c>
      <c r="C929" s="6">
        <f t="shared" si="98"/>
        <v>3.0191299999999996</v>
      </c>
      <c r="D929" s="6">
        <f t="shared" si="99"/>
        <v>440.79297999999994</v>
      </c>
      <c r="E929" s="6">
        <f t="shared" si="103"/>
        <v>-2613.0791419999982</v>
      </c>
      <c r="F929" s="6">
        <f t="shared" si="104"/>
        <v>4.3099999999995919E-4</v>
      </c>
      <c r="G929" s="6">
        <f t="shared" si="100"/>
        <v>1433.8856976201607</v>
      </c>
      <c r="H929" s="7">
        <f t="shared" si="101"/>
        <v>-3.0600450413508134E-12</v>
      </c>
      <c r="I929" s="8" t="str">
        <f t="shared" si="102"/>
        <v/>
      </c>
    </row>
    <row r="930" spans="1:9" x14ac:dyDescent="0.2">
      <c r="A930" s="5">
        <v>144</v>
      </c>
      <c r="B930" s="6">
        <v>3.0607540000000002</v>
      </c>
      <c r="C930" s="6">
        <f t="shared" si="98"/>
        <v>3.017754</v>
      </c>
      <c r="D930" s="6">
        <f t="shared" si="99"/>
        <v>434.55657600000001</v>
      </c>
      <c r="E930" s="6">
        <f t="shared" si="103"/>
        <v>-2619.1160259999983</v>
      </c>
      <c r="F930" s="6">
        <f t="shared" si="104"/>
        <v>2.4999999999997247E-4</v>
      </c>
      <c r="G930" s="6">
        <f t="shared" si="100"/>
        <v>1434.4245033364916</v>
      </c>
      <c r="H930" s="7">
        <f t="shared" si="101"/>
        <v>-5.2775000122761209E-12</v>
      </c>
      <c r="I930" s="8" t="str">
        <f t="shared" si="102"/>
        <v/>
      </c>
    </row>
    <row r="931" spans="1:9" x14ac:dyDescent="0.2">
      <c r="A931" s="5">
        <v>142</v>
      </c>
      <c r="B931" s="6">
        <v>3.0611299999999999</v>
      </c>
      <c r="C931" s="6">
        <f t="shared" si="98"/>
        <v>3.0181299999999998</v>
      </c>
      <c r="D931" s="6">
        <f t="shared" si="99"/>
        <v>428.57445999999999</v>
      </c>
      <c r="E931" s="6">
        <f t="shared" si="103"/>
        <v>-2625.1519099999982</v>
      </c>
      <c r="F931" s="6">
        <f t="shared" si="104"/>
        <v>-1.0124999999994166E-4</v>
      </c>
      <c r="G931" s="6">
        <f t="shared" si="100"/>
        <v>1434.2765195419129</v>
      </c>
      <c r="H931" s="7">
        <f t="shared" si="101"/>
        <v>1.3029519886106699E-11</v>
      </c>
      <c r="I931" s="8" t="str">
        <f t="shared" si="102"/>
        <v/>
      </c>
    </row>
    <row r="932" spans="1:9" x14ac:dyDescent="0.2">
      <c r="A932" s="5">
        <v>140</v>
      </c>
      <c r="B932" s="6">
        <v>3.061159</v>
      </c>
      <c r="C932" s="6">
        <f t="shared" si="98"/>
        <v>3.0181589999999998</v>
      </c>
      <c r="D932" s="6">
        <f t="shared" si="99"/>
        <v>422.54226</v>
      </c>
      <c r="E932" s="6">
        <f t="shared" si="103"/>
        <v>-2631.1881989999983</v>
      </c>
      <c r="F932" s="6">
        <f t="shared" si="104"/>
        <v>2.4274999999995828E-4</v>
      </c>
      <c r="G932" s="6">
        <f t="shared" si="100"/>
        <v>1434.265047898182</v>
      </c>
      <c r="H932" s="7">
        <f t="shared" si="101"/>
        <v>-5.4345142612526646E-12</v>
      </c>
      <c r="I932" s="8" t="str">
        <f t="shared" si="102"/>
        <v/>
      </c>
    </row>
    <row r="933" spans="1:9" x14ac:dyDescent="0.2">
      <c r="A933" s="5">
        <v>138</v>
      </c>
      <c r="B933" s="6">
        <v>3.0601590000000001</v>
      </c>
      <c r="C933" s="6">
        <f t="shared" si="98"/>
        <v>3.0171589999999999</v>
      </c>
      <c r="D933" s="6">
        <f t="shared" si="99"/>
        <v>416.36794199999997</v>
      </c>
      <c r="E933" s="6">
        <f t="shared" si="103"/>
        <v>-2637.2235169999985</v>
      </c>
      <c r="F933" s="6">
        <f t="shared" si="104"/>
        <v>-6.8999999999985739E-5</v>
      </c>
      <c r="G933" s="6">
        <f t="shared" si="100"/>
        <v>1434.6626218199344</v>
      </c>
      <c r="H933" s="7">
        <f t="shared" si="101"/>
        <v>1.9124551058166049E-11</v>
      </c>
      <c r="I933" s="8" t="str">
        <f t="shared" si="102"/>
        <v/>
      </c>
    </row>
    <row r="934" spans="1:9" x14ac:dyDescent="0.2">
      <c r="A934" s="5">
        <v>136</v>
      </c>
      <c r="B934" s="6">
        <v>3.0614349999999999</v>
      </c>
      <c r="C934" s="6">
        <f t="shared" si="98"/>
        <v>3.0184349999999998</v>
      </c>
      <c r="D934" s="6">
        <f t="shared" si="99"/>
        <v>410.50715999999994</v>
      </c>
      <c r="E934" s="6">
        <f t="shared" si="103"/>
        <v>-2643.2591109999985</v>
      </c>
      <c r="F934" s="6">
        <f t="shared" si="104"/>
        <v>-4.0224999999993738E-4</v>
      </c>
      <c r="G934" s="6">
        <f t="shared" si="100"/>
        <v>1434.1527654957786</v>
      </c>
      <c r="H934" s="7">
        <f t="shared" si="101"/>
        <v>3.2793662156440701E-12</v>
      </c>
      <c r="I934" s="8" t="str">
        <f t="shared" si="102"/>
        <v/>
      </c>
    </row>
    <row r="935" spans="1:9" x14ac:dyDescent="0.2">
      <c r="A935" s="5">
        <v>134</v>
      </c>
      <c r="B935" s="6">
        <v>3.0617679999999998</v>
      </c>
      <c r="C935" s="6">
        <f t="shared" si="98"/>
        <v>3.0187679999999997</v>
      </c>
      <c r="D935" s="6">
        <f t="shared" si="99"/>
        <v>404.51491199999998</v>
      </c>
      <c r="E935" s="6">
        <f t="shared" si="103"/>
        <v>-2649.2963139999983</v>
      </c>
      <c r="F935" s="6">
        <f t="shared" si="104"/>
        <v>-6.5250000000016684E-5</v>
      </c>
      <c r="G935" s="6">
        <f t="shared" si="100"/>
        <v>1434.019041379835</v>
      </c>
      <c r="H935" s="7">
        <f t="shared" si="101"/>
        <v>2.0214590982487521E-11</v>
      </c>
      <c r="I935" s="8" t="str">
        <f t="shared" si="102"/>
        <v/>
      </c>
    </row>
    <row r="936" spans="1:9" x14ac:dyDescent="0.2">
      <c r="A936" s="5">
        <v>132</v>
      </c>
      <c r="B936" s="6">
        <v>3.061696</v>
      </c>
      <c r="C936" s="6">
        <f t="shared" si="98"/>
        <v>3.0186959999999998</v>
      </c>
      <c r="D936" s="6">
        <f t="shared" si="99"/>
        <v>398.467872</v>
      </c>
      <c r="E936" s="6">
        <f t="shared" si="103"/>
        <v>-2655.3337779999983</v>
      </c>
      <c r="F936" s="6">
        <f t="shared" si="104"/>
        <v>1.6674999999999329E-4</v>
      </c>
      <c r="G936" s="6">
        <f t="shared" si="100"/>
        <v>1434.0480987022011</v>
      </c>
      <c r="H936" s="7">
        <f t="shared" si="101"/>
        <v>-7.9102176213342478E-12</v>
      </c>
      <c r="I936" s="8" t="str">
        <f t="shared" si="102"/>
        <v/>
      </c>
    </row>
    <row r="937" spans="1:9" x14ac:dyDescent="0.2">
      <c r="A937" s="5">
        <v>130</v>
      </c>
      <c r="B937" s="6">
        <v>3.0611009999999998</v>
      </c>
      <c r="C937" s="6">
        <f t="shared" si="98"/>
        <v>3.0181009999999997</v>
      </c>
      <c r="D937" s="6">
        <f t="shared" si="99"/>
        <v>392.35312999999996</v>
      </c>
      <c r="E937" s="6">
        <f t="shared" si="103"/>
        <v>-2661.3705749999986</v>
      </c>
      <c r="F937" s="6">
        <f t="shared" si="104"/>
        <v>2.6450000000000085E-4</v>
      </c>
      <c r="G937" s="6">
        <f t="shared" si="100"/>
        <v>1434.289415185644</v>
      </c>
      <c r="H937" s="7">
        <f t="shared" si="101"/>
        <v>-4.9877155001997446E-12</v>
      </c>
      <c r="I937" s="8" t="str">
        <f t="shared" si="102"/>
        <v/>
      </c>
    </row>
    <row r="938" spans="1:9" x14ac:dyDescent="0.2">
      <c r="A938" s="5">
        <v>128</v>
      </c>
      <c r="B938" s="6">
        <v>3.060638</v>
      </c>
      <c r="C938" s="6">
        <f t="shared" si="98"/>
        <v>3.0176379999999998</v>
      </c>
      <c r="D938" s="6">
        <f t="shared" si="99"/>
        <v>386.25766399999998</v>
      </c>
      <c r="E938" s="6">
        <f t="shared" si="103"/>
        <v>-2667.4063139999985</v>
      </c>
      <c r="F938" s="6">
        <f t="shared" si="104"/>
        <v>-1.9950000000001911E-4</v>
      </c>
      <c r="G938" s="6">
        <f t="shared" si="100"/>
        <v>1434.4781219114152</v>
      </c>
      <c r="H938" s="7">
        <f t="shared" si="101"/>
        <v>6.6136557449145209E-12</v>
      </c>
      <c r="I938" s="8" t="str">
        <f t="shared" si="102"/>
        <v/>
      </c>
    </row>
    <row r="939" spans="1:9" x14ac:dyDescent="0.2">
      <c r="A939" s="5">
        <v>126</v>
      </c>
      <c r="B939" s="6">
        <v>3.0618989999999999</v>
      </c>
      <c r="C939" s="6">
        <f t="shared" si="98"/>
        <v>3.0188989999999998</v>
      </c>
      <c r="D939" s="6">
        <f t="shared" si="99"/>
        <v>380.38127399999996</v>
      </c>
      <c r="E939" s="6">
        <f t="shared" si="103"/>
        <v>-2673.4428509999984</v>
      </c>
      <c r="F939" s="6">
        <f t="shared" si="104"/>
        <v>-5.9399999999998343E-4</v>
      </c>
      <c r="G939" s="6">
        <f t="shared" si="100"/>
        <v>1433.9616491960855</v>
      </c>
      <c r="H939" s="7">
        <f t="shared" si="101"/>
        <v>2.2204533209147603E-12</v>
      </c>
      <c r="I939" s="8" t="str">
        <f t="shared" si="102"/>
        <v/>
      </c>
    </row>
    <row r="940" spans="1:9" x14ac:dyDescent="0.2">
      <c r="A940" s="5">
        <v>124</v>
      </c>
      <c r="B940" s="6">
        <v>3.0630139999999999</v>
      </c>
      <c r="C940" s="6">
        <f t="shared" si="98"/>
        <v>3.0200139999999998</v>
      </c>
      <c r="D940" s="6">
        <f t="shared" si="99"/>
        <v>374.48173599999996</v>
      </c>
      <c r="E940" s="6">
        <f t="shared" si="103"/>
        <v>-2679.4817639999983</v>
      </c>
      <c r="F940" s="6">
        <f t="shared" si="104"/>
        <v>-4.3250000000050193E-5</v>
      </c>
      <c r="G940" s="6">
        <f t="shared" si="100"/>
        <v>1433.5027442733317</v>
      </c>
      <c r="H940" s="7">
        <f t="shared" si="101"/>
        <v>3.0486177448388773E-11</v>
      </c>
      <c r="I940" s="8" t="str">
        <f t="shared" si="102"/>
        <v/>
      </c>
    </row>
    <row r="941" spans="1:9" x14ac:dyDescent="0.2">
      <c r="A941" s="5">
        <v>122</v>
      </c>
      <c r="B941" s="6">
        <v>3.0620720000000001</v>
      </c>
      <c r="C941" s="6">
        <f t="shared" si="98"/>
        <v>3.019072</v>
      </c>
      <c r="D941" s="6">
        <f t="shared" si="99"/>
        <v>368.32678399999998</v>
      </c>
      <c r="E941" s="6">
        <f t="shared" si="103"/>
        <v>-2685.5208499999985</v>
      </c>
      <c r="F941" s="6">
        <f t="shared" si="104"/>
        <v>5.0349999999999007E-4</v>
      </c>
      <c r="G941" s="6">
        <f t="shared" si="100"/>
        <v>1433.8923309076224</v>
      </c>
      <c r="H941" s="7">
        <f t="shared" si="101"/>
        <v>-2.6194349832768313E-12</v>
      </c>
      <c r="I941" s="8" t="str">
        <f t="shared" si="102"/>
        <v/>
      </c>
    </row>
    <row r="942" spans="1:9" x14ac:dyDescent="0.2">
      <c r="A942" s="5">
        <v>120</v>
      </c>
      <c r="B942" s="6">
        <v>3.0609999999999999</v>
      </c>
      <c r="C942" s="6">
        <f t="shared" si="98"/>
        <v>3.0179999999999998</v>
      </c>
      <c r="D942" s="6">
        <f t="shared" si="99"/>
        <v>362.15999999999997</v>
      </c>
      <c r="E942" s="6">
        <f t="shared" si="103"/>
        <v>-2691.5579219999986</v>
      </c>
      <c r="F942" s="6">
        <f t="shared" si="104"/>
        <v>-1.0149999999997661E-4</v>
      </c>
      <c r="G942" s="6">
        <f t="shared" si="100"/>
        <v>1434.337826151741</v>
      </c>
      <c r="H942" s="7">
        <f t="shared" si="101"/>
        <v>1.2997983033671451E-11</v>
      </c>
      <c r="I942" s="8" t="str">
        <f t="shared" si="102"/>
        <v/>
      </c>
    </row>
    <row r="943" spans="1:9" x14ac:dyDescent="0.2">
      <c r="A943" s="5">
        <v>118</v>
      </c>
      <c r="B943" s="6">
        <v>3.062478</v>
      </c>
      <c r="C943" s="6">
        <f t="shared" si="98"/>
        <v>3.0194779999999999</v>
      </c>
      <c r="D943" s="6">
        <f t="shared" si="99"/>
        <v>356.298404</v>
      </c>
      <c r="E943" s="6">
        <f t="shared" si="103"/>
        <v>-2697.5953999999988</v>
      </c>
      <c r="F943" s="6">
        <f t="shared" si="104"/>
        <v>-3.6599999999997745E-4</v>
      </c>
      <c r="G943" s="6">
        <f t="shared" si="100"/>
        <v>1433.7206518953913</v>
      </c>
      <c r="H943" s="7">
        <f t="shared" si="101"/>
        <v>3.6030808873234286E-12</v>
      </c>
      <c r="I943" s="8" t="str">
        <f t="shared" si="102"/>
        <v/>
      </c>
    </row>
    <row r="944" spans="1:9" x14ac:dyDescent="0.2">
      <c r="A944" s="5">
        <v>116</v>
      </c>
      <c r="B944" s="6">
        <v>3.0624639999999999</v>
      </c>
      <c r="C944" s="6">
        <f t="shared" si="98"/>
        <v>3.0194639999999997</v>
      </c>
      <c r="D944" s="6">
        <f t="shared" si="99"/>
        <v>350.25782399999997</v>
      </c>
      <c r="E944" s="6">
        <f t="shared" si="103"/>
        <v>-2703.6343419999989</v>
      </c>
      <c r="F944" s="6">
        <f t="shared" si="104"/>
        <v>6.8750000000061817E-5</v>
      </c>
      <c r="G944" s="6">
        <f t="shared" si="100"/>
        <v>1433.726525930296</v>
      </c>
      <c r="H944" s="7">
        <f t="shared" si="101"/>
        <v>-1.9181571020523205E-11</v>
      </c>
      <c r="I944" s="8" t="str">
        <f t="shared" si="102"/>
        <v/>
      </c>
    </row>
    <row r="945" spans="1:9" x14ac:dyDescent="0.2">
      <c r="A945" s="5">
        <v>114</v>
      </c>
      <c r="B945" s="6">
        <v>3.0622029999999998</v>
      </c>
      <c r="C945" s="6">
        <f t="shared" si="98"/>
        <v>3.0192029999999996</v>
      </c>
      <c r="D945" s="6">
        <f t="shared" si="99"/>
        <v>344.18914199999995</v>
      </c>
      <c r="E945" s="6">
        <f t="shared" si="103"/>
        <v>-2709.6730089999987</v>
      </c>
      <c r="F945" s="6">
        <f t="shared" si="104"/>
        <v>-1.5925000000005518E-4</v>
      </c>
      <c r="G945" s="6">
        <f t="shared" si="100"/>
        <v>1433.8365567238732</v>
      </c>
      <c r="H945" s="7">
        <f t="shared" si="101"/>
        <v>8.2815335216434677E-12</v>
      </c>
      <c r="I945" s="8" t="str">
        <f t="shared" si="102"/>
        <v/>
      </c>
    </row>
    <row r="946" spans="1:9" x14ac:dyDescent="0.2">
      <c r="A946" s="5">
        <v>112</v>
      </c>
      <c r="B946" s="6">
        <v>3.0631010000000001</v>
      </c>
      <c r="C946" s="6">
        <f t="shared" si="98"/>
        <v>3.0201009999999999</v>
      </c>
      <c r="D946" s="6">
        <f t="shared" si="99"/>
        <v>338.25131199999998</v>
      </c>
      <c r="E946" s="6">
        <f t="shared" si="103"/>
        <v>-2715.7123129999986</v>
      </c>
      <c r="F946" s="6">
        <f t="shared" si="104"/>
        <v>-2.3900000000010024E-4</v>
      </c>
      <c r="G946" s="6">
        <f t="shared" si="100"/>
        <v>1433.4561873421394</v>
      </c>
      <c r="H946" s="7">
        <f t="shared" si="101"/>
        <v>5.5166709282820029E-12</v>
      </c>
      <c r="I946" s="8" t="str">
        <f t="shared" si="102"/>
        <v/>
      </c>
    </row>
    <row r="947" spans="1:9" x14ac:dyDescent="0.2">
      <c r="A947" s="5">
        <v>110</v>
      </c>
      <c r="B947" s="6">
        <v>3.0631590000000002</v>
      </c>
      <c r="C947" s="6">
        <f t="shared" si="98"/>
        <v>3.020159</v>
      </c>
      <c r="D947" s="6">
        <f t="shared" si="99"/>
        <v>332.21749</v>
      </c>
      <c r="E947" s="6">
        <f t="shared" si="103"/>
        <v>-2721.7525729999988</v>
      </c>
      <c r="F947" s="6">
        <f t="shared" si="104"/>
        <v>3.1150000000002009E-4</v>
      </c>
      <c r="G947" s="6">
        <f t="shared" si="100"/>
        <v>1433.431504054678</v>
      </c>
      <c r="H947" s="7">
        <f t="shared" si="101"/>
        <v>-4.2326216639518291E-12</v>
      </c>
      <c r="I947" s="8" t="str">
        <f t="shared" si="102"/>
        <v/>
      </c>
    </row>
    <row r="948" spans="1:9" x14ac:dyDescent="0.2">
      <c r="A948" s="5">
        <v>108</v>
      </c>
      <c r="B948" s="6">
        <v>3.061855</v>
      </c>
      <c r="C948" s="6">
        <f t="shared" si="98"/>
        <v>3.0188549999999998</v>
      </c>
      <c r="D948" s="6">
        <f t="shared" si="99"/>
        <v>326.03634</v>
      </c>
      <c r="E948" s="6">
        <f t="shared" si="103"/>
        <v>-2727.7915869999988</v>
      </c>
      <c r="F948" s="6">
        <f t="shared" si="104"/>
        <v>5.3250000000004682E-4</v>
      </c>
      <c r="G948" s="6">
        <f t="shared" si="100"/>
        <v>1433.9890604486429</v>
      </c>
      <c r="H948" s="7">
        <f t="shared" si="101"/>
        <v>-2.4769473902871778E-12</v>
      </c>
      <c r="I948" s="8" t="str">
        <f t="shared" si="102"/>
        <v/>
      </c>
    </row>
    <row r="949" spans="1:9" x14ac:dyDescent="0.2">
      <c r="A949" s="5">
        <v>106</v>
      </c>
      <c r="B949" s="6">
        <v>3.061029</v>
      </c>
      <c r="C949" s="6">
        <f t="shared" si="98"/>
        <v>3.0180289999999999</v>
      </c>
      <c r="D949" s="6">
        <f t="shared" si="99"/>
        <v>319.91107399999999</v>
      </c>
      <c r="E949" s="6">
        <f t="shared" si="103"/>
        <v>-2733.8284709999989</v>
      </c>
      <c r="F949" s="6">
        <f t="shared" si="104"/>
        <v>4.4924999999995663E-4</v>
      </c>
      <c r="G949" s="6">
        <f t="shared" si="100"/>
        <v>1434.3438885080104</v>
      </c>
      <c r="H949" s="7">
        <f t="shared" si="101"/>
        <v>-2.9366741325235233E-12</v>
      </c>
      <c r="I949" s="8" t="str">
        <f t="shared" si="102"/>
        <v/>
      </c>
    </row>
    <row r="950" spans="1:9" x14ac:dyDescent="0.2">
      <c r="A950" s="5">
        <v>104</v>
      </c>
      <c r="B950" s="6">
        <v>3.0600580000000002</v>
      </c>
      <c r="C950" s="6">
        <f t="shared" si="98"/>
        <v>3.017058</v>
      </c>
      <c r="D950" s="6">
        <f t="shared" si="99"/>
        <v>313.77403199999998</v>
      </c>
      <c r="E950" s="6">
        <f t="shared" si="103"/>
        <v>-2739.8635579999991</v>
      </c>
      <c r="F950" s="6">
        <f t="shared" si="104"/>
        <v>2.9349999999994658E-4</v>
      </c>
      <c r="G950" s="6">
        <f t="shared" si="100"/>
        <v>1434.762946786032</v>
      </c>
      <c r="H950" s="7">
        <f t="shared" si="101"/>
        <v>-4.4963758136691514E-12</v>
      </c>
      <c r="I950" s="8" t="str">
        <f t="shared" si="102"/>
        <v/>
      </c>
    </row>
    <row r="951" spans="1:9" x14ac:dyDescent="0.2">
      <c r="A951" s="5">
        <v>102</v>
      </c>
      <c r="B951" s="6">
        <v>3.0598550000000002</v>
      </c>
      <c r="C951" s="6">
        <f t="shared" si="98"/>
        <v>3.0168550000000001</v>
      </c>
      <c r="D951" s="6">
        <f t="shared" si="99"/>
        <v>307.71921000000003</v>
      </c>
      <c r="E951" s="6">
        <f t="shared" si="103"/>
        <v>-2745.8974709999993</v>
      </c>
      <c r="F951" s="6">
        <f t="shared" si="104"/>
        <v>-2.8974999999997753E-4</v>
      </c>
      <c r="G951" s="6">
        <f t="shared" si="100"/>
        <v>1434.8509622921479</v>
      </c>
      <c r="H951" s="7">
        <f t="shared" si="101"/>
        <v>4.5548481706409354E-12</v>
      </c>
      <c r="I951" s="8" t="str">
        <f t="shared" si="102"/>
        <v/>
      </c>
    </row>
    <row r="952" spans="1:9" x14ac:dyDescent="0.2">
      <c r="A952" s="5">
        <v>100</v>
      </c>
      <c r="B952" s="6">
        <v>3.0612170000000001</v>
      </c>
      <c r="C952" s="6">
        <f t="shared" si="98"/>
        <v>3.0182169999999999</v>
      </c>
      <c r="D952" s="6">
        <f t="shared" si="99"/>
        <v>301.82169999999996</v>
      </c>
      <c r="E952" s="6">
        <f t="shared" si="103"/>
        <v>-2751.9325429999994</v>
      </c>
      <c r="F952" s="6">
        <f t="shared" si="104"/>
        <v>-8.2249999999994827E-4</v>
      </c>
      <c r="G952" s="6">
        <f t="shared" si="100"/>
        <v>1434.2577106107215</v>
      </c>
      <c r="H952" s="7">
        <f t="shared" si="101"/>
        <v>1.6039168244695517E-12</v>
      </c>
      <c r="I952" s="8" t="str">
        <f t="shared" si="102"/>
        <v/>
      </c>
    </row>
    <row r="953" spans="1:9" x14ac:dyDescent="0.2">
      <c r="A953" s="5">
        <v>98</v>
      </c>
      <c r="B953" s="6">
        <v>3.063145</v>
      </c>
      <c r="C953" s="6">
        <f t="shared" si="98"/>
        <v>3.0201449999999999</v>
      </c>
      <c r="D953" s="6">
        <f t="shared" si="99"/>
        <v>295.97420999999997</v>
      </c>
      <c r="E953" s="6">
        <f t="shared" si="103"/>
        <v>-2757.9709049999992</v>
      </c>
      <c r="F953" s="6">
        <f t="shared" si="104"/>
        <v>-1.5979999999999883E-3</v>
      </c>
      <c r="G953" s="6">
        <f t="shared" si="100"/>
        <v>1433.414068089583</v>
      </c>
      <c r="H953" s="7">
        <f t="shared" si="101"/>
        <v>8.2505983155544495E-13</v>
      </c>
      <c r="I953" s="8" t="str">
        <f t="shared" si="102"/>
        <v/>
      </c>
    </row>
    <row r="954" spans="1:9" x14ac:dyDescent="0.2">
      <c r="A954" s="5">
        <v>96</v>
      </c>
      <c r="B954" s="6">
        <v>3.067609</v>
      </c>
      <c r="C954" s="6">
        <f t="shared" si="98"/>
        <v>3.0246089999999999</v>
      </c>
      <c r="D954" s="6">
        <f t="shared" si="99"/>
        <v>290.36246399999999</v>
      </c>
      <c r="E954" s="6">
        <f t="shared" si="103"/>
        <v>-2764.0156589999992</v>
      </c>
      <c r="F954" s="6">
        <f t="shared" si="104"/>
        <v>-1.3042500000000068E-3</v>
      </c>
      <c r="G954" s="6">
        <f t="shared" si="100"/>
        <v>1431.4518101028812</v>
      </c>
      <c r="H954" s="7">
        <f t="shared" si="101"/>
        <v>1.0095002781440548E-12</v>
      </c>
      <c r="I954" s="8" t="str">
        <f t="shared" si="102"/>
        <v/>
      </c>
    </row>
    <row r="955" spans="1:9" x14ac:dyDescent="0.2">
      <c r="A955" s="5">
        <v>94</v>
      </c>
      <c r="B955" s="6">
        <v>3.068362</v>
      </c>
      <c r="C955" s="6">
        <f t="shared" si="98"/>
        <v>3.0253619999999999</v>
      </c>
      <c r="D955" s="6">
        <f t="shared" si="99"/>
        <v>284.384028</v>
      </c>
      <c r="E955" s="6">
        <f t="shared" si="103"/>
        <v>-2770.0656299999991</v>
      </c>
      <c r="F955" s="6">
        <f t="shared" si="104"/>
        <v>-1.5924999999994416E-4</v>
      </c>
      <c r="G955" s="6">
        <f t="shared" si="100"/>
        <v>1431.1193049398016</v>
      </c>
      <c r="H955" s="7">
        <f t="shared" si="101"/>
        <v>8.2658392560573756E-12</v>
      </c>
      <c r="I955" s="8" t="str">
        <f t="shared" si="102"/>
        <v/>
      </c>
    </row>
    <row r="956" spans="1:9" x14ac:dyDescent="0.2">
      <c r="A956" s="5">
        <v>92</v>
      </c>
      <c r="B956" s="6">
        <v>3.0682459999999998</v>
      </c>
      <c r="C956" s="6">
        <f t="shared" si="98"/>
        <v>3.0252459999999997</v>
      </c>
      <c r="D956" s="6">
        <f t="shared" si="99"/>
        <v>278.32263199999994</v>
      </c>
      <c r="E956" s="6">
        <f t="shared" si="103"/>
        <v>-2776.1162379999992</v>
      </c>
      <c r="F956" s="6">
        <f t="shared" si="104"/>
        <v>8.3249999999979174E-5</v>
      </c>
      <c r="G956" s="6">
        <f t="shared" si="100"/>
        <v>1431.170759514725</v>
      </c>
      <c r="H956" s="7">
        <f t="shared" si="101"/>
        <v>-1.5812399148763364E-11</v>
      </c>
      <c r="I956" s="8" t="str">
        <f t="shared" si="102"/>
        <v/>
      </c>
    </row>
    <row r="957" spans="1:9" x14ac:dyDescent="0.2">
      <c r="A957" s="5">
        <v>90</v>
      </c>
      <c r="B957" s="6">
        <v>3.0680290000000001</v>
      </c>
      <c r="C957" s="6">
        <f t="shared" si="98"/>
        <v>3.025029</v>
      </c>
      <c r="D957" s="6">
        <f t="shared" si="99"/>
        <v>272.25261</v>
      </c>
      <c r="E957" s="6">
        <f t="shared" si="103"/>
        <v>-2782.1665129999992</v>
      </c>
      <c r="F957" s="6">
        <f t="shared" si="104"/>
        <v>-2.5500000000011624E-5</v>
      </c>
      <c r="G957" s="6">
        <f t="shared" si="100"/>
        <v>1431.2674490557451</v>
      </c>
      <c r="H957" s="7">
        <f t="shared" si="101"/>
        <v>5.1626320140785929E-11</v>
      </c>
      <c r="I957" s="8" t="str">
        <f t="shared" si="102"/>
        <v/>
      </c>
    </row>
    <row r="958" spans="1:9" x14ac:dyDescent="0.2">
      <c r="A958" s="5">
        <v>88</v>
      </c>
      <c r="B958" s="6">
        <v>3.0683479999999999</v>
      </c>
      <c r="C958" s="6">
        <f t="shared" si="98"/>
        <v>3.0253479999999997</v>
      </c>
      <c r="D958" s="6">
        <f t="shared" si="99"/>
        <v>266.23062399999998</v>
      </c>
      <c r="E958" s="6">
        <f t="shared" si="103"/>
        <v>-2788.2168899999992</v>
      </c>
      <c r="F958" s="6">
        <f t="shared" si="104"/>
        <v>3.249999999999087E-5</v>
      </c>
      <c r="G958" s="6">
        <f t="shared" si="100"/>
        <v>1431.1246729747063</v>
      </c>
      <c r="H958" s="7">
        <f t="shared" si="101"/>
        <v>-4.0502764277328025E-11</v>
      </c>
      <c r="I958" s="8" t="str">
        <f t="shared" si="102"/>
        <v/>
      </c>
    </row>
    <row r="959" spans="1:9" x14ac:dyDescent="0.2">
      <c r="A959" s="5">
        <v>86</v>
      </c>
      <c r="B959" s="6">
        <v>3.0678990000000002</v>
      </c>
      <c r="C959" s="6">
        <f t="shared" si="98"/>
        <v>3.024899</v>
      </c>
      <c r="D959" s="6">
        <f t="shared" si="99"/>
        <v>260.14131400000002</v>
      </c>
      <c r="E959" s="6">
        <f t="shared" si="103"/>
        <v>-2794.2671369999994</v>
      </c>
      <c r="F959" s="6">
        <f t="shared" si="104"/>
        <v>1.2674999999995329E-4</v>
      </c>
      <c r="G959" s="6">
        <f t="shared" si="100"/>
        <v>1431.3265316655729</v>
      </c>
      <c r="H959" s="7">
        <f t="shared" si="101"/>
        <v>-1.038678901316884E-11</v>
      </c>
      <c r="I959" s="8" t="str">
        <f t="shared" si="102"/>
        <v/>
      </c>
    </row>
    <row r="960" spans="1:9" x14ac:dyDescent="0.2">
      <c r="A960" s="5">
        <v>84</v>
      </c>
      <c r="B960" s="6">
        <v>3.067841</v>
      </c>
      <c r="C960" s="6">
        <f t="shared" si="98"/>
        <v>3.0248409999999999</v>
      </c>
      <c r="D960" s="6">
        <f t="shared" si="99"/>
        <v>254.08664399999998</v>
      </c>
      <c r="E960" s="6">
        <f t="shared" si="103"/>
        <v>-2800.3168769999993</v>
      </c>
      <c r="F960" s="6">
        <f t="shared" si="104"/>
        <v>3.7500000000800782E-6</v>
      </c>
      <c r="G960" s="6">
        <f t="shared" si="100"/>
        <v>1431.3527229530346</v>
      </c>
      <c r="H960" s="7">
        <f t="shared" si="101"/>
        <v>-3.510798927943265E-10</v>
      </c>
      <c r="I960" s="8" t="str">
        <f t="shared" si="102"/>
        <v/>
      </c>
    </row>
    <row r="961" spans="1:9" x14ac:dyDescent="0.2">
      <c r="A961" s="5">
        <v>82</v>
      </c>
      <c r="B961" s="6">
        <v>3.0678839999999998</v>
      </c>
      <c r="C961" s="6">
        <f t="shared" si="98"/>
        <v>3.0248839999999997</v>
      </c>
      <c r="D961" s="6">
        <f t="shared" si="99"/>
        <v>248.04048799999998</v>
      </c>
      <c r="E961" s="6">
        <f t="shared" si="103"/>
        <v>-2806.3666019999991</v>
      </c>
      <c r="F961" s="6">
        <f t="shared" si="104"/>
        <v>6.2700000000004419E-4</v>
      </c>
      <c r="G961" s="6">
        <f t="shared" si="100"/>
        <v>1431.3332192743992</v>
      </c>
      <c r="H961" s="7">
        <f t="shared" si="101"/>
        <v>-2.0997315129837618E-12</v>
      </c>
      <c r="I961" s="8" t="str">
        <f t="shared" si="102"/>
        <v/>
      </c>
    </row>
    <row r="962" spans="1:9" x14ac:dyDescent="0.2">
      <c r="A962" s="5">
        <v>80</v>
      </c>
      <c r="B962" s="6">
        <v>3.0653329999999999</v>
      </c>
      <c r="C962" s="6">
        <f t="shared" ref="C962:C1025" si="105">B962-$B$2</f>
        <v>3.0223329999999997</v>
      </c>
      <c r="D962" s="6">
        <f t="shared" ref="D962:D1025" si="106">A962*C962</f>
        <v>241.78663999999998</v>
      </c>
      <c r="E962" s="6">
        <f t="shared" si="103"/>
        <v>-2812.413818999999</v>
      </c>
      <c r="F962" s="6">
        <f t="shared" si="104"/>
        <v>5.6524999999996162E-4</v>
      </c>
      <c r="G962" s="6">
        <f t="shared" ref="G962:G1001" si="107">(A962-$L$5)*C962-E962</f>
        <v>1432.495388348789</v>
      </c>
      <c r="H962" s="7">
        <f t="shared" ref="H962:H1025" si="108">IF(ABS(F962)&lt;0.000000001,"",-(G962)/(2*$L$4*F962)*0.000000000001)</f>
        <v>-2.3310050680995537E-12</v>
      </c>
      <c r="I962" s="8" t="str">
        <f t="shared" ref="I962:I1025" si="109">IF(AND(B962&gt;=0.5,B962&lt;=2.5,ISNUMBER(H962),H962&gt;0),H962,"")</f>
        <v/>
      </c>
    </row>
    <row r="963" spans="1:9" x14ac:dyDescent="0.2">
      <c r="A963" s="5">
        <v>78</v>
      </c>
      <c r="B963" s="6">
        <v>3.065623</v>
      </c>
      <c r="C963" s="6">
        <f t="shared" si="105"/>
        <v>3.0226229999999998</v>
      </c>
      <c r="D963" s="6">
        <f t="shared" si="106"/>
        <v>235.76459399999999</v>
      </c>
      <c r="E963" s="6">
        <f t="shared" ref="E963:E1001" si="110">E962+(C962+C963)/2*(A963-A962)</f>
        <v>-2818.4587749999992</v>
      </c>
      <c r="F963" s="6">
        <f t="shared" ref="F963:F1000" si="111">(B964-B962)/(A964-A962)</f>
        <v>-8.7000000000059252E-5</v>
      </c>
      <c r="G963" s="6">
        <f t="shared" si="107"/>
        <v>1432.3626919114809</v>
      </c>
      <c r="H963" s="7">
        <f t="shared" si="108"/>
        <v>1.5143431739769198E-11</v>
      </c>
      <c r="I963" s="8" t="str">
        <f t="shared" si="109"/>
        <v/>
      </c>
    </row>
    <row r="964" spans="1:9" x14ac:dyDescent="0.2">
      <c r="A964" s="5">
        <v>76</v>
      </c>
      <c r="B964" s="6">
        <v>3.0656810000000001</v>
      </c>
      <c r="C964" s="6">
        <f t="shared" si="105"/>
        <v>3.022681</v>
      </c>
      <c r="D964" s="6">
        <f t="shared" si="106"/>
        <v>229.72375600000001</v>
      </c>
      <c r="E964" s="6">
        <f t="shared" si="110"/>
        <v>-2824.5040789999994</v>
      </c>
      <c r="F964" s="6">
        <f t="shared" si="111"/>
        <v>-1.4849999999999586E-4</v>
      </c>
      <c r="G964" s="6">
        <f t="shared" si="107"/>
        <v>1432.3360366240195</v>
      </c>
      <c r="H964" s="7">
        <f t="shared" si="108"/>
        <v>8.8717444039614888E-12</v>
      </c>
      <c r="I964" s="8" t="str">
        <f t="shared" si="109"/>
        <v/>
      </c>
    </row>
    <row r="965" spans="1:9" x14ac:dyDescent="0.2">
      <c r="A965" s="5">
        <v>74</v>
      </c>
      <c r="B965" s="6">
        <v>3.066217</v>
      </c>
      <c r="C965" s="6">
        <f t="shared" si="105"/>
        <v>3.0232169999999998</v>
      </c>
      <c r="D965" s="6">
        <f t="shared" si="106"/>
        <v>223.71805799999998</v>
      </c>
      <c r="E965" s="6">
        <f t="shared" si="110"/>
        <v>-2830.5499769999992</v>
      </c>
      <c r="F965" s="6">
        <f t="shared" si="111"/>
        <v>5.1800000000001845E-4</v>
      </c>
      <c r="G965" s="6">
        <f t="shared" si="107"/>
        <v>1432.0886330019603</v>
      </c>
      <c r="H965" s="7">
        <f t="shared" si="108"/>
        <v>-2.5429082695548715E-12</v>
      </c>
      <c r="I965" s="8" t="str">
        <f t="shared" si="109"/>
        <v/>
      </c>
    </row>
    <row r="966" spans="1:9" x14ac:dyDescent="0.2">
      <c r="A966" s="5">
        <v>72</v>
      </c>
      <c r="B966" s="6">
        <v>3.063609</v>
      </c>
      <c r="C966" s="6">
        <f t="shared" si="105"/>
        <v>3.0206089999999999</v>
      </c>
      <c r="D966" s="6">
        <f t="shared" si="106"/>
        <v>217.48384799999999</v>
      </c>
      <c r="E966" s="6">
        <f t="shared" si="110"/>
        <v>-2836.5938029999993</v>
      </c>
      <c r="F966" s="6">
        <f t="shared" si="111"/>
        <v>5.9774999999995249E-4</v>
      </c>
      <c r="G966" s="6">
        <f t="shared" si="107"/>
        <v>1433.2976337898901</v>
      </c>
      <c r="H966" s="7">
        <f t="shared" si="108"/>
        <v>-2.2055014893507079E-12</v>
      </c>
      <c r="I966" s="8" t="str">
        <f t="shared" si="109"/>
        <v/>
      </c>
    </row>
    <row r="967" spans="1:9" x14ac:dyDescent="0.2">
      <c r="A967" s="5">
        <v>70</v>
      </c>
      <c r="B967" s="6">
        <v>3.0638260000000002</v>
      </c>
      <c r="C967" s="6">
        <f t="shared" si="105"/>
        <v>3.020826</v>
      </c>
      <c r="D967" s="6">
        <f t="shared" si="106"/>
        <v>211.45782</v>
      </c>
      <c r="E967" s="6">
        <f t="shared" si="110"/>
        <v>-2842.6352379999994</v>
      </c>
      <c r="F967" s="6">
        <f t="shared" si="111"/>
        <v>1.0750000000003812E-4</v>
      </c>
      <c r="G967" s="6">
        <f t="shared" si="107"/>
        <v>1433.1966042488698</v>
      </c>
      <c r="H967" s="7">
        <f t="shared" si="108"/>
        <v>-1.2262749664154229E-11</v>
      </c>
      <c r="I967" s="8" t="str">
        <f t="shared" si="109"/>
        <v/>
      </c>
    </row>
    <row r="968" spans="1:9" x14ac:dyDescent="0.2">
      <c r="A968" s="5">
        <v>68</v>
      </c>
      <c r="B968" s="6">
        <v>3.0631789999999999</v>
      </c>
      <c r="C968" s="6">
        <f t="shared" si="105"/>
        <v>3.0201789999999997</v>
      </c>
      <c r="D968" s="6">
        <f t="shared" si="106"/>
        <v>205.37217199999998</v>
      </c>
      <c r="E968" s="6">
        <f t="shared" si="110"/>
        <v>-2848.6762429999994</v>
      </c>
      <c r="F968" s="6">
        <f t="shared" si="111"/>
        <v>6.4875000000008676E-4</v>
      </c>
      <c r="G968" s="6">
        <f t="shared" si="107"/>
        <v>1433.4991245762437</v>
      </c>
      <c r="H968" s="7">
        <f t="shared" si="108"/>
        <v>-2.0324066979092529E-12</v>
      </c>
      <c r="I968" s="8" t="str">
        <f t="shared" si="109"/>
        <v/>
      </c>
    </row>
    <row r="969" spans="1:9" x14ac:dyDescent="0.2">
      <c r="A969" s="5">
        <v>66</v>
      </c>
      <c r="B969" s="6">
        <v>3.0612309999999998</v>
      </c>
      <c r="C969" s="6">
        <f t="shared" si="105"/>
        <v>3.0182309999999997</v>
      </c>
      <c r="D969" s="6">
        <f t="shared" si="106"/>
        <v>199.20324599999998</v>
      </c>
      <c r="E969" s="6">
        <f t="shared" si="110"/>
        <v>-2854.7146529999995</v>
      </c>
      <c r="F969" s="6">
        <f t="shared" si="111"/>
        <v>8.8599999999994239E-4</v>
      </c>
      <c r="G969" s="6">
        <f t="shared" si="107"/>
        <v>1434.4138545758171</v>
      </c>
      <c r="H969" s="7">
        <f t="shared" si="108"/>
        <v>-1.489125517385051E-12</v>
      </c>
      <c r="I969" s="8" t="str">
        <f t="shared" si="109"/>
        <v/>
      </c>
    </row>
    <row r="970" spans="1:9" x14ac:dyDescent="0.2">
      <c r="A970" s="5">
        <v>64</v>
      </c>
      <c r="B970" s="6">
        <v>3.0596350000000001</v>
      </c>
      <c r="C970" s="6">
        <f t="shared" si="105"/>
        <v>3.016635</v>
      </c>
      <c r="D970" s="6">
        <f t="shared" si="106"/>
        <v>193.06464</v>
      </c>
      <c r="E970" s="6">
        <f t="shared" si="110"/>
        <v>-2860.7495189999995</v>
      </c>
      <c r="F970" s="6">
        <f t="shared" si="111"/>
        <v>6.2324999999996411E-4</v>
      </c>
      <c r="G970" s="6">
        <f t="shared" si="107"/>
        <v>1435.1664865549337</v>
      </c>
      <c r="H970" s="7">
        <f t="shared" si="108"/>
        <v>-2.1180224223927308E-12</v>
      </c>
      <c r="I970" s="8" t="str">
        <f t="shared" si="109"/>
        <v/>
      </c>
    </row>
    <row r="971" spans="1:9" x14ac:dyDescent="0.2">
      <c r="A971" s="5">
        <v>62</v>
      </c>
      <c r="B971" s="6">
        <v>3.058738</v>
      </c>
      <c r="C971" s="6">
        <f t="shared" si="105"/>
        <v>3.0157379999999998</v>
      </c>
      <c r="D971" s="6">
        <f t="shared" si="106"/>
        <v>186.97575599999999</v>
      </c>
      <c r="E971" s="6">
        <f t="shared" si="110"/>
        <v>-2866.7818919999995</v>
      </c>
      <c r="F971" s="6">
        <f t="shared" si="111"/>
        <v>4.8500000000006871E-5</v>
      </c>
      <c r="G971" s="6">
        <f t="shared" si="107"/>
        <v>1435.5912823627455</v>
      </c>
      <c r="H971" s="7">
        <f t="shared" si="108"/>
        <v>-2.7225736069626358E-11</v>
      </c>
      <c r="I971" s="8" t="str">
        <f t="shared" si="109"/>
        <v/>
      </c>
    </row>
    <row r="972" spans="1:9" x14ac:dyDescent="0.2">
      <c r="A972" s="5">
        <v>60</v>
      </c>
      <c r="B972" s="6">
        <v>3.0594410000000001</v>
      </c>
      <c r="C972" s="6">
        <f t="shared" si="105"/>
        <v>3.0164409999999999</v>
      </c>
      <c r="D972" s="6">
        <f t="shared" si="106"/>
        <v>180.98645999999999</v>
      </c>
      <c r="E972" s="6">
        <f t="shared" si="110"/>
        <v>-2872.8140709999993</v>
      </c>
      <c r="F972" s="6">
        <f t="shared" si="111"/>
        <v>-5.5225000000003188E-4</v>
      </c>
      <c r="G972" s="6">
        <f t="shared" si="107"/>
        <v>1435.2569538957534</v>
      </c>
      <c r="H972" s="7">
        <f t="shared" si="108"/>
        <v>2.3904765705212081E-12</v>
      </c>
      <c r="I972" s="8" t="str">
        <f t="shared" si="109"/>
        <v/>
      </c>
    </row>
    <row r="973" spans="1:9" x14ac:dyDescent="0.2">
      <c r="A973" s="5">
        <v>58</v>
      </c>
      <c r="B973" s="6">
        <v>3.0609470000000001</v>
      </c>
      <c r="C973" s="6">
        <f t="shared" si="105"/>
        <v>3.0179469999999999</v>
      </c>
      <c r="D973" s="6">
        <f t="shared" si="106"/>
        <v>175.04092599999998</v>
      </c>
      <c r="E973" s="6">
        <f t="shared" si="110"/>
        <v>-2878.8484589999994</v>
      </c>
      <c r="F973" s="6">
        <f t="shared" si="111"/>
        <v>9.1999999999980986E-5</v>
      </c>
      <c r="G973" s="6">
        <f t="shared" si="107"/>
        <v>1434.5377275695946</v>
      </c>
      <c r="H973" s="7">
        <f t="shared" si="108"/>
        <v>-1.4342164630821607E-11</v>
      </c>
      <c r="I973" s="8" t="str">
        <f t="shared" si="109"/>
        <v/>
      </c>
    </row>
    <row r="974" spans="1:9" x14ac:dyDescent="0.2">
      <c r="A974" s="5">
        <v>56</v>
      </c>
      <c r="B974" s="6">
        <v>3.0590730000000002</v>
      </c>
      <c r="C974" s="6">
        <f t="shared" si="105"/>
        <v>3.016073</v>
      </c>
      <c r="D974" s="6">
        <f t="shared" si="106"/>
        <v>168.90008800000001</v>
      </c>
      <c r="E974" s="6">
        <f t="shared" si="110"/>
        <v>-2884.8824789999994</v>
      </c>
      <c r="F974" s="6">
        <f t="shared" si="111"/>
        <v>-1.4524999999998567E-4</v>
      </c>
      <c r="G974" s="6">
        <f t="shared" si="107"/>
        <v>1435.4364490989583</v>
      </c>
      <c r="H974" s="7">
        <f t="shared" si="108"/>
        <v>9.0898849203125969E-12</v>
      </c>
      <c r="I974" s="8" t="str">
        <f t="shared" si="109"/>
        <v/>
      </c>
    </row>
    <row r="975" spans="1:9" x14ac:dyDescent="0.2">
      <c r="A975" s="5">
        <v>54</v>
      </c>
      <c r="B975" s="6">
        <v>3.061528</v>
      </c>
      <c r="C975" s="6">
        <f t="shared" si="105"/>
        <v>3.0185279999999999</v>
      </c>
      <c r="D975" s="6">
        <f t="shared" si="106"/>
        <v>163.00051199999999</v>
      </c>
      <c r="E975" s="6">
        <f t="shared" si="110"/>
        <v>-2890.9170799999993</v>
      </c>
      <c r="F975" s="6">
        <f t="shared" si="111"/>
        <v>-6.6800000000000193E-4</v>
      </c>
      <c r="G975" s="6">
        <f t="shared" si="107"/>
        <v>1434.2541851210565</v>
      </c>
      <c r="H975" s="7">
        <f t="shared" si="108"/>
        <v>1.9748777625778411E-12</v>
      </c>
      <c r="I975" s="8" t="str">
        <f t="shared" si="109"/>
        <v/>
      </c>
    </row>
    <row r="976" spans="1:9" x14ac:dyDescent="0.2">
      <c r="A976" s="5">
        <v>52</v>
      </c>
      <c r="B976" s="6">
        <v>3.0617450000000002</v>
      </c>
      <c r="C976" s="6">
        <f t="shared" si="105"/>
        <v>3.018745</v>
      </c>
      <c r="D976" s="6">
        <f t="shared" si="106"/>
        <v>156.97474</v>
      </c>
      <c r="E976" s="6">
        <f t="shared" si="110"/>
        <v>-2896.9543529999992</v>
      </c>
      <c r="F976" s="6">
        <f t="shared" si="111"/>
        <v>-9.2499999999939853E-5</v>
      </c>
      <c r="G976" s="6">
        <f t="shared" si="107"/>
        <v>1434.149249580036</v>
      </c>
      <c r="H976" s="7">
        <f t="shared" si="108"/>
        <v>1.4260776500815072E-11</v>
      </c>
      <c r="I976" s="8" t="str">
        <f t="shared" si="109"/>
        <v/>
      </c>
    </row>
    <row r="977" spans="1:9" x14ac:dyDescent="0.2">
      <c r="A977" s="5">
        <v>50</v>
      </c>
      <c r="B977" s="6">
        <v>3.0618979999999998</v>
      </c>
      <c r="C977" s="6">
        <f t="shared" si="105"/>
        <v>3.0188979999999996</v>
      </c>
      <c r="D977" s="6">
        <f t="shared" si="106"/>
        <v>150.94489999999999</v>
      </c>
      <c r="E977" s="6">
        <f t="shared" si="110"/>
        <v>-2902.9919959999993</v>
      </c>
      <c r="F977" s="6">
        <f t="shared" si="111"/>
        <v>6.5975000000007E-4</v>
      </c>
      <c r="G977" s="6">
        <f t="shared" si="107"/>
        <v>1434.0749567700082</v>
      </c>
      <c r="H977" s="7">
        <f t="shared" si="108"/>
        <v>-1.9993232167427122E-12</v>
      </c>
      <c r="I977" s="8" t="str">
        <f t="shared" si="109"/>
        <v/>
      </c>
    </row>
    <row r="978" spans="1:9" x14ac:dyDescent="0.2">
      <c r="A978" s="5">
        <v>48</v>
      </c>
      <c r="B978" s="6">
        <v>3.0591059999999999</v>
      </c>
      <c r="C978" s="6">
        <f t="shared" si="105"/>
        <v>3.0161059999999997</v>
      </c>
      <c r="D978" s="6">
        <f t="shared" si="106"/>
        <v>144.77308799999997</v>
      </c>
      <c r="E978" s="6">
        <f t="shared" si="110"/>
        <v>-2909.0269999999991</v>
      </c>
      <c r="F978" s="6">
        <f t="shared" si="111"/>
        <v>9.0224999999999334E-4</v>
      </c>
      <c r="G978" s="6">
        <f t="shared" si="107"/>
        <v>1435.4362631595402</v>
      </c>
      <c r="H978" s="7">
        <f t="shared" si="108"/>
        <v>-1.4633478677188465E-12</v>
      </c>
      <c r="I978" s="8" t="str">
        <f t="shared" si="109"/>
        <v/>
      </c>
    </row>
    <row r="979" spans="1:9" x14ac:dyDescent="0.2">
      <c r="A979" s="5">
        <v>46</v>
      </c>
      <c r="B979" s="6">
        <v>3.0582889999999998</v>
      </c>
      <c r="C979" s="6">
        <f t="shared" si="105"/>
        <v>3.0152889999999997</v>
      </c>
      <c r="D979" s="6">
        <f t="shared" si="106"/>
        <v>138.70329399999997</v>
      </c>
      <c r="E979" s="6">
        <f t="shared" si="110"/>
        <v>-2915.0583949999991</v>
      </c>
      <c r="F979" s="6">
        <f t="shared" si="111"/>
        <v>-4.900000000007676E-5</v>
      </c>
      <c r="G979" s="6">
        <f t="shared" si="107"/>
        <v>1435.8362450536119</v>
      </c>
      <c r="H979" s="7">
        <f t="shared" si="108"/>
        <v>2.6952520705714037E-11</v>
      </c>
      <c r="I979" s="8" t="str">
        <f t="shared" si="109"/>
        <v/>
      </c>
    </row>
    <row r="980" spans="1:9" x14ac:dyDescent="0.2">
      <c r="A980" s="5">
        <v>44</v>
      </c>
      <c r="B980" s="6">
        <v>3.0593020000000002</v>
      </c>
      <c r="C980" s="6">
        <f t="shared" si="105"/>
        <v>3.016302</v>
      </c>
      <c r="D980" s="6">
        <f t="shared" si="106"/>
        <v>132.717288</v>
      </c>
      <c r="E980" s="6">
        <f t="shared" si="110"/>
        <v>-2921.089985999999</v>
      </c>
      <c r="F980" s="6">
        <f t="shared" si="111"/>
        <v>-1.0450000000006288E-4</v>
      </c>
      <c r="G980" s="6">
        <f t="shared" si="107"/>
        <v>1435.3382806708767</v>
      </c>
      <c r="H980" s="7">
        <f t="shared" si="108"/>
        <v>1.2633641052121186E-11</v>
      </c>
      <c r="I980" s="8" t="str">
        <f t="shared" si="109"/>
        <v/>
      </c>
    </row>
    <row r="981" spans="1:9" x14ac:dyDescent="0.2">
      <c r="A981" s="5">
        <v>42</v>
      </c>
      <c r="B981" s="6">
        <v>3.0587070000000001</v>
      </c>
      <c r="C981" s="6">
        <f t="shared" si="105"/>
        <v>3.0157069999999999</v>
      </c>
      <c r="D981" s="6">
        <f t="shared" si="106"/>
        <v>126.659694</v>
      </c>
      <c r="E981" s="6">
        <f t="shared" si="110"/>
        <v>-2927.1219949999991</v>
      </c>
      <c r="F981" s="6">
        <f t="shared" si="111"/>
        <v>-3.8599999999999746E-4</v>
      </c>
      <c r="G981" s="6">
        <f t="shared" si="107"/>
        <v>1435.6319571543193</v>
      </c>
      <c r="H981" s="7">
        <f t="shared" si="108"/>
        <v>3.4209471808418087E-12</v>
      </c>
      <c r="I981" s="8" t="str">
        <f t="shared" si="109"/>
        <v/>
      </c>
    </row>
    <row r="982" spans="1:9" x14ac:dyDescent="0.2">
      <c r="A982" s="5">
        <v>40</v>
      </c>
      <c r="B982" s="6">
        <v>3.0608460000000002</v>
      </c>
      <c r="C982" s="6">
        <f t="shared" si="105"/>
        <v>3.017846</v>
      </c>
      <c r="D982" s="6">
        <f t="shared" si="106"/>
        <v>120.71384</v>
      </c>
      <c r="E982" s="6">
        <f t="shared" si="110"/>
        <v>-2933.1555479999993</v>
      </c>
      <c r="F982" s="6">
        <f t="shared" si="111"/>
        <v>-1.2017500000000014E-3</v>
      </c>
      <c r="G982" s="6">
        <f t="shared" si="107"/>
        <v>1434.5719245356913</v>
      </c>
      <c r="H982" s="7">
        <f t="shared" si="108"/>
        <v>1.0979909300589889E-12</v>
      </c>
      <c r="I982" s="8" t="str">
        <f t="shared" si="109"/>
        <v/>
      </c>
    </row>
    <row r="983" spans="1:9" x14ac:dyDescent="0.2">
      <c r="A983" s="5">
        <v>38</v>
      </c>
      <c r="B983" s="6">
        <v>3.0635140000000001</v>
      </c>
      <c r="C983" s="6">
        <f t="shared" si="105"/>
        <v>3.0205139999999999</v>
      </c>
      <c r="D983" s="6">
        <f t="shared" si="106"/>
        <v>114.779532</v>
      </c>
      <c r="E983" s="6">
        <f t="shared" si="110"/>
        <v>-2939.1939079999993</v>
      </c>
      <c r="F983" s="6">
        <f t="shared" si="111"/>
        <v>-1.0312499999999281E-3</v>
      </c>
      <c r="G983" s="6">
        <f t="shared" si="107"/>
        <v>1433.2443973124564</v>
      </c>
      <c r="H983" s="7">
        <f t="shared" si="108"/>
        <v>1.278341380527176E-12</v>
      </c>
      <c r="I983" s="8" t="str">
        <f t="shared" si="109"/>
        <v/>
      </c>
    </row>
    <row r="984" spans="1:9" x14ac:dyDescent="0.2">
      <c r="A984" s="5">
        <v>36</v>
      </c>
      <c r="B984" s="6">
        <v>3.0649709999999999</v>
      </c>
      <c r="C984" s="6">
        <f t="shared" si="105"/>
        <v>3.0219709999999997</v>
      </c>
      <c r="D984" s="6">
        <f t="shared" si="106"/>
        <v>108.79095599999999</v>
      </c>
      <c r="E984" s="6">
        <f t="shared" si="110"/>
        <v>-2945.2363929999992</v>
      </c>
      <c r="F984" s="6">
        <f t="shared" si="111"/>
        <v>7.5500000000006118E-5</v>
      </c>
      <c r="G984" s="6">
        <f t="shared" si="107"/>
        <v>1432.5165181084635</v>
      </c>
      <c r="H984" s="7">
        <f t="shared" si="108"/>
        <v>-1.7451921188987172E-11</v>
      </c>
      <c r="I984" s="8" t="str">
        <f t="shared" si="109"/>
        <v/>
      </c>
    </row>
    <row r="985" spans="1:9" x14ac:dyDescent="0.2">
      <c r="A985" s="5">
        <v>34</v>
      </c>
      <c r="B985" s="6">
        <v>3.063212</v>
      </c>
      <c r="C985" s="6">
        <f t="shared" si="105"/>
        <v>3.0202119999999999</v>
      </c>
      <c r="D985" s="6">
        <f t="shared" si="106"/>
        <v>102.687208</v>
      </c>
      <c r="E985" s="6">
        <f t="shared" si="110"/>
        <v>-2951.2785759999992</v>
      </c>
      <c r="F985" s="6">
        <f t="shared" si="111"/>
        <v>6.9425000000000736E-4</v>
      </c>
      <c r="G985" s="6">
        <f t="shared" si="107"/>
        <v>1433.3987866368257</v>
      </c>
      <c r="H985" s="7">
        <f t="shared" si="108"/>
        <v>-1.8990731797443818E-12</v>
      </c>
      <c r="I985" s="8" t="str">
        <f t="shared" si="109"/>
        <v/>
      </c>
    </row>
    <row r="986" spans="1:9" x14ac:dyDescent="0.2">
      <c r="A986" s="5">
        <v>32</v>
      </c>
      <c r="B986" s="6">
        <v>3.0621939999999999</v>
      </c>
      <c r="C986" s="6">
        <f t="shared" si="105"/>
        <v>3.0191939999999997</v>
      </c>
      <c r="D986" s="6">
        <f t="shared" si="106"/>
        <v>96.614207999999991</v>
      </c>
      <c r="E986" s="6">
        <f t="shared" si="110"/>
        <v>-2957.3179819999991</v>
      </c>
      <c r="F986" s="6">
        <f t="shared" si="111"/>
        <v>-1.9700000000000273E-4</v>
      </c>
      <c r="G986" s="6">
        <f t="shared" si="107"/>
        <v>1433.9114248891694</v>
      </c>
      <c r="H986" s="7">
        <f t="shared" si="108"/>
        <v>6.6949394751718644E-12</v>
      </c>
      <c r="I986" s="8" t="str">
        <f t="shared" si="109"/>
        <v/>
      </c>
    </row>
    <row r="987" spans="1:9" x14ac:dyDescent="0.2">
      <c r="A987" s="5">
        <v>30</v>
      </c>
      <c r="B987" s="6">
        <v>3.0640000000000001</v>
      </c>
      <c r="C987" s="6">
        <f t="shared" si="105"/>
        <v>3.0209999999999999</v>
      </c>
      <c r="D987" s="6">
        <f t="shared" si="106"/>
        <v>90.63</v>
      </c>
      <c r="E987" s="6">
        <f t="shared" si="110"/>
        <v>-2963.3581759999993</v>
      </c>
      <c r="F987" s="6">
        <f t="shared" si="111"/>
        <v>8.0774999999999597E-4</v>
      </c>
      <c r="G987" s="6">
        <f t="shared" si="107"/>
        <v>1432.9983583864848</v>
      </c>
      <c r="H987" s="7">
        <f t="shared" si="108"/>
        <v>-1.6317712702556702E-12</v>
      </c>
      <c r="I987" s="8" t="str">
        <f t="shared" si="109"/>
        <v/>
      </c>
    </row>
    <row r="988" spans="1:9" x14ac:dyDescent="0.2">
      <c r="A988" s="5">
        <v>28</v>
      </c>
      <c r="B988" s="6">
        <v>3.0589629999999999</v>
      </c>
      <c r="C988" s="6">
        <f t="shared" si="105"/>
        <v>3.0159629999999997</v>
      </c>
      <c r="D988" s="6">
        <f t="shared" si="106"/>
        <v>84.446963999999994</v>
      </c>
      <c r="E988" s="6">
        <f t="shared" si="110"/>
        <v>-2969.3951389999993</v>
      </c>
      <c r="F988" s="6">
        <f t="shared" si="111"/>
        <v>1.1700000000000044E-3</v>
      </c>
      <c r="G988" s="6">
        <f t="shared" si="107"/>
        <v>1435.5550082303509</v>
      </c>
      <c r="H988" s="7">
        <f t="shared" si="108"/>
        <v>-1.1285596877341511E-12</v>
      </c>
      <c r="I988" s="8" t="str">
        <f t="shared" si="109"/>
        <v/>
      </c>
    </row>
    <row r="989" spans="1:9" x14ac:dyDescent="0.2">
      <c r="A989" s="5">
        <v>26</v>
      </c>
      <c r="B989" s="6">
        <v>3.05932</v>
      </c>
      <c r="C989" s="6">
        <f t="shared" si="105"/>
        <v>3.0163199999999999</v>
      </c>
      <c r="D989" s="6">
        <f t="shared" si="106"/>
        <v>78.424319999999994</v>
      </c>
      <c r="E989" s="6">
        <f t="shared" si="110"/>
        <v>-2975.4274219999993</v>
      </c>
      <c r="F989" s="6">
        <f t="shared" si="111"/>
        <v>6.8649999999992328E-4</v>
      </c>
      <c r="G989" s="6">
        <f t="shared" si="107"/>
        <v>1435.3730903402854</v>
      </c>
      <c r="H989" s="7">
        <f t="shared" si="108"/>
        <v>-1.9231573309125882E-12</v>
      </c>
      <c r="I989" s="8" t="str">
        <f t="shared" si="109"/>
        <v/>
      </c>
    </row>
    <row r="990" spans="1:9" x14ac:dyDescent="0.2">
      <c r="A990" s="5">
        <v>24</v>
      </c>
      <c r="B990" s="6">
        <v>3.0562170000000002</v>
      </c>
      <c r="C990" s="6">
        <f t="shared" si="105"/>
        <v>3.013217</v>
      </c>
      <c r="D990" s="6">
        <f t="shared" si="106"/>
        <v>72.317207999999994</v>
      </c>
      <c r="E990" s="6">
        <f t="shared" si="110"/>
        <v>-2981.4569589999992</v>
      </c>
      <c r="F990" s="6">
        <f t="shared" si="111"/>
        <v>5.9200000000003694E-4</v>
      </c>
      <c r="G990" s="6">
        <f t="shared" si="107"/>
        <v>1436.9605042194823</v>
      </c>
      <c r="H990" s="7">
        <f t="shared" si="108"/>
        <v>-2.2326141915188042E-12</v>
      </c>
      <c r="I990" s="8" t="str">
        <f t="shared" si="109"/>
        <v/>
      </c>
    </row>
    <row r="991" spans="1:9" x14ac:dyDescent="0.2">
      <c r="A991" s="5">
        <v>22</v>
      </c>
      <c r="B991" s="6">
        <v>3.0569519999999999</v>
      </c>
      <c r="C991" s="6">
        <f t="shared" si="105"/>
        <v>3.0139519999999997</v>
      </c>
      <c r="D991" s="6">
        <f t="shared" si="106"/>
        <v>66.306943999999987</v>
      </c>
      <c r="E991" s="6">
        <f t="shared" si="110"/>
        <v>-2987.4841279999991</v>
      </c>
      <c r="F991" s="6">
        <f t="shared" si="111"/>
        <v>-9.9849999999990224E-4</v>
      </c>
      <c r="G991" s="6">
        <f t="shared" si="107"/>
        <v>1436.5830273869947</v>
      </c>
      <c r="H991" s="7">
        <f t="shared" si="108"/>
        <v>1.3233454185943515E-12</v>
      </c>
      <c r="I991" s="8" t="str">
        <f t="shared" si="109"/>
        <v/>
      </c>
    </row>
    <row r="992" spans="1:9" x14ac:dyDescent="0.2">
      <c r="A992" s="5">
        <v>20</v>
      </c>
      <c r="B992" s="6">
        <v>3.0602109999999998</v>
      </c>
      <c r="C992" s="6">
        <f t="shared" si="105"/>
        <v>3.0172109999999996</v>
      </c>
      <c r="D992" s="6">
        <f t="shared" si="106"/>
        <v>60.344219999999993</v>
      </c>
      <c r="E992" s="6">
        <f t="shared" si="110"/>
        <v>-2993.5152909999993</v>
      </c>
      <c r="F992" s="6">
        <f t="shared" si="111"/>
        <v>-5.4149999999997256E-4</v>
      </c>
      <c r="G992" s="6">
        <f t="shared" si="107"/>
        <v>1434.9027719760043</v>
      </c>
      <c r="H992" s="7">
        <f t="shared" si="108"/>
        <v>2.4373313235046631E-12</v>
      </c>
      <c r="I992" s="8" t="str">
        <f t="shared" si="109"/>
        <v/>
      </c>
    </row>
    <row r="993" spans="1:9" x14ac:dyDescent="0.2">
      <c r="A993" s="5">
        <v>18</v>
      </c>
      <c r="B993" s="6">
        <v>3.0591179999999998</v>
      </c>
      <c r="C993" s="6">
        <f t="shared" si="105"/>
        <v>3.0161179999999996</v>
      </c>
      <c r="D993" s="6">
        <f t="shared" si="106"/>
        <v>54.290123999999992</v>
      </c>
      <c r="E993" s="6">
        <f t="shared" si="110"/>
        <v>-2999.5486199999991</v>
      </c>
      <c r="F993" s="6">
        <f t="shared" si="111"/>
        <v>3.5274999999990175E-4</v>
      </c>
      <c r="G993" s="6">
        <f t="shared" si="107"/>
        <v>1435.4684802724794</v>
      </c>
      <c r="H993" s="7">
        <f t="shared" si="108"/>
        <v>-3.7429773118519508E-12</v>
      </c>
      <c r="I993" s="8" t="str">
        <f t="shared" si="109"/>
        <v/>
      </c>
    </row>
    <row r="994" spans="1:9" x14ac:dyDescent="0.2">
      <c r="A994" s="5">
        <v>16</v>
      </c>
      <c r="B994" s="6">
        <v>3.0588000000000002</v>
      </c>
      <c r="C994" s="6">
        <f t="shared" si="105"/>
        <v>3.0158</v>
      </c>
      <c r="D994" s="6">
        <f t="shared" si="106"/>
        <v>48.252800000000001</v>
      </c>
      <c r="E994" s="6">
        <f t="shared" si="110"/>
        <v>-3005.5805379999993</v>
      </c>
      <c r="F994" s="6">
        <f t="shared" si="111"/>
        <v>4.5872499999999317E-3</v>
      </c>
      <c r="G994" s="6">
        <f t="shared" si="107"/>
        <v>1435.6337047795964</v>
      </c>
      <c r="H994" s="7">
        <f t="shared" si="108"/>
        <v>-2.8786031266229964E-13</v>
      </c>
      <c r="I994" s="8" t="str">
        <f t="shared" si="109"/>
        <v/>
      </c>
    </row>
    <row r="995" spans="1:9" x14ac:dyDescent="0.2">
      <c r="A995" s="5">
        <v>14</v>
      </c>
      <c r="B995" s="6">
        <v>3.0407690000000001</v>
      </c>
      <c r="C995" s="6">
        <f t="shared" si="105"/>
        <v>2.9977689999999999</v>
      </c>
      <c r="D995" s="6">
        <f t="shared" si="106"/>
        <v>41.968766000000002</v>
      </c>
      <c r="E995" s="6">
        <f t="shared" si="110"/>
        <v>-3011.5941069999994</v>
      </c>
      <c r="F995" s="6">
        <f t="shared" si="111"/>
        <v>6.3817500000000749E-3</v>
      </c>
      <c r="G995" s="6">
        <f t="shared" si="107"/>
        <v>1445.0382041627113</v>
      </c>
      <c r="H995" s="7">
        <f t="shared" si="108"/>
        <v>-2.082716215845754E-13</v>
      </c>
      <c r="I995" s="8" t="str">
        <f t="shared" si="109"/>
        <v/>
      </c>
    </row>
    <row r="996" spans="1:9" x14ac:dyDescent="0.2">
      <c r="A996" s="5">
        <v>12</v>
      </c>
      <c r="B996" s="6">
        <v>3.0332729999999999</v>
      </c>
      <c r="C996" s="6">
        <f t="shared" si="105"/>
        <v>2.9902729999999997</v>
      </c>
      <c r="D996" s="6">
        <f t="shared" si="106"/>
        <v>35.883275999999995</v>
      </c>
      <c r="E996" s="6">
        <f t="shared" si="110"/>
        <v>-3017.5821489999994</v>
      </c>
      <c r="F996" s="6">
        <f t="shared" si="111"/>
        <v>2.9145000000000421E-3</v>
      </c>
      <c r="G996" s="6">
        <f t="shared" si="107"/>
        <v>1448.9629142801662</v>
      </c>
      <c r="H996" s="7">
        <f t="shared" si="108"/>
        <v>-4.5728164204230217E-13</v>
      </c>
      <c r="I996" s="8" t="str">
        <f t="shared" si="109"/>
        <v/>
      </c>
    </row>
    <row r="997" spans="1:9" x14ac:dyDescent="0.2">
      <c r="A997" s="5">
        <v>10</v>
      </c>
      <c r="B997" s="6">
        <v>3.0291109999999999</v>
      </c>
      <c r="C997" s="6">
        <f t="shared" si="105"/>
        <v>2.9861109999999997</v>
      </c>
      <c r="D997" s="6">
        <f t="shared" si="106"/>
        <v>29.861109999999996</v>
      </c>
      <c r="E997" s="6">
        <f t="shared" si="110"/>
        <v>-3023.5585329999994</v>
      </c>
      <c r="F997" s="6">
        <f t="shared" si="111"/>
        <v>5.324999999999358E-4</v>
      </c>
      <c r="G997" s="6">
        <f t="shared" si="107"/>
        <v>1451.150352942499</v>
      </c>
      <c r="H997" s="7">
        <f t="shared" si="108"/>
        <v>-2.5065903072589864E-12</v>
      </c>
      <c r="I997" s="8" t="str">
        <f t="shared" si="109"/>
        <v/>
      </c>
    </row>
    <row r="998" spans="1:9" x14ac:dyDescent="0.2">
      <c r="A998" s="5">
        <v>8</v>
      </c>
      <c r="B998" s="6">
        <v>3.0311430000000001</v>
      </c>
      <c r="C998" s="6">
        <f t="shared" si="105"/>
        <v>2.988143</v>
      </c>
      <c r="D998" s="6">
        <f t="shared" si="106"/>
        <v>23.905144</v>
      </c>
      <c r="E998" s="6">
        <f t="shared" si="110"/>
        <v>-3029.5327869999996</v>
      </c>
      <c r="F998" s="6">
        <f t="shared" si="111"/>
        <v>-7.7225000000002986E-4</v>
      </c>
      <c r="G998" s="6">
        <f t="shared" si="107"/>
        <v>1450.0783227334985</v>
      </c>
      <c r="H998" s="7">
        <f t="shared" si="108"/>
        <v>1.7271263084460042E-12</v>
      </c>
      <c r="I998" s="8" t="str">
        <f t="shared" si="109"/>
        <v/>
      </c>
    </row>
    <row r="999" spans="1:9" x14ac:dyDescent="0.2">
      <c r="A999" s="5">
        <v>6</v>
      </c>
      <c r="B999" s="6">
        <v>3.0322</v>
      </c>
      <c r="C999" s="6">
        <f t="shared" si="105"/>
        <v>2.9891999999999999</v>
      </c>
      <c r="D999" s="6">
        <f t="shared" si="106"/>
        <v>17.935199999999998</v>
      </c>
      <c r="E999" s="6">
        <f t="shared" si="110"/>
        <v>-3035.5101299999997</v>
      </c>
      <c r="F999" s="6">
        <f t="shared" si="111"/>
        <v>3.4525000000000805E-3</v>
      </c>
      <c r="G999" s="6">
        <f t="shared" si="107"/>
        <v>1449.5185630982066</v>
      </c>
      <c r="H999" s="7">
        <f t="shared" si="108"/>
        <v>-3.8617188360967723E-13</v>
      </c>
      <c r="I999" s="8" t="str">
        <f t="shared" si="109"/>
        <v/>
      </c>
    </row>
    <row r="1000" spans="1:9" x14ac:dyDescent="0.2">
      <c r="A1000" s="5">
        <v>4</v>
      </c>
      <c r="B1000" s="6">
        <v>3.0173329999999998</v>
      </c>
      <c r="C1000" s="6">
        <f t="shared" si="105"/>
        <v>2.9743329999999997</v>
      </c>
      <c r="D1000" s="6">
        <f t="shared" si="106"/>
        <v>11.897331999999999</v>
      </c>
      <c r="E1000" s="6">
        <f t="shared" si="110"/>
        <v>-3041.4736629999998</v>
      </c>
      <c r="F1000" s="6">
        <f t="shared" si="111"/>
        <v>-8.1999999999999851E-3</v>
      </c>
      <c r="G1000" s="6">
        <f t="shared" si="107"/>
        <v>1457.4214725928973</v>
      </c>
      <c r="H1000" s="7">
        <f t="shared" si="108"/>
        <v>1.6347896056471984E-13</v>
      </c>
      <c r="I1000" s="8" t="str">
        <f t="shared" si="109"/>
        <v/>
      </c>
    </row>
    <row r="1001" spans="1:9" x14ac:dyDescent="0.2">
      <c r="A1001" s="5">
        <v>2</v>
      </c>
      <c r="B1001" s="6">
        <v>3.0649999999999999</v>
      </c>
      <c r="C1001" s="6">
        <f t="shared" si="105"/>
        <v>3.0219999999999998</v>
      </c>
      <c r="D1001" s="6">
        <f t="shared" si="106"/>
        <v>6.0439999999999996</v>
      </c>
      <c r="E1001" s="6">
        <f t="shared" si="110"/>
        <v>-3047.4699959999998</v>
      </c>
      <c r="F1001" s="6">
        <f>(B1001-B1000)/(A1001-A1000)</f>
        <v>-2.3833500000000063E-2</v>
      </c>
      <c r="G1001" s="6">
        <f t="shared" si="107"/>
        <v>1431.9876044647333</v>
      </c>
      <c r="H1001" s="7">
        <f t="shared" si="108"/>
        <v>5.5263958637653577E-14</v>
      </c>
      <c r="I1001" s="8" t="str">
        <f t="shared" si="109"/>
        <v/>
      </c>
    </row>
  </sheetData>
  <mergeCells count="1">
    <mergeCell ref="K1:M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M801"/>
  <sheetViews>
    <sheetView workbookViewId="0">
      <pane ySplit="1" topLeftCell="A2" activePane="bottomLeft" state="frozen"/>
      <selection pane="bottomLeft"/>
    </sheetView>
  </sheetViews>
  <sheetFormatPr baseColWidth="10" defaultColWidth="8.83203125" defaultRowHeight="15" x14ac:dyDescent="0.2"/>
  <cols>
    <col min="1" max="1" width="10" customWidth="1"/>
    <col min="2" max="3" width="12" customWidth="1"/>
    <col min="4" max="4" width="14" customWidth="1"/>
    <col min="5" max="5" width="16" customWidth="1"/>
    <col min="6" max="6" width="14" customWidth="1"/>
    <col min="7" max="7" width="16" customWidth="1"/>
    <col min="8" max="9" width="14" customWidth="1"/>
    <col min="11" max="14" width="20" customWidth="1"/>
  </cols>
  <sheetData>
    <row r="1" spans="1:13" x14ac:dyDescent="0.2">
      <c r="A1" s="4" t="s">
        <v>36</v>
      </c>
      <c r="B1" s="4" t="s">
        <v>37</v>
      </c>
      <c r="C1" s="4" t="s">
        <v>38</v>
      </c>
      <c r="D1" s="4" t="s">
        <v>39</v>
      </c>
      <c r="E1" s="4" t="s">
        <v>40</v>
      </c>
      <c r="F1" s="4" t="s">
        <v>41</v>
      </c>
      <c r="G1" s="4" t="s">
        <v>42</v>
      </c>
      <c r="H1" s="4" t="s">
        <v>43</v>
      </c>
      <c r="I1" s="4" t="s">
        <v>44</v>
      </c>
      <c r="K1" s="27" t="s">
        <v>54</v>
      </c>
      <c r="L1" s="28"/>
      <c r="M1" s="28"/>
    </row>
    <row r="2" spans="1:13" x14ac:dyDescent="0.2">
      <c r="A2" s="5">
        <v>1600</v>
      </c>
      <c r="B2" s="6">
        <v>3.4000000000000002E-2</v>
      </c>
      <c r="C2" s="6">
        <f t="shared" ref="C2:C65" si="0">B2-$B$2</f>
        <v>0</v>
      </c>
      <c r="D2" s="6">
        <f t="shared" ref="D2:D65" si="1">A2*C2</f>
        <v>0</v>
      </c>
      <c r="E2" s="6">
        <v>0</v>
      </c>
      <c r="F2" s="6">
        <f>(B3-B2)/(A3-A2)</f>
        <v>-1.56665E-2</v>
      </c>
      <c r="G2" s="6">
        <f t="shared" ref="G2:G65" si="2">(A2-$L$5)*C2-E2</f>
        <v>0</v>
      </c>
      <c r="H2" s="7">
        <f t="shared" ref="H2:H65" si="3">IF(ABS(F2)&lt;0.000000001,"",-(G2)/(2*$L$4*F2)*0.000000000001)</f>
        <v>0</v>
      </c>
      <c r="I2" s="8" t="str">
        <f t="shared" ref="I2:I65" si="4">IF(AND(B2&gt;=0.5,B2&lt;=2.5,ISNUMBER(H2),H2&gt;0),H2,"")</f>
        <v/>
      </c>
      <c r="K2" s="9" t="s">
        <v>46</v>
      </c>
      <c r="L2" s="10">
        <v>1300</v>
      </c>
    </row>
    <row r="3" spans="1:13" x14ac:dyDescent="0.2">
      <c r="A3" s="5">
        <v>1598</v>
      </c>
      <c r="B3" s="6">
        <v>6.5333000000000002E-2</v>
      </c>
      <c r="C3" s="6">
        <f t="shared" si="0"/>
        <v>3.1333E-2</v>
      </c>
      <c r="D3" s="6">
        <f t="shared" si="1"/>
        <v>50.070134000000003</v>
      </c>
      <c r="E3" s="6">
        <f t="shared" ref="E3:E66" si="5">E2+(C2+C3)/2*(A3-A2)</f>
        <v>-3.1333E-2</v>
      </c>
      <c r="F3" s="6">
        <f t="shared" ref="F3:F66" si="6">(B4-B2)/(A4-A2)</f>
        <v>-1.0450000000000001E-2</v>
      </c>
      <c r="G3" s="6">
        <f t="shared" si="2"/>
        <v>35.871243799988868</v>
      </c>
      <c r="H3" s="7">
        <f t="shared" si="3"/>
        <v>6.2731266613483984E-15</v>
      </c>
      <c r="I3" s="8" t="str">
        <f t="shared" si="4"/>
        <v/>
      </c>
      <c r="K3" s="9" t="s">
        <v>47</v>
      </c>
      <c r="L3" s="11">
        <v>76</v>
      </c>
    </row>
    <row r="4" spans="1:13" x14ac:dyDescent="0.2">
      <c r="A4" s="5">
        <v>1596</v>
      </c>
      <c r="B4" s="6">
        <v>7.5800000000000006E-2</v>
      </c>
      <c r="C4" s="6">
        <f t="shared" si="0"/>
        <v>4.1800000000000004E-2</v>
      </c>
      <c r="D4" s="6">
        <f t="shared" si="1"/>
        <v>66.712800000000001</v>
      </c>
      <c r="E4" s="6">
        <f t="shared" si="5"/>
        <v>-0.104466</v>
      </c>
      <c r="F4" s="6">
        <f t="shared" si="6"/>
        <v>-3.2739999999999991E-3</v>
      </c>
      <c r="G4" s="6">
        <f t="shared" si="2"/>
        <v>47.833340753120829</v>
      </c>
      <c r="H4" s="7">
        <f t="shared" si="3"/>
        <v>2.669967346013472E-14</v>
      </c>
      <c r="I4" s="8" t="str">
        <f t="shared" si="4"/>
        <v/>
      </c>
      <c r="K4" s="9" t="s">
        <v>48</v>
      </c>
      <c r="L4" s="10">
        <v>273600</v>
      </c>
    </row>
    <row r="5" spans="1:13" x14ac:dyDescent="0.2">
      <c r="A5" s="5">
        <v>1594</v>
      </c>
      <c r="B5" s="6">
        <v>7.8428999999999999E-2</v>
      </c>
      <c r="C5" s="6">
        <f t="shared" si="0"/>
        <v>4.4428999999999996E-2</v>
      </c>
      <c r="D5" s="6">
        <f t="shared" si="1"/>
        <v>70.819825999999992</v>
      </c>
      <c r="E5" s="6">
        <f t="shared" si="5"/>
        <v>-0.190695</v>
      </c>
      <c r="F5" s="6">
        <f t="shared" si="6"/>
        <v>3.6675000000000249E-4</v>
      </c>
      <c r="G5" s="6">
        <f t="shared" si="2"/>
        <v>50.832606770488155</v>
      </c>
      <c r="H5" s="7">
        <f t="shared" si="3"/>
        <v>-2.5329473948548281E-13</v>
      </c>
      <c r="I5" s="8" t="str">
        <f t="shared" si="4"/>
        <v/>
      </c>
      <c r="K5" s="9" t="s">
        <v>49</v>
      </c>
      <c r="L5" s="12">
        <f>M5/M6</f>
        <v>454.16089107366457</v>
      </c>
      <c r="M5" s="13">
        <f>SUMPRODUCT((A2:A800+A3:A801)/2*(C2:C800+C3:C801)/2*(A3:A801-A2:A800))</f>
        <v>-1002733.4603079999</v>
      </c>
    </row>
    <row r="6" spans="1:13" x14ac:dyDescent="0.2">
      <c r="A6" s="5">
        <v>1592</v>
      </c>
      <c r="B6" s="6">
        <v>7.4332999999999996E-2</v>
      </c>
      <c r="C6" s="6">
        <f t="shared" si="0"/>
        <v>4.0332999999999994E-2</v>
      </c>
      <c r="D6" s="6">
        <f t="shared" si="1"/>
        <v>64.210135999999991</v>
      </c>
      <c r="E6" s="6">
        <f t="shared" si="5"/>
        <v>-0.27545700000000001</v>
      </c>
      <c r="F6" s="6">
        <f t="shared" si="6"/>
        <v>1.7434999999999985E-3</v>
      </c>
      <c r="G6" s="6">
        <f t="shared" si="2"/>
        <v>46.167921780325884</v>
      </c>
      <c r="H6" s="7">
        <f t="shared" si="3"/>
        <v>-4.8391856658404904E-14</v>
      </c>
      <c r="I6" s="8" t="str">
        <f t="shared" si="4"/>
        <v/>
      </c>
      <c r="K6" s="9" t="s">
        <v>50</v>
      </c>
      <c r="L6" s="14">
        <v>3.4000000000000002E-2</v>
      </c>
      <c r="M6" s="13">
        <f>SUMPRODUCT((C2:C800+C3:C801)/2*(A3:A801-A2:A800))</f>
        <v>-2207.8815680000002</v>
      </c>
    </row>
    <row r="7" spans="1:13" x14ac:dyDescent="0.2">
      <c r="A7" s="5">
        <v>1590</v>
      </c>
      <c r="B7" s="6">
        <v>7.1455000000000005E-2</v>
      </c>
      <c r="C7" s="6">
        <f t="shared" si="0"/>
        <v>3.7455000000000002E-2</v>
      </c>
      <c r="D7" s="6">
        <f t="shared" si="1"/>
        <v>59.553450000000005</v>
      </c>
      <c r="E7" s="6">
        <f t="shared" si="5"/>
        <v>-0.35324500000000003</v>
      </c>
      <c r="F7" s="6">
        <f t="shared" si="6"/>
        <v>8.5249999999999909E-4</v>
      </c>
      <c r="G7" s="6">
        <f t="shared" si="2"/>
        <v>42.896098824835896</v>
      </c>
      <c r="H7" s="7">
        <f t="shared" si="3"/>
        <v>-9.1955417555941284E-14</v>
      </c>
      <c r="I7" s="8" t="str">
        <f t="shared" si="4"/>
        <v/>
      </c>
    </row>
    <row r="8" spans="1:13" x14ac:dyDescent="0.2">
      <c r="A8" s="5">
        <v>1588</v>
      </c>
      <c r="B8" s="6">
        <v>7.0923E-2</v>
      </c>
      <c r="C8" s="6">
        <f t="shared" si="0"/>
        <v>3.6922999999999997E-2</v>
      </c>
      <c r="D8" s="6">
        <f t="shared" si="1"/>
        <v>58.633723999999994</v>
      </c>
      <c r="E8" s="6">
        <f t="shared" si="5"/>
        <v>-0.42762300000000003</v>
      </c>
      <c r="F8" s="6">
        <f t="shared" si="6"/>
        <v>4.1375000000000092E-4</v>
      </c>
      <c r="G8" s="6">
        <f t="shared" si="2"/>
        <v>42.292364418887082</v>
      </c>
      <c r="H8" s="7">
        <f t="shared" si="3"/>
        <v>-1.8680042940445834E-13</v>
      </c>
      <c r="I8" s="8" t="str">
        <f t="shared" si="4"/>
        <v/>
      </c>
      <c r="K8" s="9" t="s">
        <v>51</v>
      </c>
      <c r="L8" s="15">
        <f>AVERAGEIFS(I2:I801,B2:B801,"&gt;="&amp;0.5,B2:B801,"&lt;="&amp;2.5,I2:I801,"&gt;"&amp;0)</f>
        <v>5.407906693565687E-13</v>
      </c>
    </row>
    <row r="9" spans="1:13" x14ac:dyDescent="0.2">
      <c r="A9" s="5">
        <v>1586</v>
      </c>
      <c r="B9" s="6">
        <v>6.9800000000000001E-2</v>
      </c>
      <c r="C9" s="6">
        <f t="shared" si="0"/>
        <v>3.5799999999999998E-2</v>
      </c>
      <c r="D9" s="6">
        <f t="shared" si="1"/>
        <v>56.778799999999997</v>
      </c>
      <c r="E9" s="6">
        <f t="shared" si="5"/>
        <v>-0.50034600000000007</v>
      </c>
      <c r="F9" s="6">
        <f t="shared" si="6"/>
        <v>3.9250000000000049E-4</v>
      </c>
      <c r="G9" s="6">
        <f t="shared" si="2"/>
        <v>41.020186099562807</v>
      </c>
      <c r="H9" s="7">
        <f t="shared" si="3"/>
        <v>-1.9099054875573973E-13</v>
      </c>
      <c r="I9" s="8" t="str">
        <f t="shared" si="4"/>
        <v/>
      </c>
      <c r="K9" s="16" t="s">
        <v>52</v>
      </c>
    </row>
    <row r="10" spans="1:13" x14ac:dyDescent="0.2">
      <c r="A10" s="5">
        <v>1584</v>
      </c>
      <c r="B10" s="6">
        <v>6.9352999999999998E-2</v>
      </c>
      <c r="C10" s="6">
        <f t="shared" si="0"/>
        <v>3.5352999999999996E-2</v>
      </c>
      <c r="D10" s="6">
        <f t="shared" si="1"/>
        <v>55.999151999999995</v>
      </c>
      <c r="E10" s="6">
        <f t="shared" si="5"/>
        <v>-0.57149900000000009</v>
      </c>
      <c r="F10" s="6">
        <f t="shared" si="6"/>
        <v>5.5525000000000019E-4</v>
      </c>
      <c r="G10" s="6">
        <f t="shared" si="2"/>
        <v>40.514701017872738</v>
      </c>
      <c r="H10" s="7">
        <f t="shared" si="3"/>
        <v>-1.3334538278248011E-13</v>
      </c>
      <c r="I10" s="8" t="str">
        <f t="shared" si="4"/>
        <v/>
      </c>
    </row>
    <row r="11" spans="1:13" x14ac:dyDescent="0.2">
      <c r="A11" s="5">
        <v>1582</v>
      </c>
      <c r="B11" s="6">
        <v>6.7579E-2</v>
      </c>
      <c r="C11" s="6">
        <f t="shared" si="0"/>
        <v>3.3578999999999998E-2</v>
      </c>
      <c r="D11" s="6">
        <f t="shared" si="1"/>
        <v>53.121977999999999</v>
      </c>
      <c r="E11" s="6">
        <f t="shared" si="5"/>
        <v>-0.64043100000000008</v>
      </c>
      <c r="F11" s="6">
        <f t="shared" si="6"/>
        <v>-2.6900000000000188E-4</v>
      </c>
      <c r="G11" s="6">
        <f t="shared" si="2"/>
        <v>38.512140438637417</v>
      </c>
      <c r="H11" s="7">
        <f t="shared" si="3"/>
        <v>2.6163707661197222E-13</v>
      </c>
      <c r="I11" s="8" t="str">
        <f t="shared" si="4"/>
        <v/>
      </c>
    </row>
    <row r="12" spans="1:13" x14ac:dyDescent="0.2">
      <c r="A12" s="5">
        <v>1580</v>
      </c>
      <c r="B12" s="6">
        <v>7.0429000000000005E-2</v>
      </c>
      <c r="C12" s="6">
        <f t="shared" si="0"/>
        <v>3.6429000000000003E-2</v>
      </c>
      <c r="D12" s="6">
        <f t="shared" si="1"/>
        <v>57.557820000000007</v>
      </c>
      <c r="E12" s="6">
        <f t="shared" si="5"/>
        <v>-0.71043900000000004</v>
      </c>
      <c r="F12" s="6">
        <f t="shared" si="6"/>
        <v>-1.2357500000000007E-3</v>
      </c>
      <c r="G12" s="6">
        <f t="shared" si="2"/>
        <v>41.723631899077482</v>
      </c>
      <c r="H12" s="7">
        <f t="shared" si="3"/>
        <v>6.170287461132563E-14</v>
      </c>
      <c r="I12" s="8" t="str">
        <f t="shared" si="4"/>
        <v/>
      </c>
    </row>
    <row r="13" spans="1:13" x14ac:dyDescent="0.2">
      <c r="A13" s="5">
        <v>1578</v>
      </c>
      <c r="B13" s="6">
        <v>7.2522000000000003E-2</v>
      </c>
      <c r="C13" s="6">
        <f t="shared" si="0"/>
        <v>3.8522000000000001E-2</v>
      </c>
      <c r="D13" s="6">
        <f t="shared" si="1"/>
        <v>60.787716000000003</v>
      </c>
      <c r="E13" s="6">
        <f t="shared" si="5"/>
        <v>-0.78539000000000003</v>
      </c>
      <c r="F13" s="6">
        <f t="shared" si="6"/>
        <v>-8.2274999999999709E-4</v>
      </c>
      <c r="G13" s="6">
        <f t="shared" si="2"/>
        <v>44.077920154060294</v>
      </c>
      <c r="H13" s="7">
        <f t="shared" si="3"/>
        <v>9.7905505521128081E-14</v>
      </c>
      <c r="I13" s="8" t="str">
        <f t="shared" si="4"/>
        <v/>
      </c>
    </row>
    <row r="14" spans="1:13" x14ac:dyDescent="0.2">
      <c r="A14" s="5">
        <v>1576</v>
      </c>
      <c r="B14" s="6">
        <v>7.3719999999999994E-2</v>
      </c>
      <c r="C14" s="6">
        <f t="shared" si="0"/>
        <v>3.9719999999999991E-2</v>
      </c>
      <c r="D14" s="6">
        <f t="shared" si="1"/>
        <v>62.598719999999986</v>
      </c>
      <c r="E14" s="6">
        <f t="shared" si="5"/>
        <v>-0.86363200000000007</v>
      </c>
      <c r="F14" s="6">
        <f t="shared" si="6"/>
        <v>-6.6574999999999968E-4</v>
      </c>
      <c r="G14" s="6">
        <f t="shared" si="2"/>
        <v>45.42308140655404</v>
      </c>
      <c r="H14" s="7">
        <f t="shared" si="3"/>
        <v>1.2468646968132184E-13</v>
      </c>
      <c r="I14" s="8" t="str">
        <f t="shared" si="4"/>
        <v/>
      </c>
    </row>
    <row r="15" spans="1:13" x14ac:dyDescent="0.2">
      <c r="A15" s="5">
        <v>1574</v>
      </c>
      <c r="B15" s="6">
        <v>7.5185000000000002E-2</v>
      </c>
      <c r="C15" s="6">
        <f t="shared" si="0"/>
        <v>4.1184999999999999E-2</v>
      </c>
      <c r="D15" s="6">
        <f t="shared" si="1"/>
        <v>64.825189999999992</v>
      </c>
      <c r="E15" s="6">
        <f t="shared" si="5"/>
        <v>-0.94453700000000007</v>
      </c>
      <c r="F15" s="6">
        <f t="shared" si="6"/>
        <v>-5.1825000000000135E-4</v>
      </c>
      <c r="G15" s="6">
        <f t="shared" si="2"/>
        <v>47.065110701131125</v>
      </c>
      <c r="H15" s="7">
        <f t="shared" si="3"/>
        <v>1.6596392034713584E-13</v>
      </c>
      <c r="I15" s="8" t="str">
        <f t="shared" si="4"/>
        <v/>
      </c>
    </row>
    <row r="16" spans="1:13" x14ac:dyDescent="0.2">
      <c r="A16" s="5">
        <v>1572</v>
      </c>
      <c r="B16" s="6">
        <v>7.5792999999999999E-2</v>
      </c>
      <c r="C16" s="6">
        <f t="shared" si="0"/>
        <v>4.1792999999999997E-2</v>
      </c>
      <c r="D16" s="6">
        <f t="shared" si="1"/>
        <v>65.698595999999995</v>
      </c>
      <c r="E16" s="6">
        <f t="shared" si="5"/>
        <v>-1.0275150000000002</v>
      </c>
      <c r="F16" s="6">
        <f t="shared" si="6"/>
        <v>-5.1824999999999788E-4</v>
      </c>
      <c r="G16" s="6">
        <f t="shared" si="2"/>
        <v>47.745364879358334</v>
      </c>
      <c r="H16" s="7">
        <f t="shared" si="3"/>
        <v>1.6836267493560528E-13</v>
      </c>
      <c r="I16" s="8" t="str">
        <f t="shared" si="4"/>
        <v/>
      </c>
    </row>
    <row r="17" spans="1:9" x14ac:dyDescent="0.2">
      <c r="A17" s="5">
        <v>1570</v>
      </c>
      <c r="B17" s="6">
        <v>7.7257999999999993E-2</v>
      </c>
      <c r="C17" s="6">
        <f t="shared" si="0"/>
        <v>4.3257999999999991E-2</v>
      </c>
      <c r="D17" s="6">
        <f t="shared" si="1"/>
        <v>67.915059999999983</v>
      </c>
      <c r="E17" s="6">
        <f t="shared" si="5"/>
        <v>-1.1125660000000002</v>
      </c>
      <c r="F17" s="6">
        <f t="shared" si="6"/>
        <v>-8.9275000000000118E-4</v>
      </c>
      <c r="G17" s="6">
        <f t="shared" si="2"/>
        <v>49.381534173935414</v>
      </c>
      <c r="H17" s="7">
        <f t="shared" si="3"/>
        <v>1.0108544581418409E-13</v>
      </c>
      <c r="I17" s="8" t="str">
        <f t="shared" si="4"/>
        <v/>
      </c>
    </row>
    <row r="18" spans="1:9" x14ac:dyDescent="0.2">
      <c r="A18" s="5">
        <v>1568</v>
      </c>
      <c r="B18" s="6">
        <v>7.9364000000000004E-2</v>
      </c>
      <c r="C18" s="6">
        <f t="shared" si="0"/>
        <v>4.5364000000000002E-2</v>
      </c>
      <c r="D18" s="6">
        <f t="shared" si="1"/>
        <v>71.130752000000001</v>
      </c>
      <c r="E18" s="6">
        <f t="shared" si="5"/>
        <v>-1.2011880000000001</v>
      </c>
      <c r="F18" s="6">
        <f t="shared" si="6"/>
        <v>-1.0070000000000009E-3</v>
      </c>
      <c r="G18" s="6">
        <f t="shared" si="2"/>
        <v>51.729385337334286</v>
      </c>
      <c r="H18" s="7">
        <f t="shared" si="3"/>
        <v>9.3877552558505353E-14</v>
      </c>
      <c r="I18" s="8" t="str">
        <f t="shared" si="4"/>
        <v/>
      </c>
    </row>
    <row r="19" spans="1:9" x14ac:dyDescent="0.2">
      <c r="A19" s="5">
        <v>1566</v>
      </c>
      <c r="B19" s="6">
        <v>8.1285999999999997E-2</v>
      </c>
      <c r="C19" s="6">
        <f t="shared" si="0"/>
        <v>4.7285999999999995E-2</v>
      </c>
      <c r="D19" s="6">
        <f t="shared" si="1"/>
        <v>74.049875999999998</v>
      </c>
      <c r="E19" s="6">
        <f t="shared" si="5"/>
        <v>-1.293838</v>
      </c>
      <c r="F19" s="6">
        <f t="shared" si="6"/>
        <v>-1.0170000000000005E-3</v>
      </c>
      <c r="G19" s="6">
        <f t="shared" si="2"/>
        <v>53.868262104690693</v>
      </c>
      <c r="H19" s="7">
        <f t="shared" si="3"/>
        <v>9.6797897196293592E-14</v>
      </c>
      <c r="I19" s="8" t="str">
        <f t="shared" si="4"/>
        <v/>
      </c>
    </row>
    <row r="20" spans="1:9" x14ac:dyDescent="0.2">
      <c r="A20" s="5">
        <v>1564</v>
      </c>
      <c r="B20" s="6">
        <v>8.3432000000000006E-2</v>
      </c>
      <c r="C20" s="6">
        <f t="shared" si="0"/>
        <v>4.9432000000000004E-2</v>
      </c>
      <c r="D20" s="6">
        <f t="shared" si="1"/>
        <v>77.311648000000005</v>
      </c>
      <c r="E20" s="6">
        <f t="shared" si="5"/>
        <v>-1.3905560000000001</v>
      </c>
      <c r="F20" s="6">
        <f t="shared" si="6"/>
        <v>-9.2850000000000224E-4</v>
      </c>
      <c r="G20" s="6">
        <f t="shared" si="2"/>
        <v>56.252122832446616</v>
      </c>
      <c r="H20" s="7">
        <f t="shared" si="3"/>
        <v>1.1071613578550277E-13</v>
      </c>
      <c r="I20" s="8" t="str">
        <f t="shared" si="4"/>
        <v/>
      </c>
    </row>
    <row r="21" spans="1:9" x14ac:dyDescent="0.2">
      <c r="A21" s="5">
        <v>1562</v>
      </c>
      <c r="B21" s="6">
        <v>8.5000000000000006E-2</v>
      </c>
      <c r="C21" s="6">
        <f t="shared" si="0"/>
        <v>5.1000000000000004E-2</v>
      </c>
      <c r="D21" s="6">
        <f t="shared" si="1"/>
        <v>79.662000000000006</v>
      </c>
      <c r="E21" s="6">
        <f t="shared" si="5"/>
        <v>-1.4909880000000002</v>
      </c>
      <c r="F21" s="6">
        <f t="shared" si="6"/>
        <v>-4.8349999999999782E-4</v>
      </c>
      <c r="G21" s="6">
        <f t="shared" si="2"/>
        <v>57.990782555243115</v>
      </c>
      <c r="H21" s="7">
        <f t="shared" si="3"/>
        <v>2.1918781241209694E-13</v>
      </c>
      <c r="I21" s="8" t="str">
        <f t="shared" si="4"/>
        <v/>
      </c>
    </row>
    <row r="22" spans="1:9" x14ac:dyDescent="0.2">
      <c r="A22" s="5">
        <v>1560</v>
      </c>
      <c r="B22" s="6">
        <v>8.5365999999999997E-2</v>
      </c>
      <c r="C22" s="6">
        <f t="shared" si="0"/>
        <v>5.1365999999999995E-2</v>
      </c>
      <c r="D22" s="6">
        <f t="shared" si="1"/>
        <v>80.130959999999988</v>
      </c>
      <c r="E22" s="6">
        <f t="shared" si="5"/>
        <v>-1.5933540000000002</v>
      </c>
      <c r="F22" s="6">
        <f t="shared" si="6"/>
        <v>-5.7499999999988116E-6</v>
      </c>
      <c r="G22" s="6">
        <f t="shared" si="2"/>
        <v>58.395885669110143</v>
      </c>
      <c r="H22" s="7">
        <f t="shared" si="3"/>
        <v>1.8559587359878657E-11</v>
      </c>
      <c r="I22" s="8" t="str">
        <f t="shared" si="4"/>
        <v/>
      </c>
    </row>
    <row r="23" spans="1:9" x14ac:dyDescent="0.2">
      <c r="A23" s="5">
        <v>1558</v>
      </c>
      <c r="B23" s="6">
        <v>8.5023000000000001E-2</v>
      </c>
      <c r="C23" s="6">
        <f t="shared" si="0"/>
        <v>5.1022999999999999E-2</v>
      </c>
      <c r="D23" s="6">
        <f t="shared" si="1"/>
        <v>79.493833999999993</v>
      </c>
      <c r="E23" s="6">
        <f t="shared" si="5"/>
        <v>-1.6957430000000002</v>
      </c>
      <c r="F23" s="6">
        <f t="shared" si="6"/>
        <v>1.3749999999999873E-5</v>
      </c>
      <c r="G23" s="6">
        <f t="shared" si="2"/>
        <v>58.016925854748415</v>
      </c>
      <c r="H23" s="7">
        <f t="shared" si="3"/>
        <v>-7.710915185373332E-12</v>
      </c>
      <c r="I23" s="8" t="str">
        <f t="shared" si="4"/>
        <v/>
      </c>
    </row>
    <row r="24" spans="1:9" x14ac:dyDescent="0.2">
      <c r="A24" s="5">
        <v>1556</v>
      </c>
      <c r="B24" s="6">
        <v>8.5310999999999998E-2</v>
      </c>
      <c r="C24" s="6">
        <f t="shared" si="0"/>
        <v>5.1310999999999996E-2</v>
      </c>
      <c r="D24" s="6">
        <f t="shared" si="1"/>
        <v>79.839915999999988</v>
      </c>
      <c r="E24" s="6">
        <f t="shared" si="5"/>
        <v>-1.7980770000000001</v>
      </c>
      <c r="F24" s="6">
        <f t="shared" si="6"/>
        <v>-1.1649999999999855E-4</v>
      </c>
      <c r="G24" s="6">
        <f t="shared" si="2"/>
        <v>58.334543518119197</v>
      </c>
      <c r="H24" s="7">
        <f t="shared" si="3"/>
        <v>9.1506888785545645E-13</v>
      </c>
      <c r="I24" s="8" t="str">
        <f t="shared" si="4"/>
        <v/>
      </c>
    </row>
    <row r="25" spans="1:9" x14ac:dyDescent="0.2">
      <c r="A25" s="5">
        <v>1554</v>
      </c>
      <c r="B25" s="6">
        <v>8.5488999999999996E-2</v>
      </c>
      <c r="C25" s="6">
        <f t="shared" si="0"/>
        <v>5.1488999999999993E-2</v>
      </c>
      <c r="D25" s="6">
        <f t="shared" si="1"/>
        <v>80.013905999999992</v>
      </c>
      <c r="E25" s="6">
        <f t="shared" si="5"/>
        <v>-1.9008770000000001</v>
      </c>
      <c r="F25" s="6">
        <f t="shared" si="6"/>
        <v>-2.7950000000000197E-4</v>
      </c>
      <c r="G25" s="6">
        <f t="shared" si="2"/>
        <v>58.530492879508081</v>
      </c>
      <c r="H25" s="7">
        <f t="shared" si="3"/>
        <v>3.8269631494933826E-13</v>
      </c>
      <c r="I25" s="8" t="str">
        <f t="shared" si="4"/>
        <v/>
      </c>
    </row>
    <row r="26" spans="1:9" x14ac:dyDescent="0.2">
      <c r="A26" s="5">
        <v>1552</v>
      </c>
      <c r="B26" s="6">
        <v>8.6429000000000006E-2</v>
      </c>
      <c r="C26" s="6">
        <f t="shared" si="0"/>
        <v>5.2429000000000003E-2</v>
      </c>
      <c r="D26" s="6">
        <f t="shared" si="1"/>
        <v>81.369808000000006</v>
      </c>
      <c r="E26" s="6">
        <f t="shared" si="5"/>
        <v>-2.0047950000000001</v>
      </c>
      <c r="F26" s="6">
        <f t="shared" si="6"/>
        <v>-3.4350000000000006E-4</v>
      </c>
      <c r="G26" s="6">
        <f t="shared" si="2"/>
        <v>59.563401641898849</v>
      </c>
      <c r="H26" s="7">
        <f t="shared" si="3"/>
        <v>3.1688863374266262E-13</v>
      </c>
      <c r="I26" s="8" t="str">
        <f t="shared" si="4"/>
        <v/>
      </c>
    </row>
    <row r="27" spans="1:9" x14ac:dyDescent="0.2">
      <c r="A27" s="5">
        <v>1550</v>
      </c>
      <c r="B27" s="6">
        <v>8.6862999999999996E-2</v>
      </c>
      <c r="C27" s="6">
        <f t="shared" si="0"/>
        <v>5.2862999999999993E-2</v>
      </c>
      <c r="D27" s="6">
        <f t="shared" si="1"/>
        <v>81.937649999999991</v>
      </c>
      <c r="E27" s="6">
        <f t="shared" si="5"/>
        <v>-2.110087</v>
      </c>
      <c r="F27" s="6">
        <f t="shared" si="6"/>
        <v>-2.794999999999985E-4</v>
      </c>
      <c r="G27" s="6">
        <f t="shared" si="2"/>
        <v>60.039429815172866</v>
      </c>
      <c r="H27" s="7">
        <f t="shared" si="3"/>
        <v>3.9256236213877375E-13</v>
      </c>
      <c r="I27" s="8" t="str">
        <f t="shared" si="4"/>
        <v/>
      </c>
    </row>
    <row r="28" spans="1:9" x14ac:dyDescent="0.2">
      <c r="A28" s="5">
        <v>1548</v>
      </c>
      <c r="B28" s="6">
        <v>8.7547E-2</v>
      </c>
      <c r="C28" s="6">
        <f t="shared" si="0"/>
        <v>5.3546999999999997E-2</v>
      </c>
      <c r="D28" s="6">
        <f t="shared" si="1"/>
        <v>82.890755999999996</v>
      </c>
      <c r="E28" s="6">
        <f t="shared" si="5"/>
        <v>-2.2164969999999999</v>
      </c>
      <c r="F28" s="6">
        <f t="shared" si="6"/>
        <v>-1.9800000000000026E-4</v>
      </c>
      <c r="G28" s="6">
        <f t="shared" si="2"/>
        <v>60.788299765678481</v>
      </c>
      <c r="H28" s="7">
        <f t="shared" si="3"/>
        <v>5.6105923789870923E-13</v>
      </c>
      <c r="I28" s="8" t="str">
        <f t="shared" si="4"/>
        <v/>
      </c>
    </row>
    <row r="29" spans="1:9" x14ac:dyDescent="0.2">
      <c r="A29" s="5">
        <v>1546</v>
      </c>
      <c r="B29" s="6">
        <v>8.7654999999999997E-2</v>
      </c>
      <c r="C29" s="6">
        <f t="shared" si="0"/>
        <v>5.3654999999999994E-2</v>
      </c>
      <c r="D29" s="6">
        <f t="shared" si="1"/>
        <v>82.95062999999999</v>
      </c>
      <c r="E29" s="6">
        <f t="shared" si="5"/>
        <v>-2.323699</v>
      </c>
      <c r="F29" s="6">
        <f t="shared" si="6"/>
        <v>-1.3074999999999892E-4</v>
      </c>
      <c r="G29" s="6">
        <f t="shared" si="2"/>
        <v>60.906326389442519</v>
      </c>
      <c r="H29" s="7">
        <f t="shared" si="3"/>
        <v>8.5128429088595684E-13</v>
      </c>
      <c r="I29" s="8" t="str">
        <f t="shared" si="4"/>
        <v/>
      </c>
    </row>
    <row r="30" spans="1:9" x14ac:dyDescent="0.2">
      <c r="A30" s="5">
        <v>1544</v>
      </c>
      <c r="B30" s="6">
        <v>8.8069999999999996E-2</v>
      </c>
      <c r="C30" s="6">
        <f t="shared" si="0"/>
        <v>5.4069999999999993E-2</v>
      </c>
      <c r="D30" s="6">
        <f t="shared" si="1"/>
        <v>83.484079999999992</v>
      </c>
      <c r="E30" s="6">
        <f t="shared" si="5"/>
        <v>-2.4314239999999998</v>
      </c>
      <c r="F30" s="6">
        <f t="shared" si="6"/>
        <v>-3.1000000000000125E-4</v>
      </c>
      <c r="G30" s="6">
        <f t="shared" si="2"/>
        <v>61.359024619646952</v>
      </c>
      <c r="H30" s="7">
        <f t="shared" si="3"/>
        <v>3.6171845300206746E-13</v>
      </c>
      <c r="I30" s="8" t="str">
        <f t="shared" si="4"/>
        <v/>
      </c>
    </row>
    <row r="31" spans="1:9" x14ac:dyDescent="0.2">
      <c r="A31" s="5">
        <v>1542</v>
      </c>
      <c r="B31" s="6">
        <v>8.8895000000000002E-2</v>
      </c>
      <c r="C31" s="6">
        <f t="shared" si="0"/>
        <v>5.4894999999999999E-2</v>
      </c>
      <c r="D31" s="6">
        <f t="shared" si="1"/>
        <v>84.648089999999996</v>
      </c>
      <c r="E31" s="6">
        <f t="shared" si="5"/>
        <v>-2.5403889999999998</v>
      </c>
      <c r="F31" s="6">
        <f t="shared" si="6"/>
        <v>-2.5450000000000125E-4</v>
      </c>
      <c r="G31" s="6">
        <f t="shared" si="2"/>
        <v>62.257316884511184</v>
      </c>
      <c r="H31" s="7">
        <f t="shared" si="3"/>
        <v>4.4705043776719968E-13</v>
      </c>
      <c r="I31" s="8" t="str">
        <f t="shared" si="4"/>
        <v/>
      </c>
    </row>
    <row r="32" spans="1:9" x14ac:dyDescent="0.2">
      <c r="A32" s="5">
        <v>1540</v>
      </c>
      <c r="B32" s="6">
        <v>8.9088000000000001E-2</v>
      </c>
      <c r="C32" s="6">
        <f t="shared" si="0"/>
        <v>5.5087999999999998E-2</v>
      </c>
      <c r="D32" s="6">
        <f t="shared" si="1"/>
        <v>84.835520000000002</v>
      </c>
      <c r="E32" s="6">
        <f t="shared" si="5"/>
        <v>-2.650372</v>
      </c>
      <c r="F32" s="6">
        <f t="shared" si="6"/>
        <v>-4.2500000000007809E-6</v>
      </c>
      <c r="G32" s="6">
        <f t="shared" si="2"/>
        <v>62.467076832533962</v>
      </c>
      <c r="H32" s="7">
        <f t="shared" si="3"/>
        <v>2.6860628152959446E-11</v>
      </c>
      <c r="I32" s="8" t="str">
        <f t="shared" si="4"/>
        <v/>
      </c>
    </row>
    <row r="33" spans="1:9" x14ac:dyDescent="0.2">
      <c r="A33" s="5">
        <v>1538</v>
      </c>
      <c r="B33" s="6">
        <v>8.8912000000000005E-2</v>
      </c>
      <c r="C33" s="6">
        <f t="shared" si="0"/>
        <v>5.4912000000000002E-2</v>
      </c>
      <c r="D33" s="6">
        <f t="shared" si="1"/>
        <v>84.454656</v>
      </c>
      <c r="E33" s="6">
        <f t="shared" si="5"/>
        <v>-2.7603719999999998</v>
      </c>
      <c r="F33" s="6">
        <f t="shared" si="6"/>
        <v>1.1399999999999952E-4</v>
      </c>
      <c r="G33" s="6">
        <f t="shared" si="2"/>
        <v>62.276145149362932</v>
      </c>
      <c r="H33" s="7">
        <f t="shared" si="3"/>
        <v>-9.9832232272370968E-13</v>
      </c>
      <c r="I33" s="8" t="str">
        <f t="shared" si="4"/>
        <v/>
      </c>
    </row>
    <row r="34" spans="1:9" x14ac:dyDescent="0.2">
      <c r="A34" s="5">
        <v>1536</v>
      </c>
      <c r="B34" s="6">
        <v>8.8632000000000002E-2</v>
      </c>
      <c r="C34" s="6">
        <f t="shared" si="0"/>
        <v>5.4632E-2</v>
      </c>
      <c r="D34" s="6">
        <f t="shared" si="1"/>
        <v>83.914751999999993</v>
      </c>
      <c r="E34" s="6">
        <f t="shared" si="5"/>
        <v>-2.8699159999999999</v>
      </c>
      <c r="F34" s="6">
        <f t="shared" si="6"/>
        <v>2.6250000000001966E-5</v>
      </c>
      <c r="G34" s="6">
        <f t="shared" si="2"/>
        <v>61.972950198863558</v>
      </c>
      <c r="H34" s="7">
        <f t="shared" si="3"/>
        <v>-4.3144632552811835E-12</v>
      </c>
      <c r="I34" s="8" t="str">
        <f t="shared" si="4"/>
        <v/>
      </c>
    </row>
    <row r="35" spans="1:9" x14ac:dyDescent="0.2">
      <c r="A35" s="5">
        <v>1534</v>
      </c>
      <c r="B35" s="6">
        <v>8.8806999999999997E-2</v>
      </c>
      <c r="C35" s="6">
        <f t="shared" si="0"/>
        <v>5.4806999999999995E-2</v>
      </c>
      <c r="D35" s="6">
        <f t="shared" si="1"/>
        <v>84.073937999999998</v>
      </c>
      <c r="E35" s="6">
        <f t="shared" si="5"/>
        <v>-2.979355</v>
      </c>
      <c r="F35" s="6">
        <f t="shared" si="6"/>
        <v>-1.182500000000003E-4</v>
      </c>
      <c r="G35" s="6">
        <f t="shared" si="2"/>
        <v>62.162097042925659</v>
      </c>
      <c r="H35" s="7">
        <f t="shared" si="3"/>
        <v>9.6067926886560686E-13</v>
      </c>
      <c r="I35" s="8" t="str">
        <f t="shared" si="4"/>
        <v/>
      </c>
    </row>
    <row r="36" spans="1:9" x14ac:dyDescent="0.2">
      <c r="A36" s="5">
        <v>1532</v>
      </c>
      <c r="B36" s="6">
        <v>8.9105000000000004E-2</v>
      </c>
      <c r="C36" s="6">
        <f t="shared" si="0"/>
        <v>5.5105000000000001E-2</v>
      </c>
      <c r="D36" s="6">
        <f t="shared" si="1"/>
        <v>84.420860000000005</v>
      </c>
      <c r="E36" s="6">
        <f t="shared" si="5"/>
        <v>-3.089267</v>
      </c>
      <c r="F36" s="6">
        <f t="shared" si="6"/>
        <v>-8.7750000000001022E-5</v>
      </c>
      <c r="G36" s="6">
        <f t="shared" si="2"/>
        <v>62.48359109738572</v>
      </c>
      <c r="H36" s="7">
        <f t="shared" si="3"/>
        <v>1.301286031084641E-12</v>
      </c>
      <c r="I36" s="8" t="str">
        <f t="shared" si="4"/>
        <v/>
      </c>
    </row>
    <row r="37" spans="1:9" x14ac:dyDescent="0.2">
      <c r="A37" s="5">
        <v>1530</v>
      </c>
      <c r="B37" s="6">
        <v>8.9158000000000001E-2</v>
      </c>
      <c r="C37" s="6">
        <f t="shared" si="0"/>
        <v>5.5157999999999999E-2</v>
      </c>
      <c r="D37" s="6">
        <f t="shared" si="1"/>
        <v>84.391739999999999</v>
      </c>
      <c r="E37" s="6">
        <f t="shared" si="5"/>
        <v>-3.1995300000000002</v>
      </c>
      <c r="F37" s="6">
        <f t="shared" si="6"/>
        <v>-8.7499999999983424E-6</v>
      </c>
      <c r="G37" s="6">
        <f t="shared" si="2"/>
        <v>62.540663570158813</v>
      </c>
      <c r="H37" s="7">
        <f t="shared" si="3"/>
        <v>1.3061959809977163E-11</v>
      </c>
      <c r="I37" s="8" t="str">
        <f t="shared" si="4"/>
        <v/>
      </c>
    </row>
    <row r="38" spans="1:9" x14ac:dyDescent="0.2">
      <c r="A38" s="5">
        <v>1528</v>
      </c>
      <c r="B38" s="6">
        <v>8.9139999999999997E-2</v>
      </c>
      <c r="C38" s="6">
        <f t="shared" si="0"/>
        <v>5.5139999999999995E-2</v>
      </c>
      <c r="D38" s="6">
        <f t="shared" si="1"/>
        <v>84.253919999999994</v>
      </c>
      <c r="E38" s="6">
        <f t="shared" si="5"/>
        <v>-3.309828</v>
      </c>
      <c r="F38" s="6">
        <f t="shared" si="6"/>
        <v>-2.1499999999999991E-4</v>
      </c>
      <c r="G38" s="6">
        <f t="shared" si="2"/>
        <v>62.521316466198137</v>
      </c>
      <c r="H38" s="7">
        <f t="shared" si="3"/>
        <v>5.3142693854717606E-13</v>
      </c>
      <c r="I38" s="8" t="str">
        <f t="shared" si="4"/>
        <v/>
      </c>
    </row>
    <row r="39" spans="1:9" x14ac:dyDescent="0.2">
      <c r="A39" s="5">
        <v>1526</v>
      </c>
      <c r="B39" s="6">
        <v>9.0018000000000001E-2</v>
      </c>
      <c r="C39" s="6">
        <f t="shared" si="0"/>
        <v>5.6017999999999998E-2</v>
      </c>
      <c r="D39" s="6">
        <f t="shared" si="1"/>
        <v>85.483468000000002</v>
      </c>
      <c r="E39" s="6">
        <f t="shared" si="5"/>
        <v>-3.4209860000000001</v>
      </c>
      <c r="F39" s="6">
        <f t="shared" si="6"/>
        <v>-5.0000000000000044E-4</v>
      </c>
      <c r="G39" s="6">
        <f t="shared" si="2"/>
        <v>63.463269203835459</v>
      </c>
      <c r="H39" s="7">
        <f t="shared" si="3"/>
        <v>2.3195639328887209E-13</v>
      </c>
      <c r="I39" s="8" t="str">
        <f t="shared" si="4"/>
        <v/>
      </c>
    </row>
    <row r="40" spans="1:9" x14ac:dyDescent="0.2">
      <c r="A40" s="5">
        <v>1524</v>
      </c>
      <c r="B40" s="6">
        <v>9.1139999999999999E-2</v>
      </c>
      <c r="C40" s="6">
        <f t="shared" si="0"/>
        <v>5.7139999999999996E-2</v>
      </c>
      <c r="D40" s="6">
        <f t="shared" si="1"/>
        <v>87.081359999999989</v>
      </c>
      <c r="E40" s="6">
        <f t="shared" si="5"/>
        <v>-3.534144</v>
      </c>
      <c r="F40" s="6">
        <f t="shared" si="6"/>
        <v>-3.4649999999999959E-4</v>
      </c>
      <c r="G40" s="6">
        <f t="shared" si="2"/>
        <v>64.664750684050802</v>
      </c>
      <c r="H40" s="7">
        <f t="shared" si="3"/>
        <v>3.4105017744303351E-13</v>
      </c>
      <c r="I40" s="8" t="str">
        <f t="shared" si="4"/>
        <v/>
      </c>
    </row>
    <row r="41" spans="1:9" x14ac:dyDescent="0.2">
      <c r="A41" s="5">
        <v>1522</v>
      </c>
      <c r="B41" s="6">
        <v>9.1403999999999999E-2</v>
      </c>
      <c r="C41" s="6">
        <f t="shared" si="0"/>
        <v>5.7403999999999997E-2</v>
      </c>
      <c r="D41" s="6">
        <f t="shared" si="1"/>
        <v>87.368887999999998</v>
      </c>
      <c r="E41" s="6">
        <f t="shared" si="5"/>
        <v>-3.6486879999999999</v>
      </c>
      <c r="F41" s="6">
        <f t="shared" si="6"/>
        <v>-5.7000000000001494E-5</v>
      </c>
      <c r="G41" s="6">
        <f t="shared" si="2"/>
        <v>64.94692420880736</v>
      </c>
      <c r="H41" s="7">
        <f t="shared" si="3"/>
        <v>2.0822728855290623E-12</v>
      </c>
      <c r="I41" s="8" t="str">
        <f t="shared" si="4"/>
        <v/>
      </c>
    </row>
    <row r="42" spans="1:9" x14ac:dyDescent="0.2">
      <c r="A42" s="5">
        <v>1520</v>
      </c>
      <c r="B42" s="6">
        <v>9.1368000000000005E-2</v>
      </c>
      <c r="C42" s="6">
        <f t="shared" si="0"/>
        <v>5.7368000000000002E-2</v>
      </c>
      <c r="D42" s="6">
        <f t="shared" si="1"/>
        <v>87.199359999999999</v>
      </c>
      <c r="E42" s="6">
        <f t="shared" si="5"/>
        <v>-3.7634599999999998</v>
      </c>
      <c r="F42" s="6">
        <f t="shared" si="6"/>
        <v>-2.0175000000000054E-4</v>
      </c>
      <c r="G42" s="6">
        <f t="shared" si="2"/>
        <v>64.908518000886019</v>
      </c>
      <c r="H42" s="7">
        <f t="shared" si="3"/>
        <v>5.8795225621649234E-13</v>
      </c>
      <c r="I42" s="8" t="str">
        <f t="shared" si="4"/>
        <v/>
      </c>
    </row>
    <row r="43" spans="1:9" x14ac:dyDescent="0.2">
      <c r="A43" s="5">
        <v>1518</v>
      </c>
      <c r="B43" s="6">
        <v>9.2211000000000001E-2</v>
      </c>
      <c r="C43" s="6">
        <f t="shared" si="0"/>
        <v>5.8210999999999999E-2</v>
      </c>
      <c r="D43" s="6">
        <f t="shared" si="1"/>
        <v>88.364298000000005</v>
      </c>
      <c r="E43" s="6">
        <f t="shared" si="5"/>
        <v>-3.8790389999999997</v>
      </c>
      <c r="F43" s="6">
        <f t="shared" si="6"/>
        <v>-4.3424999999999714E-4</v>
      </c>
      <c r="G43" s="6">
        <f t="shared" si="2"/>
        <v>65.806177369710909</v>
      </c>
      <c r="H43" s="7">
        <f t="shared" si="3"/>
        <v>2.7693684988953587E-13</v>
      </c>
      <c r="I43" s="8" t="str">
        <f t="shared" si="4"/>
        <v/>
      </c>
    </row>
    <row r="44" spans="1:9" x14ac:dyDescent="0.2">
      <c r="A44" s="5">
        <v>1516</v>
      </c>
      <c r="B44" s="6">
        <v>9.3104999999999993E-2</v>
      </c>
      <c r="C44" s="6">
        <f t="shared" si="0"/>
        <v>5.9104999999999991E-2</v>
      </c>
      <c r="D44" s="6">
        <f t="shared" si="1"/>
        <v>89.603179999999981</v>
      </c>
      <c r="E44" s="6">
        <f t="shared" si="5"/>
        <v>-3.9963549999999999</v>
      </c>
      <c r="F44" s="6">
        <f t="shared" si="6"/>
        <v>-2.3675000000000085E-4</v>
      </c>
      <c r="G44" s="6">
        <f t="shared" si="2"/>
        <v>66.756355533091053</v>
      </c>
      <c r="H44" s="7">
        <f t="shared" si="3"/>
        <v>5.1529572868685677E-13</v>
      </c>
      <c r="I44" s="8" t="str">
        <f t="shared" si="4"/>
        <v/>
      </c>
    </row>
    <row r="45" spans="1:9" x14ac:dyDescent="0.2">
      <c r="A45" s="5">
        <v>1514</v>
      </c>
      <c r="B45" s="6">
        <v>9.3158000000000005E-2</v>
      </c>
      <c r="C45" s="6">
        <f t="shared" si="0"/>
        <v>5.9158000000000002E-2</v>
      </c>
      <c r="D45" s="6">
        <f t="shared" si="1"/>
        <v>89.565212000000002</v>
      </c>
      <c r="E45" s="6">
        <f t="shared" si="5"/>
        <v>-4.1146180000000001</v>
      </c>
      <c r="F45" s="6">
        <f t="shared" si="6"/>
        <v>1.0949999999999849E-4</v>
      </c>
      <c r="G45" s="6">
        <f t="shared" si="2"/>
        <v>66.812580005864163</v>
      </c>
      <c r="H45" s="7">
        <f t="shared" si="3"/>
        <v>-1.1150594809919003E-12</v>
      </c>
      <c r="I45" s="8" t="str">
        <f t="shared" si="4"/>
        <v/>
      </c>
    </row>
    <row r="46" spans="1:9" x14ac:dyDescent="0.2">
      <c r="A46" s="5">
        <v>1512</v>
      </c>
      <c r="B46" s="6">
        <v>9.2666999999999999E-2</v>
      </c>
      <c r="C46" s="6">
        <f t="shared" si="0"/>
        <v>5.8666999999999997E-2</v>
      </c>
      <c r="D46" s="6">
        <f t="shared" si="1"/>
        <v>88.704504</v>
      </c>
      <c r="E46" s="6">
        <f t="shared" si="5"/>
        <v>-4.232443</v>
      </c>
      <c r="F46" s="6">
        <f t="shared" si="6"/>
        <v>-1.7500000000000154E-5</v>
      </c>
      <c r="G46" s="6">
        <f t="shared" si="2"/>
        <v>66.292690003381324</v>
      </c>
      <c r="H46" s="7">
        <f t="shared" si="3"/>
        <v>6.9227955308459416E-12</v>
      </c>
      <c r="I46" s="8" t="str">
        <f t="shared" si="4"/>
        <v/>
      </c>
    </row>
    <row r="47" spans="1:9" x14ac:dyDescent="0.2">
      <c r="A47" s="5">
        <v>1510</v>
      </c>
      <c r="B47" s="6">
        <v>9.3228000000000005E-2</v>
      </c>
      <c r="C47" s="6">
        <f t="shared" si="0"/>
        <v>5.9228000000000003E-2</v>
      </c>
      <c r="D47" s="6">
        <f t="shared" si="1"/>
        <v>89.434280000000001</v>
      </c>
      <c r="E47" s="6">
        <f t="shared" si="5"/>
        <v>-4.3503379999999998</v>
      </c>
      <c r="F47" s="6">
        <f t="shared" si="6"/>
        <v>-5.0874999999999879E-4</v>
      </c>
      <c r="G47" s="6">
        <f t="shared" si="2"/>
        <v>66.885576743488997</v>
      </c>
      <c r="H47" s="7">
        <f t="shared" si="3"/>
        <v>2.4026027250991114E-13</v>
      </c>
      <c r="I47" s="8" t="str">
        <f t="shared" si="4"/>
        <v/>
      </c>
    </row>
    <row r="48" spans="1:9" x14ac:dyDescent="0.2">
      <c r="A48" s="5">
        <v>1508</v>
      </c>
      <c r="B48" s="6">
        <v>9.4701999999999995E-2</v>
      </c>
      <c r="C48" s="6">
        <f t="shared" si="0"/>
        <v>6.0701999999999992E-2</v>
      </c>
      <c r="D48" s="6">
        <f t="shared" si="1"/>
        <v>91.53861599999999</v>
      </c>
      <c r="E48" s="6">
        <f t="shared" si="5"/>
        <v>-4.4702679999999999</v>
      </c>
      <c r="F48" s="6">
        <f t="shared" si="6"/>
        <v>-2.982499999999999E-4</v>
      </c>
      <c r="G48" s="6">
        <f t="shared" si="2"/>
        <v>68.440409590046414</v>
      </c>
      <c r="H48" s="7">
        <f t="shared" si="3"/>
        <v>4.1935908779556199E-13</v>
      </c>
      <c r="I48" s="8" t="str">
        <f t="shared" si="4"/>
        <v/>
      </c>
    </row>
    <row r="49" spans="1:9" x14ac:dyDescent="0.2">
      <c r="A49" s="5">
        <v>1506</v>
      </c>
      <c r="B49" s="6">
        <v>9.4421000000000005E-2</v>
      </c>
      <c r="C49" s="6">
        <f t="shared" si="0"/>
        <v>6.0421000000000002E-2</v>
      </c>
      <c r="D49" s="6">
        <f t="shared" si="1"/>
        <v>90.994026000000005</v>
      </c>
      <c r="E49" s="6">
        <f t="shared" si="5"/>
        <v>-4.5913909999999998</v>
      </c>
      <c r="F49" s="6">
        <f t="shared" si="6"/>
        <v>5.6999999999998024E-5</v>
      </c>
      <c r="G49" s="6">
        <f t="shared" si="2"/>
        <v>68.144561800438112</v>
      </c>
      <c r="H49" s="7">
        <f t="shared" si="3"/>
        <v>-2.1847928144698519E-12</v>
      </c>
      <c r="I49" s="8" t="str">
        <f t="shared" si="4"/>
        <v/>
      </c>
    </row>
    <row r="50" spans="1:9" x14ac:dyDescent="0.2">
      <c r="A50" s="5">
        <v>1504</v>
      </c>
      <c r="B50" s="6">
        <v>9.4474000000000002E-2</v>
      </c>
      <c r="C50" s="6">
        <f t="shared" si="0"/>
        <v>6.0474E-2</v>
      </c>
      <c r="D50" s="6">
        <f t="shared" si="1"/>
        <v>90.952895999999996</v>
      </c>
      <c r="E50" s="6">
        <f t="shared" si="5"/>
        <v>-4.7122859999999998</v>
      </c>
      <c r="F50" s="6">
        <f t="shared" si="6"/>
        <v>1.2275000000000133E-4</v>
      </c>
      <c r="G50" s="6">
        <f t="shared" si="2"/>
        <v>68.20025627321121</v>
      </c>
      <c r="H50" s="7">
        <f t="shared" si="3"/>
        <v>-1.0153561813403019E-12</v>
      </c>
      <c r="I50" s="8" t="str">
        <f t="shared" si="4"/>
        <v/>
      </c>
    </row>
    <row r="51" spans="1:9" x14ac:dyDescent="0.2">
      <c r="A51" s="5">
        <v>1502</v>
      </c>
      <c r="B51" s="6">
        <v>9.393E-2</v>
      </c>
      <c r="C51" s="6">
        <f t="shared" si="0"/>
        <v>5.9929999999999997E-2</v>
      </c>
      <c r="D51" s="6">
        <f t="shared" si="1"/>
        <v>90.014859999999999</v>
      </c>
      <c r="E51" s="6">
        <f t="shared" si="5"/>
        <v>-4.8326899999999995</v>
      </c>
      <c r="F51" s="6">
        <f t="shared" si="6"/>
        <v>7.899999999999921E-5</v>
      </c>
      <c r="G51" s="6">
        <f t="shared" si="2"/>
        <v>67.629687797955285</v>
      </c>
      <c r="H51" s="7">
        <f t="shared" si="3"/>
        <v>-1.564459059653656E-12</v>
      </c>
      <c r="I51" s="8" t="str">
        <f t="shared" si="4"/>
        <v/>
      </c>
    </row>
    <row r="52" spans="1:9" x14ac:dyDescent="0.2">
      <c r="A52" s="5">
        <v>1500</v>
      </c>
      <c r="B52" s="6">
        <v>9.4158000000000006E-2</v>
      </c>
      <c r="C52" s="6">
        <f t="shared" si="0"/>
        <v>6.0158000000000003E-2</v>
      </c>
      <c r="D52" s="6">
        <f t="shared" si="1"/>
        <v>90.237000000000009</v>
      </c>
      <c r="E52" s="6">
        <f t="shared" si="5"/>
        <v>-4.9527779999999995</v>
      </c>
      <c r="F52" s="6">
        <f t="shared" si="6"/>
        <v>-2.6249999999998497E-5</v>
      </c>
      <c r="G52" s="6">
        <f t="shared" si="2"/>
        <v>67.868367114790487</v>
      </c>
      <c r="H52" s="7">
        <f t="shared" si="3"/>
        <v>4.7248932828456126E-12</v>
      </c>
      <c r="I52" s="8" t="str">
        <f t="shared" si="4"/>
        <v/>
      </c>
    </row>
    <row r="53" spans="1:9" x14ac:dyDescent="0.2">
      <c r="A53" s="5">
        <v>1498</v>
      </c>
      <c r="B53" s="6">
        <v>9.4034999999999994E-2</v>
      </c>
      <c r="C53" s="6">
        <f t="shared" si="0"/>
        <v>6.0034999999999991E-2</v>
      </c>
      <c r="D53" s="6">
        <f t="shared" si="1"/>
        <v>89.932429999999982</v>
      </c>
      <c r="E53" s="6">
        <f t="shared" si="5"/>
        <v>-5.072970999999999</v>
      </c>
      <c r="F53" s="6">
        <f t="shared" si="6"/>
        <v>-2.2374999999999826E-4</v>
      </c>
      <c r="G53" s="6">
        <f t="shared" si="2"/>
        <v>67.739851904392538</v>
      </c>
      <c r="H53" s="7">
        <f t="shared" si="3"/>
        <v>5.5326743690085493E-13</v>
      </c>
      <c r="I53" s="8" t="str">
        <f t="shared" si="4"/>
        <v/>
      </c>
    </row>
    <row r="54" spans="1:9" x14ac:dyDescent="0.2">
      <c r="A54" s="5">
        <v>1496</v>
      </c>
      <c r="B54" s="6">
        <v>9.5052999999999999E-2</v>
      </c>
      <c r="C54" s="6">
        <f t="shared" si="0"/>
        <v>6.1052999999999996E-2</v>
      </c>
      <c r="D54" s="6">
        <f t="shared" si="1"/>
        <v>91.335287999999991</v>
      </c>
      <c r="E54" s="6">
        <f t="shared" si="5"/>
        <v>-5.1940589999999993</v>
      </c>
      <c r="F54" s="6">
        <f t="shared" si="6"/>
        <v>-1.4925000000000008E-4</v>
      </c>
      <c r="G54" s="6">
        <f t="shared" si="2"/>
        <v>68.801462117279556</v>
      </c>
      <c r="H54" s="7">
        <f t="shared" si="3"/>
        <v>8.4243662412059701E-13</v>
      </c>
      <c r="I54" s="8" t="str">
        <f t="shared" si="4"/>
        <v/>
      </c>
    </row>
    <row r="55" spans="1:9" x14ac:dyDescent="0.2">
      <c r="A55" s="5">
        <v>1494</v>
      </c>
      <c r="B55" s="6">
        <v>9.4631999999999994E-2</v>
      </c>
      <c r="C55" s="6">
        <f t="shared" si="0"/>
        <v>6.0631999999999991E-2</v>
      </c>
      <c r="D55" s="6">
        <f t="shared" si="1"/>
        <v>90.58420799999999</v>
      </c>
      <c r="E55" s="6">
        <f t="shared" si="5"/>
        <v>-5.3157439999999996</v>
      </c>
      <c r="F55" s="6">
        <f t="shared" si="6"/>
        <v>3.0749999999999528E-5</v>
      </c>
      <c r="G55" s="6">
        <f t="shared" si="2"/>
        <v>68.363268852421569</v>
      </c>
      <c r="H55" s="7">
        <f t="shared" si="3"/>
        <v>-4.0628577029205665E-12</v>
      </c>
      <c r="I55" s="8" t="str">
        <f t="shared" si="4"/>
        <v/>
      </c>
    </row>
    <row r="56" spans="1:9" x14ac:dyDescent="0.2">
      <c r="A56" s="5">
        <v>1492</v>
      </c>
      <c r="B56" s="6">
        <v>9.493E-2</v>
      </c>
      <c r="C56" s="6">
        <f t="shared" si="0"/>
        <v>6.0929999999999998E-2</v>
      </c>
      <c r="D56" s="6">
        <f t="shared" si="1"/>
        <v>90.907560000000004</v>
      </c>
      <c r="E56" s="6">
        <f t="shared" si="5"/>
        <v>-5.4373059999999995</v>
      </c>
      <c r="F56" s="6">
        <f t="shared" si="6"/>
        <v>-1.8850000000000117E-4</v>
      </c>
      <c r="G56" s="6">
        <f t="shared" si="2"/>
        <v>68.672842906881613</v>
      </c>
      <c r="H56" s="7">
        <f t="shared" si="3"/>
        <v>6.657751534397559E-13</v>
      </c>
      <c r="I56" s="8" t="str">
        <f t="shared" si="4"/>
        <v/>
      </c>
    </row>
    <row r="57" spans="1:9" x14ac:dyDescent="0.2">
      <c r="A57" s="5">
        <v>1490</v>
      </c>
      <c r="B57" s="6">
        <v>9.5385999999999999E-2</v>
      </c>
      <c r="C57" s="6">
        <f t="shared" si="0"/>
        <v>6.1385999999999996E-2</v>
      </c>
      <c r="D57" s="6">
        <f t="shared" si="1"/>
        <v>91.465139999999991</v>
      </c>
      <c r="E57" s="6">
        <f t="shared" si="5"/>
        <v>-5.5596219999999992</v>
      </c>
      <c r="F57" s="6">
        <f t="shared" si="6"/>
        <v>-2.3250000000000007E-4</v>
      </c>
      <c r="G57" s="6">
        <f t="shared" si="2"/>
        <v>69.14564154055202</v>
      </c>
      <c r="H57" s="7">
        <f t="shared" si="3"/>
        <v>5.4349526457706097E-13</v>
      </c>
      <c r="I57" s="8" t="str">
        <f t="shared" si="4"/>
        <v/>
      </c>
    </row>
    <row r="58" spans="1:9" x14ac:dyDescent="0.2">
      <c r="A58" s="5">
        <v>1488</v>
      </c>
      <c r="B58" s="6">
        <v>9.5860000000000001E-2</v>
      </c>
      <c r="C58" s="6">
        <f t="shared" si="0"/>
        <v>6.1859999999999998E-2</v>
      </c>
      <c r="D58" s="6">
        <f t="shared" si="1"/>
        <v>92.04768</v>
      </c>
      <c r="E58" s="6">
        <f t="shared" si="5"/>
        <v>-5.6828679999999991</v>
      </c>
      <c r="F58" s="6">
        <f t="shared" si="6"/>
        <v>-2.5000000000000022E-4</v>
      </c>
      <c r="G58" s="6">
        <f t="shared" si="2"/>
        <v>69.636155278183111</v>
      </c>
      <c r="H58" s="7">
        <f t="shared" si="3"/>
        <v>5.0903622279373569E-13</v>
      </c>
      <c r="I58" s="8" t="str">
        <f t="shared" si="4"/>
        <v/>
      </c>
    </row>
    <row r="59" spans="1:9" x14ac:dyDescent="0.2">
      <c r="A59" s="5">
        <v>1486</v>
      </c>
      <c r="B59" s="6">
        <v>9.6385999999999999E-2</v>
      </c>
      <c r="C59" s="6">
        <f t="shared" si="0"/>
        <v>6.2385999999999997E-2</v>
      </c>
      <c r="D59" s="6">
        <f t="shared" si="1"/>
        <v>92.705596</v>
      </c>
      <c r="E59" s="6">
        <f t="shared" si="5"/>
        <v>-5.8071139999999994</v>
      </c>
      <c r="F59" s="6">
        <f t="shared" si="6"/>
        <v>-8.7750000000001022E-5</v>
      </c>
      <c r="G59" s="6">
        <f t="shared" si="2"/>
        <v>70.179428649478368</v>
      </c>
      <c r="H59" s="7">
        <f t="shared" si="3"/>
        <v>1.4615598842379658E-12</v>
      </c>
      <c r="I59" s="8" t="str">
        <f t="shared" si="4"/>
        <v/>
      </c>
    </row>
    <row r="60" spans="1:9" x14ac:dyDescent="0.2">
      <c r="A60" s="5">
        <v>1484</v>
      </c>
      <c r="B60" s="6">
        <v>9.6211000000000005E-2</v>
      </c>
      <c r="C60" s="6">
        <f t="shared" si="0"/>
        <v>6.2211000000000002E-2</v>
      </c>
      <c r="D60" s="6">
        <f t="shared" si="1"/>
        <v>92.321123999999998</v>
      </c>
      <c r="E60" s="6">
        <f t="shared" si="5"/>
        <v>-5.9317109999999991</v>
      </c>
      <c r="F60" s="6">
        <f t="shared" si="6"/>
        <v>-6.1499999999999055E-5</v>
      </c>
      <c r="G60" s="6">
        <f t="shared" si="2"/>
        <v>69.999031805416251</v>
      </c>
      <c r="H60" s="7">
        <f t="shared" si="3"/>
        <v>2.0800358901909297E-12</v>
      </c>
      <c r="I60" s="8" t="str">
        <f t="shared" si="4"/>
        <v/>
      </c>
    </row>
    <row r="61" spans="1:9" x14ac:dyDescent="0.2">
      <c r="A61" s="5">
        <v>1482</v>
      </c>
      <c r="B61" s="6">
        <v>9.6631999999999996E-2</v>
      </c>
      <c r="C61" s="6">
        <f t="shared" si="0"/>
        <v>6.2631999999999993E-2</v>
      </c>
      <c r="D61" s="6">
        <f t="shared" si="1"/>
        <v>92.820623999999995</v>
      </c>
      <c r="E61" s="6">
        <f t="shared" si="5"/>
        <v>-6.0565539999999993</v>
      </c>
      <c r="F61" s="6">
        <f t="shared" si="6"/>
        <v>-2.4549999999999919E-4</v>
      </c>
      <c r="G61" s="6">
        <f t="shared" si="2"/>
        <v>70.432173070274246</v>
      </c>
      <c r="H61" s="7">
        <f t="shared" si="3"/>
        <v>5.2429232821097348E-13</v>
      </c>
      <c r="I61" s="8" t="str">
        <f t="shared" si="4"/>
        <v/>
      </c>
    </row>
    <row r="62" spans="1:9" x14ac:dyDescent="0.2">
      <c r="A62" s="5">
        <v>1480</v>
      </c>
      <c r="B62" s="6">
        <v>9.7193000000000002E-2</v>
      </c>
      <c r="C62" s="6">
        <f t="shared" si="0"/>
        <v>6.3192999999999999E-2</v>
      </c>
      <c r="D62" s="6">
        <f t="shared" si="1"/>
        <v>93.525639999999996</v>
      </c>
      <c r="E62" s="6">
        <f t="shared" si="5"/>
        <v>-6.1823789999999992</v>
      </c>
      <c r="F62" s="6">
        <f t="shared" si="6"/>
        <v>-4.2500000000007809E-6</v>
      </c>
      <c r="G62" s="6">
        <f t="shared" si="2"/>
        <v>71.00822981038192</v>
      </c>
      <c r="H62" s="7">
        <f t="shared" si="3"/>
        <v>3.0533294552102196E-11</v>
      </c>
      <c r="I62" s="8" t="str">
        <f t="shared" si="4"/>
        <v/>
      </c>
    </row>
    <row r="63" spans="1:9" x14ac:dyDescent="0.2">
      <c r="A63" s="5">
        <v>1478</v>
      </c>
      <c r="B63" s="6">
        <v>9.6648999999999999E-2</v>
      </c>
      <c r="C63" s="6">
        <f t="shared" si="0"/>
        <v>6.2648999999999996E-2</v>
      </c>
      <c r="D63" s="6">
        <f t="shared" si="1"/>
        <v>92.595221999999993</v>
      </c>
      <c r="E63" s="6">
        <f t="shared" si="5"/>
        <v>-6.3082209999999996</v>
      </c>
      <c r="F63" s="6">
        <f t="shared" si="6"/>
        <v>1.0974999999999874E-4</v>
      </c>
      <c r="G63" s="6">
        <f t="shared" si="2"/>
        <v>70.450717335125987</v>
      </c>
      <c r="H63" s="7">
        <f t="shared" si="3"/>
        <v>-1.1730993708309487E-12</v>
      </c>
      <c r="I63" s="8" t="str">
        <f t="shared" si="4"/>
        <v/>
      </c>
    </row>
    <row r="64" spans="1:9" x14ac:dyDescent="0.2">
      <c r="A64" s="5">
        <v>1476</v>
      </c>
      <c r="B64" s="6">
        <v>9.6754000000000007E-2</v>
      </c>
      <c r="C64" s="6">
        <f t="shared" si="0"/>
        <v>6.2754000000000004E-2</v>
      </c>
      <c r="D64" s="6">
        <f t="shared" si="1"/>
        <v>92.624904000000001</v>
      </c>
      <c r="E64" s="6">
        <f t="shared" si="5"/>
        <v>-6.433624</v>
      </c>
      <c r="F64" s="6">
        <f t="shared" si="6"/>
        <v>1.4024999999999802E-4</v>
      </c>
      <c r="G64" s="6">
        <f t="shared" si="2"/>
        <v>70.55811544156326</v>
      </c>
      <c r="H64" s="7">
        <f t="shared" si="3"/>
        <v>-9.1938627036052292E-13</v>
      </c>
      <c r="I64" s="8" t="str">
        <f t="shared" si="4"/>
        <v/>
      </c>
    </row>
    <row r="65" spans="1:9" x14ac:dyDescent="0.2">
      <c r="A65" s="5">
        <v>1474</v>
      </c>
      <c r="B65" s="6">
        <v>9.6088000000000007E-2</v>
      </c>
      <c r="C65" s="6">
        <f t="shared" si="0"/>
        <v>6.2088000000000004E-2</v>
      </c>
      <c r="D65" s="6">
        <f t="shared" si="1"/>
        <v>91.517712000000003</v>
      </c>
      <c r="E65" s="6">
        <f t="shared" si="5"/>
        <v>-6.5584660000000001</v>
      </c>
      <c r="F65" s="6">
        <f t="shared" si="6"/>
        <v>1.0950000000000196E-4</v>
      </c>
      <c r="G65" s="6">
        <f t="shared" si="2"/>
        <v>69.878236595018322</v>
      </c>
      <c r="H65" s="7">
        <f t="shared" si="3"/>
        <v>-1.166223340326462E-12</v>
      </c>
      <c r="I65" s="8" t="str">
        <f t="shared" si="4"/>
        <v/>
      </c>
    </row>
    <row r="66" spans="1:9" x14ac:dyDescent="0.2">
      <c r="A66" s="5">
        <v>1472</v>
      </c>
      <c r="B66" s="6">
        <v>9.6315999999999999E-2</v>
      </c>
      <c r="C66" s="6">
        <f t="shared" ref="C66:C129" si="7">B66-$B$2</f>
        <v>6.2315999999999996E-2</v>
      </c>
      <c r="D66" s="6">
        <f t="shared" ref="D66:D129" si="8">A66*C66</f>
        <v>91.729151999999999</v>
      </c>
      <c r="E66" s="6">
        <f t="shared" si="5"/>
        <v>-6.6828700000000003</v>
      </c>
      <c r="F66" s="6">
        <f t="shared" si="6"/>
        <v>9.2250000000002053E-5</v>
      </c>
      <c r="G66" s="6">
        <f t="shared" ref="G66:G129" si="9">(A66-$L$5)*C66-E66</f>
        <v>70.110531911853514</v>
      </c>
      <c r="H66" s="7">
        <f t="shared" ref="H66:H129" si="10">IF(ABS(F66)&lt;0.000000001,"",-(G66)/(2*$L$4*F66)*0.000000000001)</f>
        <v>-1.3888994261369427E-12</v>
      </c>
      <c r="I66" s="8" t="str">
        <f t="shared" ref="I66:I129" si="11">IF(AND(B66&gt;=0.5,B66&lt;=2.5,ISNUMBER(H66),H66&gt;0),H66,"")</f>
        <v/>
      </c>
    </row>
    <row r="67" spans="1:9" x14ac:dyDescent="0.2">
      <c r="A67" s="5">
        <v>1470</v>
      </c>
      <c r="B67" s="6">
        <v>9.5718999999999999E-2</v>
      </c>
      <c r="C67" s="6">
        <f t="shared" si="7"/>
        <v>6.1718999999999996E-2</v>
      </c>
      <c r="D67" s="6">
        <f t="shared" si="8"/>
        <v>90.726929999999996</v>
      </c>
      <c r="E67" s="6">
        <f t="shared" ref="E67:E130" si="12">E66+(C66+C67)/2*(A67-A66)</f>
        <v>-6.8069050000000004</v>
      </c>
      <c r="F67" s="6">
        <f t="shared" ref="F67:F130" si="13">(B68-B66)/(A68-A66)</f>
        <v>2.5874999999999856E-4</v>
      </c>
      <c r="G67" s="6">
        <f t="shared" si="9"/>
        <v>69.503478963824506</v>
      </c>
      <c r="H67" s="7">
        <f t="shared" si="10"/>
        <v>-4.9088537844891431E-13</v>
      </c>
      <c r="I67" s="8" t="str">
        <f t="shared" si="11"/>
        <v/>
      </c>
    </row>
    <row r="68" spans="1:9" x14ac:dyDescent="0.2">
      <c r="A68" s="5">
        <v>1468</v>
      </c>
      <c r="B68" s="6">
        <v>9.5281000000000005E-2</v>
      </c>
      <c r="C68" s="6">
        <f t="shared" si="7"/>
        <v>6.1281000000000002E-2</v>
      </c>
      <c r="D68" s="6">
        <f t="shared" si="8"/>
        <v>89.960508000000004</v>
      </c>
      <c r="E68" s="6">
        <f t="shared" si="12"/>
        <v>-6.9299050000000006</v>
      </c>
      <c r="F68" s="6">
        <f t="shared" si="13"/>
        <v>2.1049999999999888E-4</v>
      </c>
      <c r="G68" s="6">
        <f t="shared" si="9"/>
        <v>69.058979434114775</v>
      </c>
      <c r="H68" s="7">
        <f t="shared" si="10"/>
        <v>-5.9954525074414811E-13</v>
      </c>
      <c r="I68" s="8" t="str">
        <f t="shared" si="11"/>
        <v/>
      </c>
    </row>
    <row r="69" spans="1:9" x14ac:dyDescent="0.2">
      <c r="A69" s="5">
        <v>1466</v>
      </c>
      <c r="B69" s="6">
        <v>9.4877000000000003E-2</v>
      </c>
      <c r="C69" s="6">
        <f t="shared" si="7"/>
        <v>6.0877000000000001E-2</v>
      </c>
      <c r="D69" s="6">
        <f t="shared" si="8"/>
        <v>89.245682000000002</v>
      </c>
      <c r="E69" s="6">
        <f t="shared" si="12"/>
        <v>-7.0520630000000004</v>
      </c>
      <c r="F69" s="6">
        <f t="shared" si="13"/>
        <v>-7.4499999999998179E-5</v>
      </c>
      <c r="G69" s="6">
        <f t="shared" si="9"/>
        <v>68.64979243410852</v>
      </c>
      <c r="H69" s="7">
        <f t="shared" si="10"/>
        <v>1.683979758676513E-12</v>
      </c>
      <c r="I69" s="8" t="str">
        <f t="shared" si="11"/>
        <v/>
      </c>
    </row>
    <row r="70" spans="1:9" x14ac:dyDescent="0.2">
      <c r="A70" s="5">
        <v>1464</v>
      </c>
      <c r="B70" s="6">
        <v>9.5578999999999997E-2</v>
      </c>
      <c r="C70" s="6">
        <f t="shared" si="7"/>
        <v>6.1578999999999995E-2</v>
      </c>
      <c r="D70" s="6">
        <f t="shared" si="8"/>
        <v>90.151655999999988</v>
      </c>
      <c r="E70" s="6">
        <f t="shared" si="12"/>
        <v>-7.1745190000000001</v>
      </c>
      <c r="F70" s="6">
        <f t="shared" si="13"/>
        <v>-2.7199999999999794E-4</v>
      </c>
      <c r="G70" s="6">
        <f t="shared" si="9"/>
        <v>69.359401488574804</v>
      </c>
      <c r="H70" s="7">
        <f t="shared" si="10"/>
        <v>4.6600475071335982E-13</v>
      </c>
      <c r="I70" s="8" t="str">
        <f t="shared" si="11"/>
        <v/>
      </c>
    </row>
    <row r="71" spans="1:9" x14ac:dyDescent="0.2">
      <c r="A71" s="5">
        <v>1462</v>
      </c>
      <c r="B71" s="6">
        <v>9.5964999999999995E-2</v>
      </c>
      <c r="C71" s="6">
        <f t="shared" si="7"/>
        <v>6.1964999999999992E-2</v>
      </c>
      <c r="D71" s="6">
        <f t="shared" si="8"/>
        <v>90.592829999999992</v>
      </c>
      <c r="E71" s="6">
        <f t="shared" si="12"/>
        <v>-7.298063</v>
      </c>
      <c r="F71" s="6">
        <f t="shared" si="13"/>
        <v>-2.6750000000000038E-4</v>
      </c>
      <c r="G71" s="6">
        <f t="shared" si="9"/>
        <v>69.748813384620377</v>
      </c>
      <c r="H71" s="7">
        <f t="shared" si="10"/>
        <v>4.7650443641457806E-13</v>
      </c>
      <c r="I71" s="8" t="str">
        <f t="shared" si="11"/>
        <v/>
      </c>
    </row>
    <row r="72" spans="1:9" x14ac:dyDescent="0.2">
      <c r="A72" s="5">
        <v>1460</v>
      </c>
      <c r="B72" s="6">
        <v>9.6648999999999999E-2</v>
      </c>
      <c r="C72" s="6">
        <f t="shared" si="7"/>
        <v>6.2648999999999996E-2</v>
      </c>
      <c r="D72" s="6">
        <f t="shared" si="8"/>
        <v>91.46754</v>
      </c>
      <c r="E72" s="6">
        <f t="shared" si="12"/>
        <v>-7.4226770000000002</v>
      </c>
      <c r="F72" s="6">
        <f t="shared" si="13"/>
        <v>-1.5350000000000086E-4</v>
      </c>
      <c r="G72" s="6">
        <f t="shared" si="9"/>
        <v>70.437491335125998</v>
      </c>
      <c r="H72" s="7">
        <f t="shared" si="10"/>
        <v>8.3858948291242358E-13</v>
      </c>
      <c r="I72" s="8" t="str">
        <f t="shared" si="11"/>
        <v/>
      </c>
    </row>
    <row r="73" spans="1:9" x14ac:dyDescent="0.2">
      <c r="A73" s="5">
        <v>1458</v>
      </c>
      <c r="B73" s="6">
        <v>9.6578999999999998E-2</v>
      </c>
      <c r="C73" s="6">
        <f t="shared" si="7"/>
        <v>6.2578999999999996E-2</v>
      </c>
      <c r="D73" s="6">
        <f t="shared" si="8"/>
        <v>91.24018199999999</v>
      </c>
      <c r="E73" s="6">
        <f t="shared" si="12"/>
        <v>-7.5479050000000001</v>
      </c>
      <c r="F73" s="6">
        <f t="shared" si="13"/>
        <v>5.6999999999998024E-5</v>
      </c>
      <c r="G73" s="6">
        <f t="shared" si="9"/>
        <v>70.367152597501146</v>
      </c>
      <c r="H73" s="7">
        <f t="shared" si="10"/>
        <v>-2.2560516247788928E-12</v>
      </c>
      <c r="I73" s="8" t="str">
        <f t="shared" si="11"/>
        <v/>
      </c>
    </row>
    <row r="74" spans="1:9" x14ac:dyDescent="0.2">
      <c r="A74" s="5">
        <v>1456</v>
      </c>
      <c r="B74" s="6">
        <v>9.6421000000000007E-2</v>
      </c>
      <c r="C74" s="6">
        <f t="shared" si="7"/>
        <v>6.2421000000000004E-2</v>
      </c>
      <c r="D74" s="6">
        <f t="shared" si="8"/>
        <v>90.884976000000009</v>
      </c>
      <c r="E74" s="6">
        <f t="shared" si="12"/>
        <v>-7.6729050000000001</v>
      </c>
      <c r="F74" s="6">
        <f t="shared" si="13"/>
        <v>-7.899999999999921E-5</v>
      </c>
      <c r="G74" s="6">
        <f t="shared" si="9"/>
        <v>70.208704018290788</v>
      </c>
      <c r="H74" s="7">
        <f t="shared" si="10"/>
        <v>1.6241187360808418E-12</v>
      </c>
      <c r="I74" s="8" t="str">
        <f t="shared" si="11"/>
        <v/>
      </c>
    </row>
    <row r="75" spans="1:9" x14ac:dyDescent="0.2">
      <c r="A75" s="5">
        <v>1454</v>
      </c>
      <c r="B75" s="6">
        <v>9.6894999999999995E-2</v>
      </c>
      <c r="C75" s="6">
        <f t="shared" si="7"/>
        <v>6.2894999999999993E-2</v>
      </c>
      <c r="D75" s="6">
        <f t="shared" si="8"/>
        <v>91.449329999999989</v>
      </c>
      <c r="E75" s="6">
        <f t="shared" si="12"/>
        <v>-7.7982209999999998</v>
      </c>
      <c r="F75" s="6">
        <f t="shared" si="13"/>
        <v>-1.622499999999992E-4</v>
      </c>
      <c r="G75" s="6">
        <f t="shared" si="9"/>
        <v>70.683101755921868</v>
      </c>
      <c r="H75" s="7">
        <f t="shared" si="10"/>
        <v>7.9613149510180095E-13</v>
      </c>
      <c r="I75" s="8" t="str">
        <f t="shared" si="11"/>
        <v/>
      </c>
    </row>
    <row r="76" spans="1:9" x14ac:dyDescent="0.2">
      <c r="A76" s="5">
        <v>1452</v>
      </c>
      <c r="B76" s="6">
        <v>9.7070000000000004E-2</v>
      </c>
      <c r="C76" s="6">
        <f t="shared" si="7"/>
        <v>6.3070000000000001E-2</v>
      </c>
      <c r="D76" s="6">
        <f t="shared" si="8"/>
        <v>91.577640000000002</v>
      </c>
      <c r="E76" s="6">
        <f t="shared" si="12"/>
        <v>-7.9241859999999997</v>
      </c>
      <c r="F76" s="6">
        <f t="shared" si="13"/>
        <v>-3.0749999999999528E-5</v>
      </c>
      <c r="G76" s="6">
        <f t="shared" si="9"/>
        <v>70.857898599983983</v>
      </c>
      <c r="H76" s="7">
        <f t="shared" si="10"/>
        <v>4.2111145937327696E-12</v>
      </c>
      <c r="I76" s="8" t="str">
        <f t="shared" si="11"/>
        <v/>
      </c>
    </row>
    <row r="77" spans="1:9" x14ac:dyDescent="0.2">
      <c r="A77" s="5">
        <v>1450</v>
      </c>
      <c r="B77" s="6">
        <v>9.7017999999999993E-2</v>
      </c>
      <c r="C77" s="6">
        <f t="shared" si="7"/>
        <v>6.3017999999999991E-2</v>
      </c>
      <c r="D77" s="6">
        <f t="shared" si="8"/>
        <v>91.37609999999998</v>
      </c>
      <c r="E77" s="6">
        <f t="shared" si="12"/>
        <v>-8.0502739999999999</v>
      </c>
      <c r="F77" s="6">
        <f t="shared" si="13"/>
        <v>1.0525000000000118E-4</v>
      </c>
      <c r="G77" s="6">
        <f t="shared" si="9"/>
        <v>70.8060629663198</v>
      </c>
      <c r="H77" s="7">
        <f t="shared" si="10"/>
        <v>-1.2294256046991814E-12</v>
      </c>
      <c r="I77" s="8" t="str">
        <f t="shared" si="11"/>
        <v/>
      </c>
    </row>
    <row r="78" spans="1:9" x14ac:dyDescent="0.2">
      <c r="A78" s="5">
        <v>1448</v>
      </c>
      <c r="B78" s="6">
        <v>9.6648999999999999E-2</v>
      </c>
      <c r="C78" s="6">
        <f t="shared" si="7"/>
        <v>6.2648999999999996E-2</v>
      </c>
      <c r="D78" s="6">
        <f t="shared" si="8"/>
        <v>90.715751999999995</v>
      </c>
      <c r="E78" s="6">
        <f t="shared" si="12"/>
        <v>-8.1759409999999999</v>
      </c>
      <c r="F78" s="6">
        <f t="shared" si="13"/>
        <v>2.4574999999999944E-4</v>
      </c>
      <c r="G78" s="6">
        <f t="shared" si="9"/>
        <v>70.43896733512598</v>
      </c>
      <c r="H78" s="7">
        <f t="shared" si="10"/>
        <v>-5.2380949336919246E-13</v>
      </c>
      <c r="I78" s="8" t="str">
        <f t="shared" si="11"/>
        <v/>
      </c>
    </row>
    <row r="79" spans="1:9" x14ac:dyDescent="0.2">
      <c r="A79" s="5">
        <v>1446</v>
      </c>
      <c r="B79" s="6">
        <v>9.6034999999999995E-2</v>
      </c>
      <c r="C79" s="6">
        <f t="shared" si="7"/>
        <v>6.2034999999999993E-2</v>
      </c>
      <c r="D79" s="6">
        <f t="shared" si="8"/>
        <v>89.702609999999993</v>
      </c>
      <c r="E79" s="6">
        <f t="shared" si="12"/>
        <v>-8.3006250000000001</v>
      </c>
      <c r="F79" s="6">
        <f t="shared" si="13"/>
        <v>1.6675000000000023E-4</v>
      </c>
      <c r="G79" s="6">
        <f t="shared" si="9"/>
        <v>69.82936412224521</v>
      </c>
      <c r="H79" s="7">
        <f t="shared" si="10"/>
        <v>-7.6529020711404294E-13</v>
      </c>
      <c r="I79" s="8" t="str">
        <f t="shared" si="11"/>
        <v/>
      </c>
    </row>
    <row r="80" spans="1:9" x14ac:dyDescent="0.2">
      <c r="A80" s="5">
        <v>1444</v>
      </c>
      <c r="B80" s="6">
        <v>9.5981999999999998E-2</v>
      </c>
      <c r="C80" s="6">
        <f t="shared" si="7"/>
        <v>6.1981999999999995E-2</v>
      </c>
      <c r="D80" s="6">
        <f t="shared" si="8"/>
        <v>89.502007999999989</v>
      </c>
      <c r="E80" s="6">
        <f t="shared" si="12"/>
        <v>-8.4246420000000004</v>
      </c>
      <c r="F80" s="6">
        <f t="shared" si="13"/>
        <v>-9.2250000000002053E-5</v>
      </c>
      <c r="G80" s="6">
        <f t="shared" si="9"/>
        <v>69.776849649472126</v>
      </c>
      <c r="H80" s="7">
        <f t="shared" si="10"/>
        <v>1.382289133929828E-12</v>
      </c>
      <c r="I80" s="8" t="str">
        <f t="shared" si="11"/>
        <v/>
      </c>
    </row>
    <row r="81" spans="1:9" x14ac:dyDescent="0.2">
      <c r="A81" s="5">
        <v>1442</v>
      </c>
      <c r="B81" s="6">
        <v>9.6404000000000004E-2</v>
      </c>
      <c r="C81" s="6">
        <f t="shared" si="7"/>
        <v>6.2404000000000001E-2</v>
      </c>
      <c r="D81" s="6">
        <f t="shared" si="8"/>
        <v>89.986568000000005</v>
      </c>
      <c r="E81" s="6">
        <f t="shared" si="12"/>
        <v>-8.5490279999999998</v>
      </c>
      <c r="F81" s="6">
        <f t="shared" si="13"/>
        <v>-8.7750000000001022E-5</v>
      </c>
      <c r="G81" s="6">
        <f t="shared" si="9"/>
        <v>70.194139753439032</v>
      </c>
      <c r="H81" s="7">
        <f t="shared" si="10"/>
        <v>1.461866258339544E-12</v>
      </c>
      <c r="I81" s="8" t="str">
        <f t="shared" si="11"/>
        <v/>
      </c>
    </row>
    <row r="82" spans="1:9" x14ac:dyDescent="0.2">
      <c r="A82" s="5">
        <v>1440</v>
      </c>
      <c r="B82" s="6">
        <v>9.6333000000000002E-2</v>
      </c>
      <c r="C82" s="6">
        <f t="shared" si="7"/>
        <v>6.2333E-2</v>
      </c>
      <c r="D82" s="6">
        <f t="shared" si="8"/>
        <v>89.759519999999995</v>
      </c>
      <c r="E82" s="6">
        <f t="shared" si="12"/>
        <v>-8.6737649999999995</v>
      </c>
      <c r="F82" s="6">
        <f t="shared" si="13"/>
        <v>1.4475000000000252E-4</v>
      </c>
      <c r="G82" s="6">
        <f t="shared" si="9"/>
        <v>70.124074176705264</v>
      </c>
      <c r="H82" s="7">
        <f t="shared" si="10"/>
        <v>-8.8532449293377426E-13</v>
      </c>
      <c r="I82" s="8" t="str">
        <f t="shared" si="11"/>
        <v/>
      </c>
    </row>
    <row r="83" spans="1:9" x14ac:dyDescent="0.2">
      <c r="A83" s="5">
        <v>1438</v>
      </c>
      <c r="B83" s="6">
        <v>9.5824999999999994E-2</v>
      </c>
      <c r="C83" s="6">
        <f t="shared" si="7"/>
        <v>6.1824999999999991E-2</v>
      </c>
      <c r="D83" s="6">
        <f t="shared" si="8"/>
        <v>88.904349999999994</v>
      </c>
      <c r="E83" s="6">
        <f t="shared" si="12"/>
        <v>-8.797922999999999</v>
      </c>
      <c r="F83" s="6">
        <f t="shared" si="13"/>
        <v>1.2700000000000211E-4</v>
      </c>
      <c r="G83" s="6">
        <f t="shared" si="9"/>
        <v>69.623775909370679</v>
      </c>
      <c r="H83" s="7">
        <f t="shared" si="10"/>
        <v>-1.0018616738811981E-12</v>
      </c>
      <c r="I83" s="8" t="str">
        <f t="shared" si="11"/>
        <v/>
      </c>
    </row>
    <row r="84" spans="1:9" x14ac:dyDescent="0.2">
      <c r="A84" s="5">
        <v>1436</v>
      </c>
      <c r="B84" s="6">
        <v>9.5824999999999994E-2</v>
      </c>
      <c r="C84" s="6">
        <f t="shared" si="7"/>
        <v>6.1824999999999991E-2</v>
      </c>
      <c r="D84" s="6">
        <f t="shared" si="8"/>
        <v>88.780699999999982</v>
      </c>
      <c r="E84" s="6">
        <f t="shared" si="12"/>
        <v>-8.9215729999999986</v>
      </c>
      <c r="F84" s="6">
        <f t="shared" si="13"/>
        <v>8.3499999999996771E-5</v>
      </c>
      <c r="G84" s="6">
        <f t="shared" si="9"/>
        <v>69.623775909370679</v>
      </c>
      <c r="H84" s="7">
        <f t="shared" si="10"/>
        <v>-1.523789611771487E-12</v>
      </c>
      <c r="I84" s="8" t="str">
        <f t="shared" si="11"/>
        <v/>
      </c>
    </row>
    <row r="85" spans="1:9" x14ac:dyDescent="0.2">
      <c r="A85" s="5">
        <v>1434</v>
      </c>
      <c r="B85" s="6">
        <v>9.5491000000000006E-2</v>
      </c>
      <c r="C85" s="6">
        <f t="shared" si="7"/>
        <v>6.1491000000000004E-2</v>
      </c>
      <c r="D85" s="6">
        <f t="shared" si="8"/>
        <v>88.178094000000002</v>
      </c>
      <c r="E85" s="6">
        <f t="shared" si="12"/>
        <v>-9.0448889999999995</v>
      </c>
      <c r="F85" s="6">
        <f t="shared" si="13"/>
        <v>3.8174999999999668E-4</v>
      </c>
      <c r="G85" s="6">
        <f t="shared" si="9"/>
        <v>69.296175646989298</v>
      </c>
      <c r="H85" s="7">
        <f t="shared" si="10"/>
        <v>-3.3172952951641364E-13</v>
      </c>
      <c r="I85" s="8" t="str">
        <f t="shared" si="11"/>
        <v/>
      </c>
    </row>
    <row r="86" spans="1:9" x14ac:dyDescent="0.2">
      <c r="A86" s="5">
        <v>1432</v>
      </c>
      <c r="B86" s="6">
        <v>9.4298000000000007E-2</v>
      </c>
      <c r="C86" s="6">
        <f t="shared" si="7"/>
        <v>6.0298000000000004E-2</v>
      </c>
      <c r="D86" s="6">
        <f t="shared" si="8"/>
        <v>86.346736000000007</v>
      </c>
      <c r="E86" s="6">
        <f t="shared" si="12"/>
        <v>-9.1666779999999992</v>
      </c>
      <c r="F86" s="6">
        <f t="shared" si="13"/>
        <v>3.4200000000000202E-4</v>
      </c>
      <c r="G86" s="6">
        <f t="shared" si="9"/>
        <v>68.128420590040179</v>
      </c>
      <c r="H86" s="7">
        <f t="shared" si="10"/>
        <v>-3.6404588479168683E-13</v>
      </c>
      <c r="I86" s="8" t="str">
        <f t="shared" si="11"/>
        <v/>
      </c>
    </row>
    <row r="87" spans="1:9" x14ac:dyDescent="0.2">
      <c r="A87" s="5">
        <v>1430</v>
      </c>
      <c r="B87" s="6">
        <v>9.4122999999999998E-2</v>
      </c>
      <c r="C87" s="6">
        <f t="shared" si="7"/>
        <v>6.0122999999999996E-2</v>
      </c>
      <c r="D87" s="6">
        <f t="shared" si="8"/>
        <v>85.975889999999993</v>
      </c>
      <c r="E87" s="6">
        <f t="shared" si="12"/>
        <v>-9.2870989999999995</v>
      </c>
      <c r="F87" s="6">
        <f t="shared" si="13"/>
        <v>-1.4474999999999905E-4</v>
      </c>
      <c r="G87" s="6">
        <f t="shared" si="9"/>
        <v>67.957473745978064</v>
      </c>
      <c r="H87" s="7">
        <f t="shared" si="10"/>
        <v>8.5797091357829238E-13</v>
      </c>
      <c r="I87" s="8" t="str">
        <f t="shared" si="11"/>
        <v/>
      </c>
    </row>
    <row r="88" spans="1:9" x14ac:dyDescent="0.2">
      <c r="A88" s="5">
        <v>1428</v>
      </c>
      <c r="B88" s="6">
        <v>9.4877000000000003E-2</v>
      </c>
      <c r="C88" s="6">
        <f t="shared" si="7"/>
        <v>6.0877000000000001E-2</v>
      </c>
      <c r="D88" s="6">
        <f t="shared" si="8"/>
        <v>86.932355999999999</v>
      </c>
      <c r="E88" s="6">
        <f t="shared" si="12"/>
        <v>-9.408099</v>
      </c>
      <c r="F88" s="6">
        <f t="shared" si="13"/>
        <v>-2.0175000000000054E-4</v>
      </c>
      <c r="G88" s="6">
        <f t="shared" si="9"/>
        <v>68.692502434108519</v>
      </c>
      <c r="H88" s="7">
        <f t="shared" si="10"/>
        <v>6.2222822266161892E-13</v>
      </c>
      <c r="I88" s="8" t="str">
        <f t="shared" si="11"/>
        <v/>
      </c>
    </row>
    <row r="89" spans="1:9" x14ac:dyDescent="0.2">
      <c r="A89" s="5">
        <v>1426</v>
      </c>
      <c r="B89" s="6">
        <v>9.493E-2</v>
      </c>
      <c r="C89" s="6">
        <f t="shared" si="7"/>
        <v>6.0929999999999998E-2</v>
      </c>
      <c r="D89" s="6">
        <f t="shared" si="8"/>
        <v>86.886179999999996</v>
      </c>
      <c r="E89" s="6">
        <f t="shared" si="12"/>
        <v>-9.5299060000000004</v>
      </c>
      <c r="F89" s="6">
        <f t="shared" si="13"/>
        <v>-7.4499999999998179E-5</v>
      </c>
      <c r="G89" s="6">
        <f t="shared" si="9"/>
        <v>68.744062906881624</v>
      </c>
      <c r="H89" s="7">
        <f t="shared" si="10"/>
        <v>1.6862922138546279E-12</v>
      </c>
      <c r="I89" s="8" t="str">
        <f t="shared" si="11"/>
        <v/>
      </c>
    </row>
    <row r="90" spans="1:9" x14ac:dyDescent="0.2">
      <c r="A90" s="5">
        <v>1424</v>
      </c>
      <c r="B90" s="6">
        <v>9.5174999999999996E-2</v>
      </c>
      <c r="C90" s="6">
        <f t="shared" si="7"/>
        <v>6.1174999999999993E-2</v>
      </c>
      <c r="D90" s="6">
        <f t="shared" si="8"/>
        <v>87.113199999999992</v>
      </c>
      <c r="E90" s="6">
        <f t="shared" si="12"/>
        <v>-9.6520109999999999</v>
      </c>
      <c r="F90" s="6">
        <f t="shared" si="13"/>
        <v>-1.0949999999999849E-4</v>
      </c>
      <c r="G90" s="6">
        <f t="shared" si="9"/>
        <v>68.981918488568567</v>
      </c>
      <c r="H90" s="7">
        <f t="shared" si="10"/>
        <v>1.1512643610071282E-12</v>
      </c>
      <c r="I90" s="8" t="str">
        <f t="shared" si="11"/>
        <v/>
      </c>
    </row>
    <row r="91" spans="1:9" x14ac:dyDescent="0.2">
      <c r="A91" s="5">
        <v>1422</v>
      </c>
      <c r="B91" s="6">
        <v>9.5367999999999994E-2</v>
      </c>
      <c r="C91" s="6">
        <f t="shared" si="7"/>
        <v>6.1367999999999992E-2</v>
      </c>
      <c r="D91" s="6">
        <f t="shared" si="8"/>
        <v>87.265295999999992</v>
      </c>
      <c r="E91" s="6">
        <f t="shared" si="12"/>
        <v>-9.7745540000000002</v>
      </c>
      <c r="F91" s="6">
        <f t="shared" si="13"/>
        <v>-1.5350000000000086E-4</v>
      </c>
      <c r="G91" s="6">
        <f t="shared" si="9"/>
        <v>69.168904436591347</v>
      </c>
      <c r="H91" s="7">
        <f t="shared" si="10"/>
        <v>8.2348639489626735E-13</v>
      </c>
      <c r="I91" s="8" t="str">
        <f t="shared" si="11"/>
        <v/>
      </c>
    </row>
    <row r="92" spans="1:9" x14ac:dyDescent="0.2">
      <c r="A92" s="5">
        <v>1420</v>
      </c>
      <c r="B92" s="6">
        <v>9.5788999999999999E-2</v>
      </c>
      <c r="C92" s="6">
        <f t="shared" si="7"/>
        <v>6.1788999999999997E-2</v>
      </c>
      <c r="D92" s="6">
        <f t="shared" si="8"/>
        <v>87.740380000000002</v>
      </c>
      <c r="E92" s="6">
        <f t="shared" si="12"/>
        <v>-9.897711000000001</v>
      </c>
      <c r="F92" s="6">
        <f t="shared" si="13"/>
        <v>-1.360000000000007E-4</v>
      </c>
      <c r="G92" s="6">
        <f t="shared" si="9"/>
        <v>69.575943701449347</v>
      </c>
      <c r="H92" s="7">
        <f t="shared" si="10"/>
        <v>9.3491926413410762E-13</v>
      </c>
      <c r="I92" s="8" t="str">
        <f t="shared" si="11"/>
        <v/>
      </c>
    </row>
    <row r="93" spans="1:9" x14ac:dyDescent="0.2">
      <c r="A93" s="5">
        <v>1418</v>
      </c>
      <c r="B93" s="6">
        <v>9.5911999999999997E-2</v>
      </c>
      <c r="C93" s="6">
        <f t="shared" si="7"/>
        <v>6.1911999999999995E-2</v>
      </c>
      <c r="D93" s="6">
        <f t="shared" si="8"/>
        <v>87.791215999999991</v>
      </c>
      <c r="E93" s="6">
        <f t="shared" si="12"/>
        <v>-10.021412000000002</v>
      </c>
      <c r="F93" s="6">
        <f t="shared" si="13"/>
        <v>-1.0974999999999874E-4</v>
      </c>
      <c r="G93" s="6">
        <f t="shared" si="9"/>
        <v>69.694618911847286</v>
      </c>
      <c r="H93" s="7">
        <f t="shared" si="10"/>
        <v>1.1605093132959025E-12</v>
      </c>
      <c r="I93" s="8" t="str">
        <f t="shared" si="11"/>
        <v/>
      </c>
    </row>
    <row r="94" spans="1:9" x14ac:dyDescent="0.2">
      <c r="A94" s="5">
        <v>1416</v>
      </c>
      <c r="B94" s="6">
        <v>9.6227999999999994E-2</v>
      </c>
      <c r="C94" s="6">
        <f t="shared" si="7"/>
        <v>6.2227999999999992E-2</v>
      </c>
      <c r="D94" s="6">
        <f t="shared" si="8"/>
        <v>88.114847999999995</v>
      </c>
      <c r="E94" s="6">
        <f t="shared" si="12"/>
        <v>-10.145552000000002</v>
      </c>
      <c r="F94" s="6">
        <f t="shared" si="13"/>
        <v>-2.5875000000000203E-4</v>
      </c>
      <c r="G94" s="6">
        <f t="shared" si="9"/>
        <v>69.998876070267997</v>
      </c>
      <c r="H94" s="7">
        <f t="shared" si="10"/>
        <v>4.9438424209867677E-13</v>
      </c>
      <c r="I94" s="8" t="str">
        <f t="shared" si="11"/>
        <v/>
      </c>
    </row>
    <row r="95" spans="1:9" x14ac:dyDescent="0.2">
      <c r="A95" s="5">
        <v>1414</v>
      </c>
      <c r="B95" s="6">
        <v>9.6947000000000005E-2</v>
      </c>
      <c r="C95" s="6">
        <f t="shared" si="7"/>
        <v>6.2947000000000003E-2</v>
      </c>
      <c r="D95" s="6">
        <f t="shared" si="8"/>
        <v>89.007058000000001</v>
      </c>
      <c r="E95" s="6">
        <f t="shared" si="12"/>
        <v>-10.270727000000003</v>
      </c>
      <c r="F95" s="6">
        <f t="shared" si="13"/>
        <v>-1.7975000000000282E-4</v>
      </c>
      <c r="G95" s="6">
        <f t="shared" si="9"/>
        <v>70.689719389586045</v>
      </c>
      <c r="H95" s="7">
        <f t="shared" si="10"/>
        <v>7.1868945039797932E-13</v>
      </c>
      <c r="I95" s="8" t="str">
        <f t="shared" si="11"/>
        <v/>
      </c>
    </row>
    <row r="96" spans="1:9" x14ac:dyDescent="0.2">
      <c r="A96" s="5">
        <v>1412</v>
      </c>
      <c r="B96" s="6">
        <v>9.6947000000000005E-2</v>
      </c>
      <c r="C96" s="6">
        <f t="shared" si="7"/>
        <v>6.2947000000000003E-2</v>
      </c>
      <c r="D96" s="6">
        <f t="shared" si="8"/>
        <v>88.881163999999998</v>
      </c>
      <c r="E96" s="6">
        <f t="shared" si="12"/>
        <v>-10.396621000000003</v>
      </c>
      <c r="F96" s="6">
        <f t="shared" si="13"/>
        <v>8.7750000000001022E-5</v>
      </c>
      <c r="G96" s="6">
        <f t="shared" si="9"/>
        <v>70.689719389586045</v>
      </c>
      <c r="H96" s="7">
        <f t="shared" si="10"/>
        <v>-1.4721872217554109E-12</v>
      </c>
      <c r="I96" s="8" t="str">
        <f t="shared" si="11"/>
        <v/>
      </c>
    </row>
    <row r="97" spans="1:9" x14ac:dyDescent="0.2">
      <c r="A97" s="5">
        <v>1410</v>
      </c>
      <c r="B97" s="6">
        <v>9.6596000000000001E-2</v>
      </c>
      <c r="C97" s="6">
        <f t="shared" si="7"/>
        <v>6.2595999999999999E-2</v>
      </c>
      <c r="D97" s="6">
        <f t="shared" si="8"/>
        <v>88.260359999999991</v>
      </c>
      <c r="E97" s="6">
        <f t="shared" si="12"/>
        <v>-10.522164000000004</v>
      </c>
      <c r="F97" s="6">
        <f t="shared" si="13"/>
        <v>-6.1499999999999055E-5</v>
      </c>
      <c r="G97" s="6">
        <f t="shared" si="9"/>
        <v>70.353868862352897</v>
      </c>
      <c r="H97" s="7">
        <f t="shared" si="10"/>
        <v>2.0905799476523198E-12</v>
      </c>
      <c r="I97" s="8" t="str">
        <f t="shared" si="11"/>
        <v/>
      </c>
    </row>
    <row r="98" spans="1:9" x14ac:dyDescent="0.2">
      <c r="A98" s="5">
        <v>1408</v>
      </c>
      <c r="B98" s="6">
        <v>9.7193000000000002E-2</v>
      </c>
      <c r="C98" s="6">
        <f t="shared" si="7"/>
        <v>6.3192999999999999E-2</v>
      </c>
      <c r="D98" s="6">
        <f t="shared" si="8"/>
        <v>88.975743999999992</v>
      </c>
      <c r="E98" s="6">
        <f t="shared" si="12"/>
        <v>-10.647953000000003</v>
      </c>
      <c r="F98" s="6">
        <f t="shared" si="13"/>
        <v>-2.4124999999999841E-4</v>
      </c>
      <c r="G98" s="6">
        <f t="shared" si="9"/>
        <v>70.92390781038192</v>
      </c>
      <c r="H98" s="7">
        <f t="shared" si="10"/>
        <v>5.3725349067041168E-13</v>
      </c>
      <c r="I98" s="8" t="str">
        <f t="shared" si="11"/>
        <v/>
      </c>
    </row>
    <row r="99" spans="1:9" x14ac:dyDescent="0.2">
      <c r="A99" s="5">
        <v>1406</v>
      </c>
      <c r="B99" s="6">
        <v>9.7560999999999995E-2</v>
      </c>
      <c r="C99" s="6">
        <f t="shared" si="7"/>
        <v>6.3560999999999993E-2</v>
      </c>
      <c r="D99" s="6">
        <f t="shared" si="8"/>
        <v>89.366765999999984</v>
      </c>
      <c r="E99" s="6">
        <f t="shared" si="12"/>
        <v>-10.774707000000003</v>
      </c>
      <c r="F99" s="6">
        <f t="shared" si="13"/>
        <v>-8.7750000000001022E-5</v>
      </c>
      <c r="G99" s="6">
        <f t="shared" si="9"/>
        <v>71.274552602466812</v>
      </c>
      <c r="H99" s="7">
        <f t="shared" si="10"/>
        <v>1.4843669841069374E-12</v>
      </c>
      <c r="I99" s="8" t="str">
        <f t="shared" si="11"/>
        <v/>
      </c>
    </row>
    <row r="100" spans="1:9" x14ac:dyDescent="0.2">
      <c r="A100" s="5">
        <v>1404</v>
      </c>
      <c r="B100" s="6">
        <v>9.7544000000000006E-2</v>
      </c>
      <c r="C100" s="6">
        <f t="shared" si="7"/>
        <v>6.3544000000000003E-2</v>
      </c>
      <c r="D100" s="6">
        <f t="shared" si="8"/>
        <v>89.215776000000005</v>
      </c>
      <c r="E100" s="6">
        <f t="shared" si="12"/>
        <v>-10.901812000000003</v>
      </c>
      <c r="F100" s="6">
        <f t="shared" si="13"/>
        <v>2.6249999999998497E-5</v>
      </c>
      <c r="G100" s="6">
        <f t="shared" si="9"/>
        <v>71.258388337615074</v>
      </c>
      <c r="H100" s="7">
        <f t="shared" si="10"/>
        <v>-4.960901443721746E-12</v>
      </c>
      <c r="I100" s="8" t="str">
        <f t="shared" si="11"/>
        <v/>
      </c>
    </row>
    <row r="101" spans="1:9" x14ac:dyDescent="0.2">
      <c r="A101" s="5">
        <v>1402</v>
      </c>
      <c r="B101" s="6">
        <v>9.7456000000000001E-2</v>
      </c>
      <c r="C101" s="6">
        <f t="shared" si="7"/>
        <v>6.3455999999999999E-2</v>
      </c>
      <c r="D101" s="6">
        <f t="shared" si="8"/>
        <v>88.965311999999997</v>
      </c>
      <c r="E101" s="6">
        <f t="shared" si="12"/>
        <v>-11.028812000000004</v>
      </c>
      <c r="F101" s="6">
        <f t="shared" si="13"/>
        <v>-8.7749999999997552E-5</v>
      </c>
      <c r="G101" s="6">
        <f t="shared" si="9"/>
        <v>71.174890496029548</v>
      </c>
      <c r="H101" s="7">
        <f t="shared" si="10"/>
        <v>1.4822914166714887E-12</v>
      </c>
      <c r="I101" s="8" t="str">
        <f t="shared" si="11"/>
        <v/>
      </c>
    </row>
    <row r="102" spans="1:9" x14ac:dyDescent="0.2">
      <c r="A102" s="5">
        <v>1400</v>
      </c>
      <c r="B102" s="6">
        <v>9.7894999999999996E-2</v>
      </c>
      <c r="C102" s="6">
        <f t="shared" si="7"/>
        <v>6.3894999999999993E-2</v>
      </c>
      <c r="D102" s="6">
        <f t="shared" si="8"/>
        <v>89.452999999999989</v>
      </c>
      <c r="E102" s="6">
        <f t="shared" si="12"/>
        <v>-11.156163000000003</v>
      </c>
      <c r="F102" s="6">
        <f t="shared" si="13"/>
        <v>-2.1925000000000069E-4</v>
      </c>
      <c r="G102" s="6">
        <f t="shared" si="9"/>
        <v>71.590552864848206</v>
      </c>
      <c r="H102" s="7">
        <f t="shared" si="10"/>
        <v>5.9671921876852893E-13</v>
      </c>
      <c r="I102" s="8" t="str">
        <f t="shared" si="11"/>
        <v/>
      </c>
    </row>
    <row r="103" spans="1:9" x14ac:dyDescent="0.2">
      <c r="A103" s="5">
        <v>1398</v>
      </c>
      <c r="B103" s="6">
        <v>9.8333000000000004E-2</v>
      </c>
      <c r="C103" s="6">
        <f t="shared" si="7"/>
        <v>6.4333000000000001E-2</v>
      </c>
      <c r="D103" s="6">
        <f t="shared" si="8"/>
        <v>89.937533999999999</v>
      </c>
      <c r="E103" s="6">
        <f t="shared" si="12"/>
        <v>-11.284391000000003</v>
      </c>
      <c r="F103" s="6">
        <f t="shared" si="13"/>
        <v>-2.4125000000000188E-4</v>
      </c>
      <c r="G103" s="6">
        <f t="shared" si="9"/>
        <v>72.004392394557939</v>
      </c>
      <c r="H103" s="7">
        <f t="shared" si="10"/>
        <v>5.4543823587671867E-13</v>
      </c>
      <c r="I103" s="8" t="str">
        <f t="shared" si="11"/>
        <v/>
      </c>
    </row>
    <row r="104" spans="1:9" x14ac:dyDescent="0.2">
      <c r="A104" s="5">
        <v>1396</v>
      </c>
      <c r="B104" s="6">
        <v>9.8860000000000003E-2</v>
      </c>
      <c r="C104" s="6">
        <f t="shared" si="7"/>
        <v>6.4860000000000001E-2</v>
      </c>
      <c r="D104" s="6">
        <f t="shared" si="8"/>
        <v>90.544560000000004</v>
      </c>
      <c r="E104" s="6">
        <f t="shared" si="12"/>
        <v>-11.413584000000004</v>
      </c>
      <c r="F104" s="6">
        <f t="shared" si="13"/>
        <v>-1.9299999999999873E-4</v>
      </c>
      <c r="G104" s="6">
        <f t="shared" si="9"/>
        <v>72.501268604962121</v>
      </c>
      <c r="H104" s="7">
        <f t="shared" si="10"/>
        <v>6.865026342772115E-13</v>
      </c>
      <c r="I104" s="8" t="str">
        <f t="shared" si="11"/>
        <v/>
      </c>
    </row>
    <row r="105" spans="1:9" x14ac:dyDescent="0.2">
      <c r="A105" s="5">
        <v>1394</v>
      </c>
      <c r="B105" s="6">
        <v>9.9104999999999999E-2</v>
      </c>
      <c r="C105" s="6">
        <f t="shared" si="7"/>
        <v>6.5104999999999996E-2</v>
      </c>
      <c r="D105" s="6">
        <f t="shared" si="8"/>
        <v>90.75636999999999</v>
      </c>
      <c r="E105" s="6">
        <f t="shared" si="12"/>
        <v>-11.543549000000004</v>
      </c>
      <c r="F105" s="6">
        <f t="shared" si="13"/>
        <v>0</v>
      </c>
      <c r="G105" s="6">
        <f t="shared" si="9"/>
        <v>72.731774186649076</v>
      </c>
      <c r="H105" s="7" t="str">
        <f t="shared" si="10"/>
        <v/>
      </c>
      <c r="I105" s="8" t="str">
        <f t="shared" si="11"/>
        <v/>
      </c>
    </row>
    <row r="106" spans="1:9" x14ac:dyDescent="0.2">
      <c r="A106" s="5">
        <v>1392</v>
      </c>
      <c r="B106" s="6">
        <v>9.8860000000000003E-2</v>
      </c>
      <c r="C106" s="6">
        <f t="shared" si="7"/>
        <v>6.4860000000000001E-2</v>
      </c>
      <c r="D106" s="6">
        <f t="shared" si="8"/>
        <v>90.285120000000006</v>
      </c>
      <c r="E106" s="6">
        <f t="shared" si="12"/>
        <v>-11.673514000000004</v>
      </c>
      <c r="F106" s="6">
        <f t="shared" si="13"/>
        <v>5.2500000000000463E-5</v>
      </c>
      <c r="G106" s="6">
        <f t="shared" si="9"/>
        <v>72.501758604962134</v>
      </c>
      <c r="H106" s="7">
        <f t="shared" si="10"/>
        <v>-2.5237315025397343E-12</v>
      </c>
      <c r="I106" s="8" t="str">
        <f t="shared" si="11"/>
        <v/>
      </c>
    </row>
    <row r="107" spans="1:9" x14ac:dyDescent="0.2">
      <c r="A107" s="5">
        <v>1390</v>
      </c>
      <c r="B107" s="6">
        <v>9.8894999999999997E-2</v>
      </c>
      <c r="C107" s="6">
        <f t="shared" si="7"/>
        <v>6.4894999999999994E-2</v>
      </c>
      <c r="D107" s="6">
        <f t="shared" si="8"/>
        <v>90.204049999999995</v>
      </c>
      <c r="E107" s="6">
        <f t="shared" si="12"/>
        <v>-11.803269000000004</v>
      </c>
      <c r="F107" s="6">
        <f t="shared" si="13"/>
        <v>-4.2500000000007809E-6</v>
      </c>
      <c r="G107" s="6">
        <f t="shared" si="9"/>
        <v>72.534547973774536</v>
      </c>
      <c r="H107" s="7">
        <f t="shared" si="10"/>
        <v>3.1189606111868426E-11</v>
      </c>
      <c r="I107" s="8" t="str">
        <f t="shared" si="11"/>
        <v/>
      </c>
    </row>
    <row r="108" spans="1:9" x14ac:dyDescent="0.2">
      <c r="A108" s="5">
        <v>1388</v>
      </c>
      <c r="B108" s="6">
        <v>9.8877000000000007E-2</v>
      </c>
      <c r="C108" s="6">
        <f t="shared" si="7"/>
        <v>6.4877000000000004E-2</v>
      </c>
      <c r="D108" s="6">
        <f t="shared" si="8"/>
        <v>90.049276000000006</v>
      </c>
      <c r="E108" s="6">
        <f t="shared" si="12"/>
        <v>-11.933041000000003</v>
      </c>
      <c r="F108" s="6">
        <f t="shared" si="13"/>
        <v>-4.3750000000002121E-5</v>
      </c>
      <c r="G108" s="6">
        <f t="shared" si="9"/>
        <v>72.517720869813871</v>
      </c>
      <c r="H108" s="7">
        <f t="shared" si="10"/>
        <v>3.0291445643195639E-12</v>
      </c>
      <c r="I108" s="8" t="str">
        <f t="shared" si="11"/>
        <v/>
      </c>
    </row>
    <row r="109" spans="1:9" x14ac:dyDescent="0.2">
      <c r="A109" s="5">
        <v>1386</v>
      </c>
      <c r="B109" s="6">
        <v>9.9070000000000005E-2</v>
      </c>
      <c r="C109" s="6">
        <f t="shared" si="7"/>
        <v>6.5070000000000003E-2</v>
      </c>
      <c r="D109" s="6">
        <f t="shared" si="8"/>
        <v>90.187020000000004</v>
      </c>
      <c r="E109" s="6">
        <f t="shared" si="12"/>
        <v>-12.062988000000002</v>
      </c>
      <c r="F109" s="6">
        <f t="shared" si="13"/>
        <v>5.7000000000001494E-5</v>
      </c>
      <c r="G109" s="6">
        <f t="shared" si="9"/>
        <v>72.697758817836657</v>
      </c>
      <c r="H109" s="7">
        <f t="shared" si="10"/>
        <v>-2.330773533453715E-12</v>
      </c>
      <c r="I109" s="8" t="str">
        <f t="shared" si="11"/>
        <v/>
      </c>
    </row>
    <row r="110" spans="1:9" x14ac:dyDescent="0.2">
      <c r="A110" s="5">
        <v>1384</v>
      </c>
      <c r="B110" s="6">
        <v>9.8649000000000001E-2</v>
      </c>
      <c r="C110" s="6">
        <f t="shared" si="7"/>
        <v>6.4648999999999998E-2</v>
      </c>
      <c r="D110" s="6">
        <f t="shared" si="8"/>
        <v>89.474215999999998</v>
      </c>
      <c r="E110" s="6">
        <f t="shared" si="12"/>
        <v>-12.192707000000002</v>
      </c>
      <c r="F110" s="6">
        <f t="shared" si="13"/>
        <v>8.7750000000001022E-5</v>
      </c>
      <c r="G110" s="6">
        <f t="shared" si="9"/>
        <v>72.305875552978662</v>
      </c>
      <c r="H110" s="7">
        <f t="shared" si="10"/>
        <v>-1.5058453614771876E-12</v>
      </c>
      <c r="I110" s="8" t="str">
        <f t="shared" si="11"/>
        <v/>
      </c>
    </row>
    <row r="111" spans="1:9" x14ac:dyDescent="0.2">
      <c r="A111" s="5">
        <v>1382</v>
      </c>
      <c r="B111" s="6">
        <v>9.8719000000000001E-2</v>
      </c>
      <c r="C111" s="6">
        <f t="shared" si="7"/>
        <v>6.4718999999999999E-2</v>
      </c>
      <c r="D111" s="6">
        <f t="shared" si="8"/>
        <v>89.441658000000004</v>
      </c>
      <c r="E111" s="6">
        <f t="shared" si="12"/>
        <v>-12.322075000000002</v>
      </c>
      <c r="F111" s="6">
        <f t="shared" si="13"/>
        <v>5.2500000000000463E-5</v>
      </c>
      <c r="G111" s="6">
        <f t="shared" si="9"/>
        <v>72.370894290603502</v>
      </c>
      <c r="H111" s="7">
        <f t="shared" si="10"/>
        <v>-2.5191762145155548E-12</v>
      </c>
      <c r="I111" s="8" t="str">
        <f t="shared" si="11"/>
        <v/>
      </c>
    </row>
    <row r="112" spans="1:9" x14ac:dyDescent="0.2">
      <c r="A112" s="5">
        <v>1380</v>
      </c>
      <c r="B112" s="6">
        <v>9.8438999999999999E-2</v>
      </c>
      <c r="C112" s="6">
        <f t="shared" si="7"/>
        <v>6.4438999999999996E-2</v>
      </c>
      <c r="D112" s="6">
        <f t="shared" si="8"/>
        <v>88.925820000000002</v>
      </c>
      <c r="E112" s="6">
        <f t="shared" si="12"/>
        <v>-12.451233000000002</v>
      </c>
      <c r="F112" s="6">
        <f t="shared" si="13"/>
        <v>1.5350000000000086E-4</v>
      </c>
      <c r="G112" s="6">
        <f t="shared" si="9"/>
        <v>72.111379340104122</v>
      </c>
      <c r="H112" s="7">
        <f t="shared" si="10"/>
        <v>-8.585178598313203E-13</v>
      </c>
      <c r="I112" s="8" t="str">
        <f t="shared" si="11"/>
        <v/>
      </c>
    </row>
    <row r="113" spans="1:9" x14ac:dyDescent="0.2">
      <c r="A113" s="5">
        <v>1378</v>
      </c>
      <c r="B113" s="6">
        <v>9.8104999999999998E-2</v>
      </c>
      <c r="C113" s="6">
        <f t="shared" si="7"/>
        <v>6.4104999999999995E-2</v>
      </c>
      <c r="D113" s="6">
        <f t="shared" si="8"/>
        <v>88.33668999999999</v>
      </c>
      <c r="E113" s="6">
        <f t="shared" si="12"/>
        <v>-12.579777000000002</v>
      </c>
      <c r="F113" s="6">
        <f t="shared" si="13"/>
        <v>3.2474999999999865E-4</v>
      </c>
      <c r="G113" s="6">
        <f t="shared" si="9"/>
        <v>71.802483077722741</v>
      </c>
      <c r="H113" s="7">
        <f t="shared" si="10"/>
        <v>-4.0405846984029011E-13</v>
      </c>
      <c r="I113" s="8" t="str">
        <f t="shared" si="11"/>
        <v/>
      </c>
    </row>
    <row r="114" spans="1:9" x14ac:dyDescent="0.2">
      <c r="A114" s="5">
        <v>1376</v>
      </c>
      <c r="B114" s="6">
        <v>9.7140000000000004E-2</v>
      </c>
      <c r="C114" s="6">
        <f t="shared" si="7"/>
        <v>6.3140000000000002E-2</v>
      </c>
      <c r="D114" s="6">
        <f t="shared" si="8"/>
        <v>86.88064</v>
      </c>
      <c r="E114" s="6">
        <f t="shared" si="12"/>
        <v>-12.707022000000002</v>
      </c>
      <c r="F114" s="6">
        <f t="shared" si="13"/>
        <v>2.7175000000000116E-4</v>
      </c>
      <c r="G114" s="6">
        <f t="shared" si="9"/>
        <v>70.911943337608818</v>
      </c>
      <c r="H114" s="7">
        <f t="shared" si="10"/>
        <v>-4.7687411122414632E-13</v>
      </c>
      <c r="I114" s="8" t="str">
        <f t="shared" si="11"/>
        <v/>
      </c>
    </row>
    <row r="115" spans="1:9" x14ac:dyDescent="0.2">
      <c r="A115" s="5">
        <v>1374</v>
      </c>
      <c r="B115" s="6">
        <v>9.7017999999999993E-2</v>
      </c>
      <c r="C115" s="6">
        <f t="shared" si="7"/>
        <v>6.3017999999999991E-2</v>
      </c>
      <c r="D115" s="6">
        <f t="shared" si="8"/>
        <v>86.586731999999984</v>
      </c>
      <c r="E115" s="6">
        <f t="shared" si="12"/>
        <v>-12.833180000000002</v>
      </c>
      <c r="F115" s="6">
        <f t="shared" si="13"/>
        <v>4.2500000000007809E-6</v>
      </c>
      <c r="G115" s="6">
        <f t="shared" si="9"/>
        <v>70.799600966319801</v>
      </c>
      <c r="H115" s="7">
        <f t="shared" si="10"/>
        <v>-3.0443584866832983E-11</v>
      </c>
      <c r="I115" s="8" t="str">
        <f t="shared" si="11"/>
        <v/>
      </c>
    </row>
    <row r="116" spans="1:9" x14ac:dyDescent="0.2">
      <c r="A116" s="5">
        <v>1372</v>
      </c>
      <c r="B116" s="6">
        <v>9.7123000000000001E-2</v>
      </c>
      <c r="C116" s="6">
        <f t="shared" si="7"/>
        <v>6.3122999999999999E-2</v>
      </c>
      <c r="D116" s="6">
        <f t="shared" si="8"/>
        <v>86.604755999999995</v>
      </c>
      <c r="E116" s="6">
        <f t="shared" si="12"/>
        <v>-12.959321000000003</v>
      </c>
      <c r="F116" s="6">
        <f t="shared" si="13"/>
        <v>1.3599999999999723E-4</v>
      </c>
      <c r="G116" s="6">
        <f t="shared" si="9"/>
        <v>70.896079072757075</v>
      </c>
      <c r="H116" s="7">
        <f t="shared" si="10"/>
        <v>-9.5265844127266234E-13</v>
      </c>
      <c r="I116" s="8" t="str">
        <f t="shared" si="11"/>
        <v/>
      </c>
    </row>
    <row r="117" spans="1:9" x14ac:dyDescent="0.2">
      <c r="A117" s="5">
        <v>1370</v>
      </c>
      <c r="B117" s="6">
        <v>9.6474000000000004E-2</v>
      </c>
      <c r="C117" s="6">
        <f t="shared" si="7"/>
        <v>6.2474000000000002E-2</v>
      </c>
      <c r="D117" s="6">
        <f t="shared" si="8"/>
        <v>85.589380000000006</v>
      </c>
      <c r="E117" s="6">
        <f t="shared" si="12"/>
        <v>-13.084918000000004</v>
      </c>
      <c r="F117" s="6">
        <f t="shared" si="13"/>
        <v>2.7200000000000141E-4</v>
      </c>
      <c r="G117" s="6">
        <f t="shared" si="9"/>
        <v>70.30105049106389</v>
      </c>
      <c r="H117" s="7">
        <f t="shared" si="10"/>
        <v>-4.7233140433559839E-13</v>
      </c>
      <c r="I117" s="8" t="str">
        <f t="shared" si="11"/>
        <v/>
      </c>
    </row>
    <row r="118" spans="1:9" x14ac:dyDescent="0.2">
      <c r="A118" s="5">
        <v>1368</v>
      </c>
      <c r="B118" s="6">
        <v>9.6034999999999995E-2</v>
      </c>
      <c r="C118" s="6">
        <f t="shared" si="7"/>
        <v>6.2034999999999993E-2</v>
      </c>
      <c r="D118" s="6">
        <f t="shared" si="8"/>
        <v>84.863879999999995</v>
      </c>
      <c r="E118" s="6">
        <f t="shared" si="12"/>
        <v>-13.209427000000003</v>
      </c>
      <c r="F118" s="6">
        <f t="shared" si="13"/>
        <v>1.8875000000000142E-4</v>
      </c>
      <c r="G118" s="6">
        <f t="shared" si="9"/>
        <v>69.89943612224522</v>
      </c>
      <c r="H118" s="7">
        <f t="shared" si="10"/>
        <v>-6.7676925876461687E-13</v>
      </c>
      <c r="I118" s="8" t="str">
        <f t="shared" si="11"/>
        <v/>
      </c>
    </row>
    <row r="119" spans="1:9" x14ac:dyDescent="0.2">
      <c r="A119" s="5">
        <v>1366</v>
      </c>
      <c r="B119" s="6">
        <v>9.5718999999999999E-2</v>
      </c>
      <c r="C119" s="6">
        <f t="shared" si="7"/>
        <v>6.1718999999999996E-2</v>
      </c>
      <c r="D119" s="6">
        <f t="shared" si="8"/>
        <v>84.308153999999988</v>
      </c>
      <c r="E119" s="6">
        <f t="shared" si="12"/>
        <v>-13.333181000000003</v>
      </c>
      <c r="F119" s="6">
        <f t="shared" si="13"/>
        <v>2.3250000000000007E-4</v>
      </c>
      <c r="G119" s="6">
        <f t="shared" si="9"/>
        <v>69.610978963824493</v>
      </c>
      <c r="H119" s="7">
        <f t="shared" si="10"/>
        <v>-5.4715288753556301E-13</v>
      </c>
      <c r="I119" s="8" t="str">
        <f t="shared" si="11"/>
        <v/>
      </c>
    </row>
    <row r="120" spans="1:9" x14ac:dyDescent="0.2">
      <c r="A120" s="5">
        <v>1364</v>
      </c>
      <c r="B120" s="6">
        <v>9.5104999999999995E-2</v>
      </c>
      <c r="C120" s="6">
        <f t="shared" si="7"/>
        <v>6.1104999999999993E-2</v>
      </c>
      <c r="D120" s="6">
        <f t="shared" si="8"/>
        <v>83.347219999999993</v>
      </c>
      <c r="E120" s="6">
        <f t="shared" si="12"/>
        <v>-13.456005000000003</v>
      </c>
      <c r="F120" s="6">
        <f t="shared" si="13"/>
        <v>1.0075000000000014E-4</v>
      </c>
      <c r="G120" s="6">
        <f t="shared" si="9"/>
        <v>69.051723750943722</v>
      </c>
      <c r="H120" s="7">
        <f t="shared" si="10"/>
        <v>-1.2525162841362229E-12</v>
      </c>
      <c r="I120" s="8" t="str">
        <f t="shared" si="11"/>
        <v/>
      </c>
    </row>
    <row r="121" spans="1:9" x14ac:dyDescent="0.2">
      <c r="A121" s="5">
        <v>1362</v>
      </c>
      <c r="B121" s="6">
        <v>9.5315999999999998E-2</v>
      </c>
      <c r="C121" s="6">
        <f t="shared" si="7"/>
        <v>6.1315999999999996E-2</v>
      </c>
      <c r="D121" s="6">
        <f t="shared" si="8"/>
        <v>83.512391999999991</v>
      </c>
      <c r="E121" s="6">
        <f t="shared" si="12"/>
        <v>-13.578426000000002</v>
      </c>
      <c r="F121" s="6">
        <f t="shared" si="13"/>
        <v>0</v>
      </c>
      <c r="G121" s="6">
        <f t="shared" si="9"/>
        <v>69.243488802927189</v>
      </c>
      <c r="H121" s="7" t="str">
        <f t="shared" si="10"/>
        <v/>
      </c>
      <c r="I121" s="8" t="str">
        <f t="shared" si="11"/>
        <v/>
      </c>
    </row>
    <row r="122" spans="1:9" x14ac:dyDescent="0.2">
      <c r="A122" s="5">
        <v>1360</v>
      </c>
      <c r="B122" s="6">
        <v>9.5104999999999995E-2</v>
      </c>
      <c r="C122" s="6">
        <f t="shared" si="7"/>
        <v>6.1104999999999993E-2</v>
      </c>
      <c r="D122" s="6">
        <f t="shared" si="8"/>
        <v>83.102799999999988</v>
      </c>
      <c r="E122" s="6">
        <f t="shared" si="12"/>
        <v>-13.700847000000001</v>
      </c>
      <c r="F122" s="6">
        <f t="shared" si="13"/>
        <v>2.5449999999999778E-4</v>
      </c>
      <c r="G122" s="6">
        <f t="shared" si="9"/>
        <v>69.052145750943723</v>
      </c>
      <c r="H122" s="7">
        <f t="shared" si="10"/>
        <v>-4.9584199145601629E-13</v>
      </c>
      <c r="I122" s="8" t="str">
        <f t="shared" si="11"/>
        <v/>
      </c>
    </row>
    <row r="123" spans="1:9" x14ac:dyDescent="0.2">
      <c r="A123" s="5">
        <v>1358</v>
      </c>
      <c r="B123" s="6">
        <v>9.4298000000000007E-2</v>
      </c>
      <c r="C123" s="6">
        <f t="shared" si="7"/>
        <v>6.0298000000000004E-2</v>
      </c>
      <c r="D123" s="6">
        <f t="shared" si="8"/>
        <v>81.884684000000007</v>
      </c>
      <c r="E123" s="6">
        <f t="shared" si="12"/>
        <v>-13.822250000000002</v>
      </c>
      <c r="F123" s="6">
        <f t="shared" si="13"/>
        <v>2.1474999999999966E-4</v>
      </c>
      <c r="G123" s="6">
        <f t="shared" si="9"/>
        <v>68.321940590040185</v>
      </c>
      <c r="H123" s="7">
        <f t="shared" si="10"/>
        <v>-5.814079048638793E-13</v>
      </c>
      <c r="I123" s="8" t="str">
        <f t="shared" si="11"/>
        <v/>
      </c>
    </row>
    <row r="124" spans="1:9" x14ac:dyDescent="0.2">
      <c r="A124" s="5">
        <v>1356</v>
      </c>
      <c r="B124" s="6">
        <v>9.4245999999999996E-2</v>
      </c>
      <c r="C124" s="6">
        <f t="shared" si="7"/>
        <v>6.0245999999999994E-2</v>
      </c>
      <c r="D124" s="6">
        <f t="shared" si="8"/>
        <v>81.693575999999993</v>
      </c>
      <c r="E124" s="6">
        <f t="shared" si="12"/>
        <v>-13.942794000000003</v>
      </c>
      <c r="F124" s="6">
        <f t="shared" si="13"/>
        <v>3.5000000000000309E-5</v>
      </c>
      <c r="G124" s="6">
        <f t="shared" si="9"/>
        <v>68.274992956376011</v>
      </c>
      <c r="H124" s="7">
        <f t="shared" si="10"/>
        <v>-3.5649014701532688E-12</v>
      </c>
      <c r="I124" s="8" t="str">
        <f t="shared" si="11"/>
        <v/>
      </c>
    </row>
    <row r="125" spans="1:9" x14ac:dyDescent="0.2">
      <c r="A125" s="5">
        <v>1354</v>
      </c>
      <c r="B125" s="6">
        <v>9.4158000000000006E-2</v>
      </c>
      <c r="C125" s="6">
        <f t="shared" si="7"/>
        <v>6.0158000000000003E-2</v>
      </c>
      <c r="D125" s="6">
        <f t="shared" si="8"/>
        <v>81.453932000000009</v>
      </c>
      <c r="E125" s="6">
        <f t="shared" si="12"/>
        <v>-14.063198000000003</v>
      </c>
      <c r="F125" s="6">
        <f t="shared" si="13"/>
        <v>-4.3750000000002121E-5</v>
      </c>
      <c r="G125" s="6">
        <f t="shared" si="9"/>
        <v>68.195719114790492</v>
      </c>
      <c r="H125" s="7">
        <f t="shared" si="10"/>
        <v>2.848609821001971E-12</v>
      </c>
      <c r="I125" s="8" t="str">
        <f t="shared" si="11"/>
        <v/>
      </c>
    </row>
    <row r="126" spans="1:9" x14ac:dyDescent="0.2">
      <c r="A126" s="5">
        <v>1352</v>
      </c>
      <c r="B126" s="6">
        <v>9.4421000000000005E-2</v>
      </c>
      <c r="C126" s="6">
        <f t="shared" si="7"/>
        <v>6.0421000000000002E-2</v>
      </c>
      <c r="D126" s="6">
        <f t="shared" si="8"/>
        <v>81.689192000000006</v>
      </c>
      <c r="E126" s="6">
        <f t="shared" si="12"/>
        <v>-14.183777000000003</v>
      </c>
      <c r="F126" s="6">
        <f t="shared" si="13"/>
        <v>1.010000000000004E-4</v>
      </c>
      <c r="G126" s="6">
        <f t="shared" si="9"/>
        <v>68.432113800438117</v>
      </c>
      <c r="H126" s="7">
        <f t="shared" si="10"/>
        <v>-1.2382048267405957E-12</v>
      </c>
      <c r="I126" s="8" t="str">
        <f t="shared" si="11"/>
        <v/>
      </c>
    </row>
    <row r="127" spans="1:9" x14ac:dyDescent="0.2">
      <c r="A127" s="5">
        <v>1350</v>
      </c>
      <c r="B127" s="6">
        <v>9.3754000000000004E-2</v>
      </c>
      <c r="C127" s="6">
        <f t="shared" si="7"/>
        <v>5.9754000000000002E-2</v>
      </c>
      <c r="D127" s="6">
        <f t="shared" si="8"/>
        <v>80.667900000000003</v>
      </c>
      <c r="E127" s="6">
        <f t="shared" si="12"/>
        <v>-14.303952000000002</v>
      </c>
      <c r="F127" s="6">
        <f t="shared" si="13"/>
        <v>4.3850000000000139E-4</v>
      </c>
      <c r="G127" s="6">
        <f t="shared" si="9"/>
        <v>67.833922114784258</v>
      </c>
      <c r="H127" s="7">
        <f t="shared" si="10"/>
        <v>-2.8270353692305659E-13</v>
      </c>
      <c r="I127" s="8" t="str">
        <f t="shared" si="11"/>
        <v/>
      </c>
    </row>
    <row r="128" spans="1:9" x14ac:dyDescent="0.2">
      <c r="A128" s="5">
        <v>1348</v>
      </c>
      <c r="B128" s="6">
        <v>9.2666999999999999E-2</v>
      </c>
      <c r="C128" s="6">
        <f t="shared" si="7"/>
        <v>5.8666999999999997E-2</v>
      </c>
      <c r="D128" s="6">
        <f t="shared" si="8"/>
        <v>79.08311599999999</v>
      </c>
      <c r="E128" s="6">
        <f t="shared" si="12"/>
        <v>-14.422373000000002</v>
      </c>
      <c r="F128" s="6">
        <f t="shared" si="13"/>
        <v>3.7700000000000233E-4</v>
      </c>
      <c r="G128" s="6">
        <f t="shared" si="9"/>
        <v>66.861232003381332</v>
      </c>
      <c r="H128" s="7">
        <f t="shared" si="10"/>
        <v>-3.2410589915858554E-13</v>
      </c>
      <c r="I128" s="8" t="str">
        <f t="shared" si="11"/>
        <v/>
      </c>
    </row>
    <row r="129" spans="1:9" x14ac:dyDescent="0.2">
      <c r="A129" s="5">
        <v>1346</v>
      </c>
      <c r="B129" s="6">
        <v>9.2245999999999995E-2</v>
      </c>
      <c r="C129" s="6">
        <f t="shared" si="7"/>
        <v>5.8245999999999992E-2</v>
      </c>
      <c r="D129" s="6">
        <f t="shared" si="8"/>
        <v>78.399115999999992</v>
      </c>
      <c r="E129" s="6">
        <f t="shared" si="12"/>
        <v>-14.539286000000002</v>
      </c>
      <c r="F129" s="6">
        <f t="shared" si="13"/>
        <v>5.7000000000001494E-5</v>
      </c>
      <c r="G129" s="6">
        <f t="shared" si="9"/>
        <v>66.485346738523333</v>
      </c>
      <c r="H129" s="7">
        <f t="shared" si="10"/>
        <v>-2.131596476432543E-12</v>
      </c>
      <c r="I129" s="8" t="str">
        <f t="shared" si="11"/>
        <v/>
      </c>
    </row>
    <row r="130" spans="1:9" x14ac:dyDescent="0.2">
      <c r="A130" s="5">
        <v>1344</v>
      </c>
      <c r="B130" s="6">
        <v>9.2438999999999993E-2</v>
      </c>
      <c r="C130" s="6">
        <f t="shared" ref="C130:C193" si="14">B130-$B$2</f>
        <v>5.8438999999999991E-2</v>
      </c>
      <c r="D130" s="6">
        <f t="shared" ref="D130:D193" si="15">A130*C130</f>
        <v>78.54201599999999</v>
      </c>
      <c r="E130" s="6">
        <f t="shared" si="12"/>
        <v>-14.655971000000003</v>
      </c>
      <c r="F130" s="6">
        <f t="shared" si="13"/>
        <v>-1.9725000000000298E-4</v>
      </c>
      <c r="G130" s="6">
        <f t="shared" ref="G130:G193" si="16">(A130-$L$5)*C130-E130</f>
        <v>66.657278686546121</v>
      </c>
      <c r="H130" s="7">
        <f t="shared" ref="H130:H193" si="17">IF(ABS(F130)&lt;0.000000001,"",-(G130)/(2*$L$4*F130)*0.000000000001)</f>
        <v>6.1756756541466648E-13</v>
      </c>
      <c r="I130" s="8" t="str">
        <f t="shared" ref="I130:I193" si="18">IF(AND(B130&gt;=0.5,B130&lt;=2.5,ISNUMBER(H130),H130&gt;0),H130,"")</f>
        <v/>
      </c>
    </row>
    <row r="131" spans="1:9" x14ac:dyDescent="0.2">
      <c r="A131" s="5">
        <v>1342</v>
      </c>
      <c r="B131" s="6">
        <v>9.3035000000000007E-2</v>
      </c>
      <c r="C131" s="6">
        <f t="shared" si="14"/>
        <v>5.9035000000000004E-2</v>
      </c>
      <c r="D131" s="6">
        <f t="shared" si="15"/>
        <v>79.224969999999999</v>
      </c>
      <c r="E131" s="6">
        <f t="shared" ref="E131:E194" si="19">E130+(C130+C131)/2*(A131-A130)</f>
        <v>-14.773445000000002</v>
      </c>
      <c r="F131" s="6">
        <f t="shared" ref="F131:F194" si="20">(B132-B130)/(A132-A130)</f>
        <v>-1.1400000000000299E-4</v>
      </c>
      <c r="G131" s="6">
        <f t="shared" si="16"/>
        <v>67.187026795466224</v>
      </c>
      <c r="H131" s="7">
        <f t="shared" si="17"/>
        <v>1.0770465719494532E-12</v>
      </c>
      <c r="I131" s="8" t="str">
        <f t="shared" si="18"/>
        <v/>
      </c>
    </row>
    <row r="132" spans="1:9" x14ac:dyDescent="0.2">
      <c r="A132" s="5">
        <v>1340</v>
      </c>
      <c r="B132" s="6">
        <v>9.2895000000000005E-2</v>
      </c>
      <c r="C132" s="6">
        <f t="shared" si="14"/>
        <v>5.8895000000000003E-2</v>
      </c>
      <c r="D132" s="6">
        <f t="shared" si="15"/>
        <v>78.919300000000007</v>
      </c>
      <c r="E132" s="6">
        <f t="shared" si="19"/>
        <v>-14.891375000000002</v>
      </c>
      <c r="F132" s="6">
        <f t="shared" si="20"/>
        <v>-4.8249999999999682E-5</v>
      </c>
      <c r="G132" s="6">
        <f t="shared" si="16"/>
        <v>67.062869320216535</v>
      </c>
      <c r="H132" s="7">
        <f t="shared" si="17"/>
        <v>2.5400292897697549E-12</v>
      </c>
      <c r="I132" s="8" t="str">
        <f t="shared" si="18"/>
        <v/>
      </c>
    </row>
    <row r="133" spans="1:9" x14ac:dyDescent="0.2">
      <c r="A133" s="5">
        <v>1338</v>
      </c>
      <c r="B133" s="6">
        <v>9.3228000000000005E-2</v>
      </c>
      <c r="C133" s="6">
        <f t="shared" si="14"/>
        <v>5.9228000000000003E-2</v>
      </c>
      <c r="D133" s="6">
        <f t="shared" si="15"/>
        <v>79.247064000000009</v>
      </c>
      <c r="E133" s="6">
        <f t="shared" si="19"/>
        <v>-15.009498000000002</v>
      </c>
      <c r="F133" s="6">
        <f t="shared" si="20"/>
        <v>-8.7499999999983424E-6</v>
      </c>
      <c r="G133" s="6">
        <f t="shared" si="16"/>
        <v>67.357520743489005</v>
      </c>
      <c r="H133" s="7">
        <f t="shared" si="17"/>
        <v>1.4067986788534205E-11</v>
      </c>
      <c r="I133" s="8" t="str">
        <f t="shared" si="18"/>
        <v/>
      </c>
    </row>
    <row r="134" spans="1:9" x14ac:dyDescent="0.2">
      <c r="A134" s="5">
        <v>1336</v>
      </c>
      <c r="B134" s="6">
        <v>9.2929999999999999E-2</v>
      </c>
      <c r="C134" s="6">
        <f t="shared" si="14"/>
        <v>5.8929999999999996E-2</v>
      </c>
      <c r="D134" s="6">
        <f t="shared" si="15"/>
        <v>78.73048</v>
      </c>
      <c r="E134" s="6">
        <f t="shared" si="19"/>
        <v>-15.127656000000002</v>
      </c>
      <c r="F134" s="6">
        <f t="shared" si="20"/>
        <v>4.3750000000002121E-5</v>
      </c>
      <c r="G134" s="6">
        <f t="shared" si="16"/>
        <v>67.094434689028958</v>
      </c>
      <c r="H134" s="7">
        <f t="shared" si="17"/>
        <v>-2.8026079652892942E-12</v>
      </c>
      <c r="I134" s="8" t="str">
        <f t="shared" si="18"/>
        <v/>
      </c>
    </row>
    <row r="135" spans="1:9" x14ac:dyDescent="0.2">
      <c r="A135" s="5">
        <v>1334</v>
      </c>
      <c r="B135" s="6">
        <v>9.3052999999999997E-2</v>
      </c>
      <c r="C135" s="6">
        <f t="shared" si="14"/>
        <v>5.9052999999999994E-2</v>
      </c>
      <c r="D135" s="6">
        <f t="shared" si="15"/>
        <v>78.776701999999986</v>
      </c>
      <c r="E135" s="6">
        <f t="shared" si="19"/>
        <v>-15.245639000000002</v>
      </c>
      <c r="F135" s="6">
        <f t="shared" si="20"/>
        <v>-1.1850000000000055E-4</v>
      </c>
      <c r="G135" s="6">
        <f t="shared" si="16"/>
        <v>67.202777899426891</v>
      </c>
      <c r="H135" s="7">
        <f t="shared" si="17"/>
        <v>1.0363889798687693E-12</v>
      </c>
      <c r="I135" s="8" t="str">
        <f t="shared" si="18"/>
        <v/>
      </c>
    </row>
    <row r="136" spans="1:9" x14ac:dyDescent="0.2">
      <c r="A136" s="5">
        <v>1332</v>
      </c>
      <c r="B136" s="6">
        <v>9.3404000000000001E-2</v>
      </c>
      <c r="C136" s="6">
        <f t="shared" si="14"/>
        <v>5.9403999999999998E-2</v>
      </c>
      <c r="D136" s="6">
        <f t="shared" si="15"/>
        <v>79.126127999999994</v>
      </c>
      <c r="E136" s="6">
        <f t="shared" si="19"/>
        <v>-15.364096000000002</v>
      </c>
      <c r="F136" s="6">
        <f t="shared" si="20"/>
        <v>-7.8750000000002429E-5</v>
      </c>
      <c r="G136" s="6">
        <f t="shared" si="16"/>
        <v>67.511250426660027</v>
      </c>
      <c r="H136" s="7">
        <f t="shared" si="17"/>
        <v>1.5666771193413613E-12</v>
      </c>
      <c r="I136" s="8" t="str">
        <f t="shared" si="18"/>
        <v/>
      </c>
    </row>
    <row r="137" spans="1:9" x14ac:dyDescent="0.2">
      <c r="A137" s="5">
        <v>1330</v>
      </c>
      <c r="B137" s="6">
        <v>9.3368000000000007E-2</v>
      </c>
      <c r="C137" s="6">
        <f t="shared" si="14"/>
        <v>5.9368000000000004E-2</v>
      </c>
      <c r="D137" s="6">
        <f t="shared" si="15"/>
        <v>78.959440000000001</v>
      </c>
      <c r="E137" s="6">
        <f t="shared" si="19"/>
        <v>-15.482868000000002</v>
      </c>
      <c r="F137" s="6">
        <f t="shared" si="20"/>
        <v>2.5899999999999881E-4</v>
      </c>
      <c r="G137" s="6">
        <f t="shared" si="16"/>
        <v>67.479684218738683</v>
      </c>
      <c r="H137" s="7">
        <f t="shared" si="17"/>
        <v>-4.7613180063573196E-13</v>
      </c>
      <c r="I137" s="8" t="str">
        <f t="shared" si="18"/>
        <v/>
      </c>
    </row>
    <row r="138" spans="1:9" x14ac:dyDescent="0.2">
      <c r="A138" s="5">
        <v>1328</v>
      </c>
      <c r="B138" s="6">
        <v>9.2368000000000006E-2</v>
      </c>
      <c r="C138" s="6">
        <f t="shared" si="14"/>
        <v>5.8368000000000003E-2</v>
      </c>
      <c r="D138" s="6">
        <f t="shared" si="15"/>
        <v>77.512703999999999</v>
      </c>
      <c r="E138" s="6">
        <f t="shared" si="19"/>
        <v>-15.600604000000002</v>
      </c>
      <c r="F138" s="6">
        <f t="shared" si="20"/>
        <v>1.5775000000000164E-4</v>
      </c>
      <c r="G138" s="6">
        <f t="shared" si="16"/>
        <v>66.604845109812359</v>
      </c>
      <c r="H138" s="7">
        <f t="shared" si="17"/>
        <v>-7.7159670797550136E-13</v>
      </c>
      <c r="I138" s="8" t="str">
        <f t="shared" si="18"/>
        <v/>
      </c>
    </row>
    <row r="139" spans="1:9" x14ac:dyDescent="0.2">
      <c r="A139" s="5">
        <v>1326</v>
      </c>
      <c r="B139" s="6">
        <v>9.2737E-2</v>
      </c>
      <c r="C139" s="6">
        <f t="shared" si="14"/>
        <v>5.8736999999999998E-2</v>
      </c>
      <c r="D139" s="6">
        <f t="shared" si="15"/>
        <v>77.885261999999997</v>
      </c>
      <c r="E139" s="6">
        <f t="shared" si="19"/>
        <v>-15.717709000000003</v>
      </c>
      <c r="F139" s="6">
        <f t="shared" si="20"/>
        <v>-1.7124999999999779E-4</v>
      </c>
      <c r="G139" s="6">
        <f t="shared" si="16"/>
        <v>66.926922741006166</v>
      </c>
      <c r="H139" s="7">
        <f t="shared" si="17"/>
        <v>7.1420714070311001E-13</v>
      </c>
      <c r="I139" s="8" t="str">
        <f t="shared" si="18"/>
        <v/>
      </c>
    </row>
    <row r="140" spans="1:9" x14ac:dyDescent="0.2">
      <c r="A140" s="5">
        <v>1324</v>
      </c>
      <c r="B140" s="6">
        <v>9.3052999999999997E-2</v>
      </c>
      <c r="C140" s="6">
        <f t="shared" si="14"/>
        <v>5.9052999999999994E-2</v>
      </c>
      <c r="D140" s="6">
        <f t="shared" si="15"/>
        <v>78.186171999999999</v>
      </c>
      <c r="E140" s="6">
        <f t="shared" si="19"/>
        <v>-15.835499000000002</v>
      </c>
      <c r="F140" s="6">
        <f t="shared" si="20"/>
        <v>-8.7750000000001022E-5</v>
      </c>
      <c r="G140" s="6">
        <f t="shared" si="16"/>
        <v>67.202107899426892</v>
      </c>
      <c r="H140" s="7">
        <f t="shared" si="17"/>
        <v>1.399554070646651E-12</v>
      </c>
      <c r="I140" s="8" t="str">
        <f t="shared" si="18"/>
        <v/>
      </c>
    </row>
    <row r="141" spans="1:9" x14ac:dyDescent="0.2">
      <c r="A141" s="5">
        <v>1322</v>
      </c>
      <c r="B141" s="6">
        <v>9.3088000000000004E-2</v>
      </c>
      <c r="C141" s="6">
        <f t="shared" si="14"/>
        <v>5.9088000000000002E-2</v>
      </c>
      <c r="D141" s="6">
        <f t="shared" si="15"/>
        <v>78.114336000000009</v>
      </c>
      <c r="E141" s="6">
        <f t="shared" si="19"/>
        <v>-15.953640000000002</v>
      </c>
      <c r="F141" s="6">
        <f t="shared" si="20"/>
        <v>-5.2500000000000463E-5</v>
      </c>
      <c r="G141" s="6">
        <f t="shared" si="16"/>
        <v>67.23251726823932</v>
      </c>
      <c r="H141" s="7">
        <f t="shared" si="17"/>
        <v>2.3403131881174713E-12</v>
      </c>
      <c r="I141" s="8" t="str">
        <f t="shared" si="18"/>
        <v/>
      </c>
    </row>
    <row r="142" spans="1:9" x14ac:dyDescent="0.2">
      <c r="A142" s="5">
        <v>1320</v>
      </c>
      <c r="B142" s="6">
        <v>9.3262999999999999E-2</v>
      </c>
      <c r="C142" s="6">
        <f t="shared" si="14"/>
        <v>5.9262999999999996E-2</v>
      </c>
      <c r="D142" s="6">
        <f t="shared" si="15"/>
        <v>78.227159999999998</v>
      </c>
      <c r="E142" s="6">
        <f t="shared" si="19"/>
        <v>-16.071991000000001</v>
      </c>
      <c r="F142" s="6">
        <f t="shared" si="20"/>
        <v>-2.7624999999999872E-4</v>
      </c>
      <c r="G142" s="6">
        <f t="shared" si="16"/>
        <v>67.384214112301422</v>
      </c>
      <c r="H142" s="7">
        <f t="shared" si="17"/>
        <v>4.4576892720688608E-13</v>
      </c>
      <c r="I142" s="8" t="str">
        <f t="shared" si="18"/>
        <v/>
      </c>
    </row>
    <row r="143" spans="1:9" x14ac:dyDescent="0.2">
      <c r="A143" s="5">
        <v>1318</v>
      </c>
      <c r="B143" s="6">
        <v>9.4192999999999999E-2</v>
      </c>
      <c r="C143" s="6">
        <f t="shared" si="14"/>
        <v>6.0192999999999997E-2</v>
      </c>
      <c r="D143" s="6">
        <f t="shared" si="15"/>
        <v>79.334373999999997</v>
      </c>
      <c r="E143" s="6">
        <f t="shared" si="19"/>
        <v>-16.191447</v>
      </c>
      <c r="F143" s="6">
        <f t="shared" si="20"/>
        <v>-2.5000000000000022E-4</v>
      </c>
      <c r="G143" s="6">
        <f t="shared" si="16"/>
        <v>68.188514483602916</v>
      </c>
      <c r="H143" s="7">
        <f t="shared" si="17"/>
        <v>4.9845405324271095E-13</v>
      </c>
      <c r="I143" s="8" t="str">
        <f t="shared" si="18"/>
        <v/>
      </c>
    </row>
    <row r="144" spans="1:9" x14ac:dyDescent="0.2">
      <c r="A144" s="5">
        <v>1316</v>
      </c>
      <c r="B144" s="6">
        <v>9.4263E-2</v>
      </c>
      <c r="C144" s="6">
        <f t="shared" si="14"/>
        <v>6.0262999999999997E-2</v>
      </c>
      <c r="D144" s="6">
        <f t="shared" si="15"/>
        <v>79.306107999999995</v>
      </c>
      <c r="E144" s="6">
        <f t="shared" si="19"/>
        <v>-16.311903000000001</v>
      </c>
      <c r="F144" s="6">
        <f t="shared" si="20"/>
        <v>7.899999999999921E-5</v>
      </c>
      <c r="G144" s="6">
        <f t="shared" si="16"/>
        <v>68.248913221227753</v>
      </c>
      <c r="H144" s="7">
        <f t="shared" si="17"/>
        <v>-1.5787834319071645E-12</v>
      </c>
      <c r="I144" s="8" t="str">
        <f t="shared" si="18"/>
        <v/>
      </c>
    </row>
    <row r="145" spans="1:9" x14ac:dyDescent="0.2">
      <c r="A145" s="5">
        <v>1314</v>
      </c>
      <c r="B145" s="6">
        <v>9.3877000000000002E-2</v>
      </c>
      <c r="C145" s="6">
        <f t="shared" si="14"/>
        <v>5.9877E-2</v>
      </c>
      <c r="D145" s="6">
        <f t="shared" si="15"/>
        <v>78.678377999999995</v>
      </c>
      <c r="E145" s="6">
        <f t="shared" si="19"/>
        <v>-16.432043</v>
      </c>
      <c r="F145" s="6">
        <f t="shared" si="20"/>
        <v>4.8249999999999682E-5</v>
      </c>
      <c r="G145" s="6">
        <f t="shared" si="16"/>
        <v>67.916629325182186</v>
      </c>
      <c r="H145" s="7">
        <f t="shared" si="17"/>
        <v>-2.5723657442195648E-12</v>
      </c>
      <c r="I145" s="8" t="str">
        <f t="shared" si="18"/>
        <v/>
      </c>
    </row>
    <row r="146" spans="1:9" x14ac:dyDescent="0.2">
      <c r="A146" s="5">
        <v>1312</v>
      </c>
      <c r="B146" s="6">
        <v>9.4070000000000001E-2</v>
      </c>
      <c r="C146" s="6">
        <f t="shared" si="14"/>
        <v>6.0069999999999998E-2</v>
      </c>
      <c r="D146" s="6">
        <f t="shared" si="15"/>
        <v>78.811840000000004</v>
      </c>
      <c r="E146" s="6">
        <f t="shared" si="19"/>
        <v>-16.55199</v>
      </c>
      <c r="F146" s="6">
        <f t="shared" si="20"/>
        <v>-3.0749999999999528E-5</v>
      </c>
      <c r="G146" s="6">
        <f t="shared" si="16"/>
        <v>68.082385273204977</v>
      </c>
      <c r="H146" s="7">
        <f t="shared" si="17"/>
        <v>4.046164674155258E-12</v>
      </c>
      <c r="I146" s="8" t="str">
        <f t="shared" si="18"/>
        <v/>
      </c>
    </row>
    <row r="147" spans="1:9" x14ac:dyDescent="0.2">
      <c r="A147" s="5">
        <v>1310</v>
      </c>
      <c r="B147" s="6">
        <v>9.4E-2</v>
      </c>
      <c r="C147" s="6">
        <f t="shared" si="14"/>
        <v>0.06</v>
      </c>
      <c r="D147" s="6">
        <f t="shared" si="15"/>
        <v>78.599999999999994</v>
      </c>
      <c r="E147" s="6">
        <f t="shared" si="19"/>
        <v>-16.672059999999998</v>
      </c>
      <c r="F147" s="6">
        <f t="shared" si="20"/>
        <v>-3.5250000000000559E-5</v>
      </c>
      <c r="G147" s="6">
        <f t="shared" si="16"/>
        <v>68.022406535580132</v>
      </c>
      <c r="H147" s="7">
        <f t="shared" si="17"/>
        <v>3.5265235025288796E-12</v>
      </c>
      <c r="I147" s="8" t="str">
        <f t="shared" si="18"/>
        <v/>
      </c>
    </row>
    <row r="148" spans="1:9" x14ac:dyDescent="0.2">
      <c r="A148" s="5">
        <v>1308</v>
      </c>
      <c r="B148" s="6">
        <v>9.4211000000000003E-2</v>
      </c>
      <c r="C148" s="6">
        <f t="shared" si="14"/>
        <v>6.0211000000000001E-2</v>
      </c>
      <c r="D148" s="6">
        <f t="shared" si="15"/>
        <v>78.755988000000002</v>
      </c>
      <c r="E148" s="6">
        <f t="shared" si="19"/>
        <v>-16.792271</v>
      </c>
      <c r="F148" s="6">
        <f t="shared" si="20"/>
        <v>-3.0749999999999528E-5</v>
      </c>
      <c r="G148" s="6">
        <f t="shared" si="16"/>
        <v>68.202777587563588</v>
      </c>
      <c r="H148" s="7">
        <f t="shared" si="17"/>
        <v>4.0533196398257877E-12</v>
      </c>
      <c r="I148" s="8" t="str">
        <f t="shared" si="18"/>
        <v/>
      </c>
    </row>
    <row r="149" spans="1:9" x14ac:dyDescent="0.2">
      <c r="A149" s="5">
        <v>1306</v>
      </c>
      <c r="B149" s="6">
        <v>9.4122999999999998E-2</v>
      </c>
      <c r="C149" s="6">
        <f t="shared" si="14"/>
        <v>6.0122999999999996E-2</v>
      </c>
      <c r="D149" s="6">
        <f t="shared" si="15"/>
        <v>78.520637999999991</v>
      </c>
      <c r="E149" s="6">
        <f t="shared" si="19"/>
        <v>-16.912604999999999</v>
      </c>
      <c r="F149" s="6">
        <f t="shared" si="20"/>
        <v>1.3174999999999992E-4</v>
      </c>
      <c r="G149" s="6">
        <f t="shared" si="16"/>
        <v>68.127727745978063</v>
      </c>
      <c r="H149" s="7">
        <f t="shared" si="17"/>
        <v>-9.4498995397619356E-13</v>
      </c>
      <c r="I149" s="8" t="str">
        <f t="shared" si="18"/>
        <v/>
      </c>
    </row>
    <row r="150" spans="1:9" x14ac:dyDescent="0.2">
      <c r="A150" s="5">
        <v>1304</v>
      </c>
      <c r="B150" s="6">
        <v>9.3684000000000003E-2</v>
      </c>
      <c r="C150" s="6">
        <f t="shared" si="14"/>
        <v>5.9684000000000001E-2</v>
      </c>
      <c r="D150" s="6">
        <f t="shared" si="15"/>
        <v>77.827936000000008</v>
      </c>
      <c r="E150" s="6">
        <f t="shared" si="19"/>
        <v>-17.032412000000001</v>
      </c>
      <c r="F150" s="6">
        <f t="shared" si="20"/>
        <v>1.5799999999999842E-4</v>
      </c>
      <c r="G150" s="6">
        <f t="shared" si="16"/>
        <v>67.754209377159412</v>
      </c>
      <c r="H150" s="7">
        <f t="shared" si="17"/>
        <v>-7.8366979163381917E-13</v>
      </c>
      <c r="I150" s="8" t="str">
        <f t="shared" si="18"/>
        <v/>
      </c>
    </row>
    <row r="151" spans="1:9" x14ac:dyDescent="0.2">
      <c r="A151" s="5">
        <v>1302</v>
      </c>
      <c r="B151" s="6">
        <v>9.3491000000000005E-2</v>
      </c>
      <c r="C151" s="6">
        <f t="shared" si="14"/>
        <v>5.9491000000000002E-2</v>
      </c>
      <c r="D151" s="6">
        <f t="shared" si="15"/>
        <v>77.457282000000006</v>
      </c>
      <c r="E151" s="6">
        <f t="shared" si="19"/>
        <v>-17.151586999999999</v>
      </c>
      <c r="F151" s="6">
        <f t="shared" si="20"/>
        <v>3.112500000000025E-4</v>
      </c>
      <c r="G151" s="6">
        <f t="shared" si="16"/>
        <v>67.590383429136622</v>
      </c>
      <c r="H151" s="7">
        <f t="shared" si="17"/>
        <v>-3.9685281141605062E-13</v>
      </c>
      <c r="I151" s="8" t="str">
        <f t="shared" si="18"/>
        <v/>
      </c>
    </row>
    <row r="152" spans="1:9" x14ac:dyDescent="0.2">
      <c r="A152" s="5">
        <v>1300</v>
      </c>
      <c r="B152" s="6">
        <v>9.2438999999999993E-2</v>
      </c>
      <c r="C152" s="6">
        <f t="shared" si="14"/>
        <v>5.8438999999999991E-2</v>
      </c>
      <c r="D152" s="6">
        <f t="shared" si="15"/>
        <v>75.970699999999994</v>
      </c>
      <c r="E152" s="6">
        <f t="shared" si="19"/>
        <v>-17.269517</v>
      </c>
      <c r="F152" s="6">
        <f t="shared" si="20"/>
        <v>3.7725000000000258E-4</v>
      </c>
      <c r="G152" s="6">
        <f t="shared" si="16"/>
        <v>66.69950868654611</v>
      </c>
      <c r="H152" s="7">
        <f t="shared" si="17"/>
        <v>-3.2310769247354879E-13</v>
      </c>
      <c r="I152" s="8" t="str">
        <f t="shared" si="18"/>
        <v/>
      </c>
    </row>
    <row r="153" spans="1:9" x14ac:dyDescent="0.2">
      <c r="A153" s="5">
        <v>1298</v>
      </c>
      <c r="B153" s="6">
        <v>9.1981999999999994E-2</v>
      </c>
      <c r="C153" s="6">
        <f t="shared" si="14"/>
        <v>5.7981999999999992E-2</v>
      </c>
      <c r="D153" s="6">
        <f t="shared" si="15"/>
        <v>75.260635999999991</v>
      </c>
      <c r="E153" s="6">
        <f t="shared" si="19"/>
        <v>-17.385937999999999</v>
      </c>
      <c r="F153" s="6">
        <f t="shared" si="20"/>
        <v>-3.0500000000002747E-5</v>
      </c>
      <c r="G153" s="6">
        <f t="shared" si="16"/>
        <v>66.313417213766783</v>
      </c>
      <c r="H153" s="7">
        <f t="shared" si="17"/>
        <v>3.9733377201227593E-12</v>
      </c>
      <c r="I153" s="8" t="str">
        <f t="shared" si="18"/>
        <v/>
      </c>
    </row>
    <row r="154" spans="1:9" x14ac:dyDescent="0.2">
      <c r="A154" s="5">
        <v>1296</v>
      </c>
      <c r="B154" s="6">
        <v>9.2561000000000004E-2</v>
      </c>
      <c r="C154" s="6">
        <f t="shared" si="14"/>
        <v>5.8561000000000002E-2</v>
      </c>
      <c r="D154" s="6">
        <f t="shared" si="15"/>
        <v>75.895055999999997</v>
      </c>
      <c r="E154" s="6">
        <f t="shared" si="19"/>
        <v>-17.502481</v>
      </c>
      <c r="F154" s="6">
        <f t="shared" si="20"/>
        <v>-1.6250000000000292E-4</v>
      </c>
      <c r="G154" s="6">
        <f t="shared" si="16"/>
        <v>66.801421057835128</v>
      </c>
      <c r="H154" s="7">
        <f t="shared" si="17"/>
        <v>7.5125304833371493E-13</v>
      </c>
      <c r="I154" s="8" t="str">
        <f t="shared" si="18"/>
        <v/>
      </c>
    </row>
    <row r="155" spans="1:9" x14ac:dyDescent="0.2">
      <c r="A155" s="5">
        <v>1294</v>
      </c>
      <c r="B155" s="6">
        <v>9.2632000000000006E-2</v>
      </c>
      <c r="C155" s="6">
        <f t="shared" si="14"/>
        <v>5.8632000000000004E-2</v>
      </c>
      <c r="D155" s="6">
        <f t="shared" si="15"/>
        <v>75.869808000000006</v>
      </c>
      <c r="E155" s="6">
        <f t="shared" si="19"/>
        <v>-17.619674</v>
      </c>
      <c r="F155" s="6">
        <f t="shared" si="20"/>
        <v>-4.4999999999975615E-6</v>
      </c>
      <c r="G155" s="6">
        <f t="shared" si="16"/>
        <v>66.861120634568906</v>
      </c>
      <c r="H155" s="7">
        <f t="shared" si="17"/>
        <v>2.7152826768439381E-11</v>
      </c>
      <c r="I155" s="8" t="str">
        <f t="shared" si="18"/>
        <v/>
      </c>
    </row>
    <row r="156" spans="1:9" x14ac:dyDescent="0.2">
      <c r="A156" s="5">
        <v>1292</v>
      </c>
      <c r="B156" s="6">
        <v>9.2578999999999995E-2</v>
      </c>
      <c r="C156" s="6">
        <f t="shared" si="14"/>
        <v>5.8578999999999992E-2</v>
      </c>
      <c r="D156" s="6">
        <f t="shared" si="15"/>
        <v>75.684067999999996</v>
      </c>
      <c r="E156" s="6">
        <f t="shared" si="19"/>
        <v>-17.736885000000001</v>
      </c>
      <c r="F156" s="6">
        <f t="shared" si="20"/>
        <v>-1.2699999999999864E-4</v>
      </c>
      <c r="G156" s="6">
        <f t="shared" si="16"/>
        <v>66.81666216179579</v>
      </c>
      <c r="H156" s="7">
        <f t="shared" si="17"/>
        <v>9.6146829329840237E-13</v>
      </c>
      <c r="I156" s="8" t="str">
        <f t="shared" si="18"/>
        <v/>
      </c>
    </row>
    <row r="157" spans="1:9" x14ac:dyDescent="0.2">
      <c r="A157" s="5">
        <v>1290</v>
      </c>
      <c r="B157" s="6">
        <v>9.3140000000000001E-2</v>
      </c>
      <c r="C157" s="6">
        <f t="shared" si="14"/>
        <v>5.9139999999999998E-2</v>
      </c>
      <c r="D157" s="6">
        <f t="shared" si="15"/>
        <v>76.290599999999998</v>
      </c>
      <c r="E157" s="6">
        <f t="shared" si="19"/>
        <v>-17.854604000000002</v>
      </c>
      <c r="F157" s="6">
        <f t="shared" si="20"/>
        <v>-1.8425000000000039E-4</v>
      </c>
      <c r="G157" s="6">
        <f t="shared" si="16"/>
        <v>67.286128901903481</v>
      </c>
      <c r="H157" s="7">
        <f t="shared" si="17"/>
        <v>6.6737811046346553E-13</v>
      </c>
      <c r="I157" s="8" t="str">
        <f t="shared" si="18"/>
        <v/>
      </c>
    </row>
    <row r="158" spans="1:9" x14ac:dyDescent="0.2">
      <c r="A158" s="5">
        <v>1288</v>
      </c>
      <c r="B158" s="6">
        <v>9.3315999999999996E-2</v>
      </c>
      <c r="C158" s="6">
        <f t="shared" si="14"/>
        <v>5.9315999999999994E-2</v>
      </c>
      <c r="D158" s="6">
        <f t="shared" si="15"/>
        <v>76.399007999999995</v>
      </c>
      <c r="E158" s="6">
        <f t="shared" si="19"/>
        <v>-17.97306</v>
      </c>
      <c r="F158" s="6">
        <f t="shared" si="20"/>
        <v>-2.0175000000000054E-4</v>
      </c>
      <c r="G158" s="6">
        <f t="shared" si="16"/>
        <v>67.433060585074514</v>
      </c>
      <c r="H158" s="7">
        <f t="shared" si="17"/>
        <v>6.1081998689350436E-13</v>
      </c>
      <c r="I158" s="8" t="str">
        <f t="shared" si="18"/>
        <v/>
      </c>
    </row>
    <row r="159" spans="1:9" x14ac:dyDescent="0.2">
      <c r="A159" s="5">
        <v>1286</v>
      </c>
      <c r="B159" s="6">
        <v>9.3947000000000003E-2</v>
      </c>
      <c r="C159" s="6">
        <f t="shared" si="14"/>
        <v>5.9947E-2</v>
      </c>
      <c r="D159" s="6">
        <f t="shared" si="15"/>
        <v>77.091842</v>
      </c>
      <c r="E159" s="6">
        <f t="shared" si="19"/>
        <v>-18.092323</v>
      </c>
      <c r="F159" s="6">
        <f t="shared" si="20"/>
        <v>-6.5749999999999836E-5</v>
      </c>
      <c r="G159" s="6">
        <f t="shared" si="16"/>
        <v>67.958582062807039</v>
      </c>
      <c r="H159" s="7">
        <f t="shared" si="17"/>
        <v>1.8888717136617307E-12</v>
      </c>
      <c r="I159" s="8" t="str">
        <f t="shared" si="18"/>
        <v/>
      </c>
    </row>
    <row r="160" spans="1:9" x14ac:dyDescent="0.2">
      <c r="A160" s="5">
        <v>1284</v>
      </c>
      <c r="B160" s="6">
        <v>9.3578999999999996E-2</v>
      </c>
      <c r="C160" s="6">
        <f t="shared" si="14"/>
        <v>5.9578999999999993E-2</v>
      </c>
      <c r="D160" s="6">
        <f t="shared" si="15"/>
        <v>76.499435999999989</v>
      </c>
      <c r="E160" s="6">
        <f t="shared" si="19"/>
        <v>-18.211849000000001</v>
      </c>
      <c r="F160" s="6">
        <f t="shared" si="20"/>
        <v>4.8249999999999682E-5</v>
      </c>
      <c r="G160" s="6">
        <f t="shared" si="16"/>
        <v>67.652833270722141</v>
      </c>
      <c r="H160" s="7">
        <f t="shared" si="17"/>
        <v>-2.5623743777354554E-12</v>
      </c>
      <c r="I160" s="8" t="str">
        <f t="shared" si="18"/>
        <v/>
      </c>
    </row>
    <row r="161" spans="1:9" x14ac:dyDescent="0.2">
      <c r="A161" s="5">
        <v>1282</v>
      </c>
      <c r="B161" s="6">
        <v>9.3754000000000004E-2</v>
      </c>
      <c r="C161" s="6">
        <f t="shared" si="14"/>
        <v>5.9754000000000002E-2</v>
      </c>
      <c r="D161" s="6">
        <f t="shared" si="15"/>
        <v>76.604628000000005</v>
      </c>
      <c r="E161" s="6">
        <f t="shared" si="19"/>
        <v>-18.331182000000002</v>
      </c>
      <c r="F161" s="6">
        <f t="shared" si="20"/>
        <v>1.0974999999999874E-4</v>
      </c>
      <c r="G161" s="6">
        <f t="shared" si="16"/>
        <v>67.797880114784249</v>
      </c>
      <c r="H161" s="7">
        <f t="shared" si="17"/>
        <v>-1.1289260566076713E-12</v>
      </c>
      <c r="I161" s="8" t="str">
        <f t="shared" si="18"/>
        <v/>
      </c>
    </row>
    <row r="162" spans="1:9" x14ac:dyDescent="0.2">
      <c r="A162" s="5">
        <v>1280</v>
      </c>
      <c r="B162" s="6">
        <v>9.3140000000000001E-2</v>
      </c>
      <c r="C162" s="6">
        <f t="shared" si="14"/>
        <v>5.9139999999999998E-2</v>
      </c>
      <c r="D162" s="6">
        <f t="shared" si="15"/>
        <v>75.69919999999999</v>
      </c>
      <c r="E162" s="6">
        <f t="shared" si="19"/>
        <v>-18.450076000000003</v>
      </c>
      <c r="F162" s="6">
        <f t="shared" si="20"/>
        <v>-8.3500000000000241E-5</v>
      </c>
      <c r="G162" s="6">
        <f t="shared" si="16"/>
        <v>67.290200901903489</v>
      </c>
      <c r="H162" s="7">
        <f t="shared" si="17"/>
        <v>1.4727168667468418E-12</v>
      </c>
      <c r="I162" s="8" t="str">
        <f t="shared" si="18"/>
        <v/>
      </c>
    </row>
    <row r="163" spans="1:9" x14ac:dyDescent="0.2">
      <c r="A163" s="5">
        <v>1278</v>
      </c>
      <c r="B163" s="6">
        <v>9.4088000000000005E-2</v>
      </c>
      <c r="C163" s="6">
        <f t="shared" si="14"/>
        <v>6.0088000000000003E-2</v>
      </c>
      <c r="D163" s="6">
        <f t="shared" si="15"/>
        <v>76.79246400000001</v>
      </c>
      <c r="E163" s="6">
        <f t="shared" si="19"/>
        <v>-18.569304000000002</v>
      </c>
      <c r="F163" s="6">
        <f t="shared" si="20"/>
        <v>-2.1499999999999991E-4</v>
      </c>
      <c r="G163" s="6">
        <f t="shared" si="16"/>
        <v>68.072148377165661</v>
      </c>
      <c r="H163" s="7">
        <f t="shared" si="17"/>
        <v>5.786086323368497E-13</v>
      </c>
      <c r="I163" s="8" t="str">
        <f t="shared" si="18"/>
        <v/>
      </c>
    </row>
    <row r="164" spans="1:9" x14ac:dyDescent="0.2">
      <c r="A164" s="5">
        <v>1276</v>
      </c>
      <c r="B164" s="6">
        <v>9.4E-2</v>
      </c>
      <c r="C164" s="6">
        <f t="shared" si="14"/>
        <v>0.06</v>
      </c>
      <c r="D164" s="6">
        <f t="shared" si="15"/>
        <v>76.56</v>
      </c>
      <c r="E164" s="6">
        <f t="shared" si="19"/>
        <v>-18.689392000000002</v>
      </c>
      <c r="F164" s="6">
        <f t="shared" si="20"/>
        <v>-1.3149999999999967E-4</v>
      </c>
      <c r="G164" s="6">
        <f t="shared" si="16"/>
        <v>67.999738535580136</v>
      </c>
      <c r="H164" s="7">
        <f t="shared" si="17"/>
        <v>9.4500781768478179E-13</v>
      </c>
      <c r="I164" s="8" t="str">
        <f t="shared" si="18"/>
        <v/>
      </c>
    </row>
    <row r="165" spans="1:9" x14ac:dyDescent="0.2">
      <c r="A165" s="5">
        <v>1274</v>
      </c>
      <c r="B165" s="6">
        <v>9.4614000000000004E-2</v>
      </c>
      <c r="C165" s="6">
        <f t="shared" si="14"/>
        <v>6.0614000000000001E-2</v>
      </c>
      <c r="D165" s="6">
        <f t="shared" si="15"/>
        <v>77.222235999999995</v>
      </c>
      <c r="E165" s="6">
        <f t="shared" si="19"/>
        <v>-18.810006000000001</v>
      </c>
      <c r="F165" s="6">
        <f t="shared" si="20"/>
        <v>-1.7500000000000154E-5</v>
      </c>
      <c r="G165" s="6">
        <f t="shared" si="16"/>
        <v>68.503733748460903</v>
      </c>
      <c r="H165" s="7">
        <f t="shared" si="17"/>
        <v>7.1536898233563387E-12</v>
      </c>
      <c r="I165" s="8" t="str">
        <f t="shared" si="18"/>
        <v/>
      </c>
    </row>
    <row r="166" spans="1:9" x14ac:dyDescent="0.2">
      <c r="A166" s="5">
        <v>1272</v>
      </c>
      <c r="B166" s="6">
        <v>9.4070000000000001E-2</v>
      </c>
      <c r="C166" s="6">
        <f t="shared" si="14"/>
        <v>6.0069999999999998E-2</v>
      </c>
      <c r="D166" s="6">
        <f t="shared" si="15"/>
        <v>76.409040000000005</v>
      </c>
      <c r="E166" s="6">
        <f t="shared" si="19"/>
        <v>-18.930690000000002</v>
      </c>
      <c r="F166" s="6">
        <f t="shared" si="20"/>
        <v>-2.6249999999998497E-5</v>
      </c>
      <c r="G166" s="6">
        <f t="shared" si="16"/>
        <v>68.058285273204973</v>
      </c>
      <c r="H166" s="7">
        <f t="shared" si="17"/>
        <v>4.7381150983854691E-12</v>
      </c>
      <c r="I166" s="8" t="str">
        <f t="shared" si="18"/>
        <v/>
      </c>
    </row>
    <row r="167" spans="1:9" x14ac:dyDescent="0.2">
      <c r="A167" s="5">
        <v>1270</v>
      </c>
      <c r="B167" s="6">
        <v>9.4718999999999998E-2</v>
      </c>
      <c r="C167" s="6">
        <f t="shared" si="14"/>
        <v>6.0718999999999995E-2</v>
      </c>
      <c r="D167" s="6">
        <f t="shared" si="15"/>
        <v>77.113129999999998</v>
      </c>
      <c r="E167" s="6">
        <f t="shared" si="19"/>
        <v>-19.051479</v>
      </c>
      <c r="F167" s="6">
        <f t="shared" si="20"/>
        <v>-7.899999999999921E-5</v>
      </c>
      <c r="G167" s="6">
        <f t="shared" si="16"/>
        <v>68.588413854898164</v>
      </c>
      <c r="H167" s="7">
        <f t="shared" si="17"/>
        <v>1.5866370071549256E-12</v>
      </c>
      <c r="I167" s="8" t="str">
        <f t="shared" si="18"/>
        <v/>
      </c>
    </row>
    <row r="168" spans="1:9" x14ac:dyDescent="0.2">
      <c r="A168" s="5">
        <v>1268</v>
      </c>
      <c r="B168" s="6">
        <v>9.4385999999999998E-2</v>
      </c>
      <c r="C168" s="6">
        <f t="shared" si="14"/>
        <v>6.0385999999999995E-2</v>
      </c>
      <c r="D168" s="6">
        <f t="shared" si="15"/>
        <v>76.569447999999994</v>
      </c>
      <c r="E168" s="6">
        <f t="shared" si="19"/>
        <v>-19.172584000000001</v>
      </c>
      <c r="F168" s="6">
        <f t="shared" si="20"/>
        <v>-4.500000000001031E-6</v>
      </c>
      <c r="G168" s="6">
        <f t="shared" si="16"/>
        <v>68.317072431625689</v>
      </c>
      <c r="H168" s="7">
        <f t="shared" si="17"/>
        <v>2.7744100240257489E-11</v>
      </c>
      <c r="I168" s="8" t="str">
        <f t="shared" si="18"/>
        <v/>
      </c>
    </row>
    <row r="169" spans="1:9" x14ac:dyDescent="0.2">
      <c r="A169" s="5">
        <v>1266</v>
      </c>
      <c r="B169" s="6">
        <v>9.4737000000000002E-2</v>
      </c>
      <c r="C169" s="6">
        <f t="shared" si="14"/>
        <v>6.0736999999999999E-2</v>
      </c>
      <c r="D169" s="6">
        <f t="shared" si="15"/>
        <v>76.893041999999994</v>
      </c>
      <c r="E169" s="6">
        <f t="shared" si="19"/>
        <v>-19.293707000000001</v>
      </c>
      <c r="F169" s="6">
        <f t="shared" si="20"/>
        <v>2.6249999999998497E-5</v>
      </c>
      <c r="G169" s="6">
        <f t="shared" si="16"/>
        <v>68.602378958858836</v>
      </c>
      <c r="H169" s="7">
        <f t="shared" si="17"/>
        <v>-4.7759940795643807E-12</v>
      </c>
      <c r="I169" s="8" t="str">
        <f t="shared" si="18"/>
        <v/>
      </c>
    </row>
    <row r="170" spans="1:9" x14ac:dyDescent="0.2">
      <c r="A170" s="5">
        <v>1264</v>
      </c>
      <c r="B170" s="6">
        <v>9.4281000000000004E-2</v>
      </c>
      <c r="C170" s="6">
        <f t="shared" si="14"/>
        <v>6.0281000000000001E-2</v>
      </c>
      <c r="D170" s="6">
        <f t="shared" si="15"/>
        <v>76.195183999999998</v>
      </c>
      <c r="E170" s="6">
        <f t="shared" si="19"/>
        <v>-19.414725000000001</v>
      </c>
      <c r="F170" s="6">
        <f t="shared" si="20"/>
        <v>-1.4024999999999802E-4</v>
      </c>
      <c r="G170" s="6">
        <f t="shared" si="16"/>
        <v>68.232636325188437</v>
      </c>
      <c r="H170" s="7">
        <f t="shared" si="17"/>
        <v>8.8908481519515844E-13</v>
      </c>
      <c r="I170" s="8" t="str">
        <f t="shared" si="18"/>
        <v/>
      </c>
    </row>
    <row r="171" spans="1:9" x14ac:dyDescent="0.2">
      <c r="A171" s="5">
        <v>1262</v>
      </c>
      <c r="B171" s="6">
        <v>9.5297999999999994E-2</v>
      </c>
      <c r="C171" s="6">
        <f t="shared" si="14"/>
        <v>6.1297999999999991E-2</v>
      </c>
      <c r="D171" s="6">
        <f t="shared" si="15"/>
        <v>77.358075999999983</v>
      </c>
      <c r="E171" s="6">
        <f t="shared" si="19"/>
        <v>-19.536304000000001</v>
      </c>
      <c r="F171" s="6">
        <f t="shared" si="20"/>
        <v>-2.6750000000000038E-4</v>
      </c>
      <c r="G171" s="6">
        <f t="shared" si="16"/>
        <v>69.05522569896651</v>
      </c>
      <c r="H171" s="7">
        <f t="shared" si="17"/>
        <v>4.7176603882444122E-13</v>
      </c>
      <c r="I171" s="8" t="str">
        <f t="shared" si="18"/>
        <v/>
      </c>
    </row>
    <row r="172" spans="1:9" x14ac:dyDescent="0.2">
      <c r="A172" s="5">
        <v>1260</v>
      </c>
      <c r="B172" s="6">
        <v>9.5351000000000005E-2</v>
      </c>
      <c r="C172" s="6">
        <f t="shared" si="14"/>
        <v>6.1351000000000003E-2</v>
      </c>
      <c r="D172" s="6">
        <f t="shared" si="15"/>
        <v>77.302260000000004</v>
      </c>
      <c r="E172" s="6">
        <f t="shared" si="19"/>
        <v>-19.658953</v>
      </c>
      <c r="F172" s="6">
        <f t="shared" si="20"/>
        <v>-2.0175000000000054E-4</v>
      </c>
      <c r="G172" s="6">
        <f t="shared" si="16"/>
        <v>69.097988171739615</v>
      </c>
      <c r="H172" s="7">
        <f t="shared" si="17"/>
        <v>6.259011805667826E-13</v>
      </c>
      <c r="I172" s="8" t="str">
        <f t="shared" si="18"/>
        <v/>
      </c>
    </row>
    <row r="173" spans="1:9" x14ac:dyDescent="0.2">
      <c r="A173" s="5">
        <v>1258</v>
      </c>
      <c r="B173" s="6">
        <v>9.6104999999999996E-2</v>
      </c>
      <c r="C173" s="6">
        <f t="shared" si="14"/>
        <v>6.2104999999999994E-2</v>
      </c>
      <c r="D173" s="6">
        <f t="shared" si="15"/>
        <v>78.128089999999986</v>
      </c>
      <c r="E173" s="6">
        <f t="shared" si="19"/>
        <v>-19.782409000000001</v>
      </c>
      <c r="F173" s="6">
        <f t="shared" si="20"/>
        <v>-4.6500000000000014E-4</v>
      </c>
      <c r="G173" s="6">
        <f t="shared" si="16"/>
        <v>69.704836859870056</v>
      </c>
      <c r="H173" s="7">
        <f t="shared" si="17"/>
        <v>2.7394531244053809E-13</v>
      </c>
      <c r="I173" s="8" t="str">
        <f t="shared" si="18"/>
        <v/>
      </c>
    </row>
    <row r="174" spans="1:9" x14ac:dyDescent="0.2">
      <c r="A174" s="5">
        <v>1256</v>
      </c>
      <c r="B174" s="6">
        <v>9.7211000000000006E-2</v>
      </c>
      <c r="C174" s="6">
        <f t="shared" si="14"/>
        <v>6.3211000000000003E-2</v>
      </c>
      <c r="D174" s="6">
        <f t="shared" si="15"/>
        <v>79.393016000000003</v>
      </c>
      <c r="E174" s="6">
        <f t="shared" si="19"/>
        <v>-19.907725000000003</v>
      </c>
      <c r="F174" s="6">
        <f t="shared" si="20"/>
        <v>-6.1850000000000099E-4</v>
      </c>
      <c r="G174" s="6">
        <f t="shared" si="16"/>
        <v>70.592776914342593</v>
      </c>
      <c r="H174" s="7">
        <f t="shared" si="17"/>
        <v>2.0858086944675644E-13</v>
      </c>
      <c r="I174" s="8" t="str">
        <f t="shared" si="18"/>
        <v/>
      </c>
    </row>
    <row r="175" spans="1:9" x14ac:dyDescent="0.2">
      <c r="A175" s="5">
        <v>1254</v>
      </c>
      <c r="B175" s="6">
        <v>9.8579E-2</v>
      </c>
      <c r="C175" s="6">
        <f t="shared" si="14"/>
        <v>6.4578999999999998E-2</v>
      </c>
      <c r="D175" s="6">
        <f t="shared" si="15"/>
        <v>80.982066000000003</v>
      </c>
      <c r="E175" s="6">
        <f t="shared" si="19"/>
        <v>-20.035515000000004</v>
      </c>
      <c r="F175" s="6">
        <f t="shared" si="20"/>
        <v>-7.9824999999999688E-4</v>
      </c>
      <c r="G175" s="6">
        <f t="shared" si="16"/>
        <v>71.688324815353823</v>
      </c>
      <c r="H175" s="7">
        <f t="shared" si="17"/>
        <v>1.6412072098357087E-13</v>
      </c>
      <c r="I175" s="8" t="str">
        <f t="shared" si="18"/>
        <v/>
      </c>
    </row>
    <row r="176" spans="1:9" x14ac:dyDescent="0.2">
      <c r="A176" s="5">
        <v>1252</v>
      </c>
      <c r="B176" s="6">
        <v>0.10040399999999999</v>
      </c>
      <c r="C176" s="6">
        <f t="shared" si="14"/>
        <v>6.6403999999999991E-2</v>
      </c>
      <c r="D176" s="6">
        <f t="shared" si="15"/>
        <v>83.137807999999993</v>
      </c>
      <c r="E176" s="6">
        <f t="shared" si="19"/>
        <v>-20.166498000000004</v>
      </c>
      <c r="F176" s="6">
        <f t="shared" si="20"/>
        <v>-9.5624999999999877E-4</v>
      </c>
      <c r="G176" s="6">
        <f t="shared" si="16"/>
        <v>73.14620618914438</v>
      </c>
      <c r="H176" s="7">
        <f t="shared" si="17"/>
        <v>1.397894090684258E-13</v>
      </c>
      <c r="I176" s="8" t="str">
        <f t="shared" si="18"/>
        <v/>
      </c>
    </row>
    <row r="177" spans="1:9" x14ac:dyDescent="0.2">
      <c r="A177" s="5">
        <v>1250</v>
      </c>
      <c r="B177" s="6">
        <v>0.102404</v>
      </c>
      <c r="C177" s="6">
        <f t="shared" si="14"/>
        <v>6.8403999999999993E-2</v>
      </c>
      <c r="D177" s="6">
        <f t="shared" si="15"/>
        <v>85.504999999999995</v>
      </c>
      <c r="E177" s="6">
        <f t="shared" si="19"/>
        <v>-20.301306000000004</v>
      </c>
      <c r="F177" s="6">
        <f t="shared" si="20"/>
        <v>-9.3850000000000183E-4</v>
      </c>
      <c r="G177" s="6">
        <f t="shared" si="16"/>
        <v>74.739884406997049</v>
      </c>
      <c r="H177" s="7">
        <f t="shared" si="17"/>
        <v>1.455365434900568E-13</v>
      </c>
      <c r="I177" s="8" t="str">
        <f t="shared" si="18"/>
        <v/>
      </c>
    </row>
    <row r="178" spans="1:9" x14ac:dyDescent="0.2">
      <c r="A178" s="5">
        <v>1248</v>
      </c>
      <c r="B178" s="6">
        <v>0.104158</v>
      </c>
      <c r="C178" s="6">
        <f t="shared" si="14"/>
        <v>7.0157999999999998E-2</v>
      </c>
      <c r="D178" s="6">
        <f t="shared" si="15"/>
        <v>87.557183999999992</v>
      </c>
      <c r="E178" s="6">
        <f t="shared" si="19"/>
        <v>-20.439868000000004</v>
      </c>
      <c r="F178" s="6">
        <f t="shared" si="20"/>
        <v>-9.0350000000000152E-4</v>
      </c>
      <c r="G178" s="6">
        <f t="shared" si="16"/>
        <v>76.134032204053852</v>
      </c>
      <c r="H178" s="7">
        <f t="shared" si="17"/>
        <v>1.5399427867433527E-13</v>
      </c>
      <c r="I178" s="8" t="str">
        <f t="shared" si="18"/>
        <v/>
      </c>
    </row>
    <row r="179" spans="1:9" x14ac:dyDescent="0.2">
      <c r="A179" s="5">
        <v>1246</v>
      </c>
      <c r="B179" s="6">
        <v>0.106018</v>
      </c>
      <c r="C179" s="6">
        <f t="shared" si="14"/>
        <v>7.2017999999999999E-2</v>
      </c>
      <c r="D179" s="6">
        <f t="shared" si="15"/>
        <v>89.734427999999994</v>
      </c>
      <c r="E179" s="6">
        <f t="shared" si="19"/>
        <v>-20.582044000000003</v>
      </c>
      <c r="F179" s="6">
        <f t="shared" si="20"/>
        <v>-9.2549999999999924E-4</v>
      </c>
      <c r="G179" s="6">
        <f t="shared" si="16"/>
        <v>77.608712946656823</v>
      </c>
      <c r="H179" s="7">
        <f t="shared" si="17"/>
        <v>1.5324558431086894E-13</v>
      </c>
      <c r="I179" s="8" t="str">
        <f t="shared" si="18"/>
        <v/>
      </c>
    </row>
    <row r="180" spans="1:9" x14ac:dyDescent="0.2">
      <c r="A180" s="5">
        <v>1244</v>
      </c>
      <c r="B180" s="6">
        <v>0.10786</v>
      </c>
      <c r="C180" s="6">
        <f t="shared" si="14"/>
        <v>7.3859999999999995E-2</v>
      </c>
      <c r="D180" s="6">
        <f t="shared" si="15"/>
        <v>91.881839999999997</v>
      </c>
      <c r="E180" s="6">
        <f t="shared" si="19"/>
        <v>-20.727922000000003</v>
      </c>
      <c r="F180" s="6">
        <f t="shared" si="20"/>
        <v>-1.0657500000000007E-3</v>
      </c>
      <c r="G180" s="6">
        <f t="shared" si="16"/>
        <v>79.065438585299134</v>
      </c>
      <c r="H180" s="7">
        <f t="shared" si="17"/>
        <v>1.3557676104824715E-13</v>
      </c>
      <c r="I180" s="8" t="str">
        <f t="shared" si="18"/>
        <v/>
      </c>
    </row>
    <row r="181" spans="1:9" x14ac:dyDescent="0.2">
      <c r="A181" s="5">
        <v>1242</v>
      </c>
      <c r="B181" s="6">
        <v>0.110281</v>
      </c>
      <c r="C181" s="6">
        <f t="shared" si="14"/>
        <v>7.6281000000000002E-2</v>
      </c>
      <c r="D181" s="6">
        <f t="shared" si="15"/>
        <v>94.741002000000009</v>
      </c>
      <c r="E181" s="6">
        <f t="shared" si="19"/>
        <v>-20.878063000000004</v>
      </c>
      <c r="F181" s="6">
        <f t="shared" si="20"/>
        <v>-1.0569999999999989E-3</v>
      </c>
      <c r="G181" s="6">
        <f t="shared" si="16"/>
        <v>80.975218068009809</v>
      </c>
      <c r="H181" s="7">
        <f t="shared" si="17"/>
        <v>1.4000097177963168E-13</v>
      </c>
      <c r="I181" s="8" t="str">
        <f t="shared" si="18"/>
        <v/>
      </c>
    </row>
    <row r="182" spans="1:9" x14ac:dyDescent="0.2">
      <c r="A182" s="5">
        <v>1240</v>
      </c>
      <c r="B182" s="6">
        <v>0.11208799999999999</v>
      </c>
      <c r="C182" s="6">
        <f t="shared" si="14"/>
        <v>7.8087999999999991E-2</v>
      </c>
      <c r="D182" s="6">
        <f t="shared" si="15"/>
        <v>96.829119999999989</v>
      </c>
      <c r="E182" s="6">
        <f t="shared" si="19"/>
        <v>-21.032432000000004</v>
      </c>
      <c r="F182" s="6">
        <f t="shared" si="20"/>
        <v>-9.6475000000000033E-4</v>
      </c>
      <c r="G182" s="6">
        <f t="shared" si="16"/>
        <v>82.39703633783968</v>
      </c>
      <c r="H182" s="7">
        <f t="shared" si="17"/>
        <v>1.5608124309133741E-13</v>
      </c>
      <c r="I182" s="8" t="str">
        <f t="shared" si="18"/>
        <v/>
      </c>
    </row>
    <row r="183" spans="1:9" x14ac:dyDescent="0.2">
      <c r="A183" s="5">
        <v>1238</v>
      </c>
      <c r="B183" s="6">
        <v>0.11414000000000001</v>
      </c>
      <c r="C183" s="6">
        <f t="shared" si="14"/>
        <v>8.0140000000000003E-2</v>
      </c>
      <c r="D183" s="6">
        <f t="shared" si="15"/>
        <v>99.21332000000001</v>
      </c>
      <c r="E183" s="6">
        <f t="shared" si="19"/>
        <v>-21.190660000000005</v>
      </c>
      <c r="F183" s="6">
        <f t="shared" si="20"/>
        <v>-1.0000000000000009E-3</v>
      </c>
      <c r="G183" s="6">
        <f t="shared" si="16"/>
        <v>84.00752618935654</v>
      </c>
      <c r="H183" s="7">
        <f t="shared" si="17"/>
        <v>1.5352252593084148E-13</v>
      </c>
      <c r="I183" s="8" t="str">
        <f t="shared" si="18"/>
        <v/>
      </c>
    </row>
    <row r="184" spans="1:9" x14ac:dyDescent="0.2">
      <c r="A184" s="5">
        <v>1236</v>
      </c>
      <c r="B184" s="6">
        <v>0.116088</v>
      </c>
      <c r="C184" s="6">
        <f t="shared" si="14"/>
        <v>8.2087999999999994E-2</v>
      </c>
      <c r="D184" s="6">
        <f t="shared" si="15"/>
        <v>101.46076799999999</v>
      </c>
      <c r="E184" s="6">
        <f t="shared" si="19"/>
        <v>-21.352888000000004</v>
      </c>
      <c r="F184" s="6">
        <f t="shared" si="20"/>
        <v>-1.0659999999999975E-3</v>
      </c>
      <c r="G184" s="6">
        <f t="shared" si="16"/>
        <v>85.532496773545034</v>
      </c>
      <c r="H184" s="7">
        <f t="shared" si="17"/>
        <v>1.4663169547706837E-13</v>
      </c>
      <c r="I184" s="8" t="str">
        <f t="shared" si="18"/>
        <v/>
      </c>
    </row>
    <row r="185" spans="1:9" x14ac:dyDescent="0.2">
      <c r="A185" s="5">
        <v>1234</v>
      </c>
      <c r="B185" s="6">
        <v>0.118404</v>
      </c>
      <c r="C185" s="6">
        <f t="shared" si="14"/>
        <v>8.4403999999999993E-2</v>
      </c>
      <c r="D185" s="6">
        <f t="shared" si="15"/>
        <v>104.15453599999999</v>
      </c>
      <c r="E185" s="6">
        <f t="shared" si="19"/>
        <v>-21.519380000000005</v>
      </c>
      <c r="F185" s="6">
        <f t="shared" si="20"/>
        <v>-1.1140000000000004E-3</v>
      </c>
      <c r="G185" s="6">
        <f t="shared" si="16"/>
        <v>87.34092014981843</v>
      </c>
      <c r="H185" s="7">
        <f t="shared" si="17"/>
        <v>1.4328030041270723E-13</v>
      </c>
      <c r="I185" s="8" t="str">
        <f t="shared" si="18"/>
        <v/>
      </c>
    </row>
    <row r="186" spans="1:9" x14ac:dyDescent="0.2">
      <c r="A186" s="5">
        <v>1232</v>
      </c>
      <c r="B186" s="6">
        <v>0.120544</v>
      </c>
      <c r="C186" s="6">
        <f t="shared" si="14"/>
        <v>8.6543999999999996E-2</v>
      </c>
      <c r="D186" s="6">
        <f t="shared" si="15"/>
        <v>106.622208</v>
      </c>
      <c r="E186" s="6">
        <f t="shared" si="19"/>
        <v>-21.690328000000004</v>
      </c>
      <c r="F186" s="6">
        <f t="shared" si="20"/>
        <v>-1.017500000000001E-3</v>
      </c>
      <c r="G186" s="6">
        <f t="shared" si="16"/>
        <v>89.007635842920777</v>
      </c>
      <c r="H186" s="7">
        <f t="shared" si="17"/>
        <v>1.598625584488568E-13</v>
      </c>
      <c r="I186" s="8" t="str">
        <f t="shared" si="18"/>
        <v/>
      </c>
    </row>
    <row r="187" spans="1:9" x14ac:dyDescent="0.2">
      <c r="A187" s="5">
        <v>1230</v>
      </c>
      <c r="B187" s="6">
        <v>0.122474</v>
      </c>
      <c r="C187" s="6">
        <f t="shared" si="14"/>
        <v>8.8473999999999997E-2</v>
      </c>
      <c r="D187" s="6">
        <f t="shared" si="15"/>
        <v>108.82302</v>
      </c>
      <c r="E187" s="6">
        <f t="shared" si="19"/>
        <v>-21.865346000000006</v>
      </c>
      <c r="F187" s="6">
        <f t="shared" si="20"/>
        <v>-7.9374999999999932E-4</v>
      </c>
      <c r="G187" s="6">
        <f t="shared" si="16"/>
        <v>90.50693532314861</v>
      </c>
      <c r="H187" s="7">
        <f t="shared" si="17"/>
        <v>2.0837808012881312E-13</v>
      </c>
      <c r="I187" s="8" t="str">
        <f t="shared" si="18"/>
        <v/>
      </c>
    </row>
    <row r="188" spans="1:9" x14ac:dyDescent="0.2">
      <c r="A188" s="5">
        <v>1228</v>
      </c>
      <c r="B188" s="6">
        <v>0.123719</v>
      </c>
      <c r="C188" s="6">
        <f t="shared" si="14"/>
        <v>8.9718999999999993E-2</v>
      </c>
      <c r="D188" s="6">
        <f t="shared" si="15"/>
        <v>110.174932</v>
      </c>
      <c r="E188" s="6">
        <f t="shared" si="19"/>
        <v>-22.043539000000006</v>
      </c>
      <c r="F188" s="6">
        <f t="shared" si="20"/>
        <v>-7.1475000000000011E-4</v>
      </c>
      <c r="G188" s="6">
        <f t="shared" si="16"/>
        <v>91.471610013761904</v>
      </c>
      <c r="H188" s="7">
        <f t="shared" si="17"/>
        <v>2.3387622244968156E-13</v>
      </c>
      <c r="I188" s="8" t="str">
        <f t="shared" si="18"/>
        <v/>
      </c>
    </row>
    <row r="189" spans="1:9" x14ac:dyDescent="0.2">
      <c r="A189" s="5">
        <v>1226</v>
      </c>
      <c r="B189" s="6">
        <v>0.125333</v>
      </c>
      <c r="C189" s="6">
        <f t="shared" si="14"/>
        <v>9.1332999999999998E-2</v>
      </c>
      <c r="D189" s="6">
        <f t="shared" si="15"/>
        <v>111.97425799999999</v>
      </c>
      <c r="E189" s="6">
        <f t="shared" si="19"/>
        <v>-22.224591000000007</v>
      </c>
      <c r="F189" s="6">
        <f t="shared" si="20"/>
        <v>-7.5875000000000248E-4</v>
      </c>
      <c r="G189" s="6">
        <f t="shared" si="16"/>
        <v>92.718972335569006</v>
      </c>
      <c r="H189" s="7">
        <f t="shared" si="17"/>
        <v>2.2331804468233353E-13</v>
      </c>
      <c r="I189" s="8" t="str">
        <f t="shared" si="18"/>
        <v/>
      </c>
    </row>
    <row r="190" spans="1:9" x14ac:dyDescent="0.2">
      <c r="A190" s="5">
        <v>1224</v>
      </c>
      <c r="B190" s="6">
        <v>0.12675400000000001</v>
      </c>
      <c r="C190" s="6">
        <f t="shared" si="14"/>
        <v>9.2754000000000003E-2</v>
      </c>
      <c r="D190" s="6">
        <f t="shared" si="15"/>
        <v>113.530896</v>
      </c>
      <c r="E190" s="6">
        <f t="shared" si="19"/>
        <v>-22.408678000000009</v>
      </c>
      <c r="F190" s="6">
        <f t="shared" si="20"/>
        <v>-8.2025000000000153E-4</v>
      </c>
      <c r="G190" s="6">
        <f t="shared" si="16"/>
        <v>93.814334709353332</v>
      </c>
      <c r="H190" s="7">
        <f t="shared" si="17"/>
        <v>2.0901472127612541E-13</v>
      </c>
      <c r="I190" s="8" t="str">
        <f t="shared" si="18"/>
        <v/>
      </c>
    </row>
    <row r="191" spans="1:9" x14ac:dyDescent="0.2">
      <c r="A191" s="5">
        <v>1222</v>
      </c>
      <c r="B191" s="6">
        <v>0.12861400000000001</v>
      </c>
      <c r="C191" s="6">
        <f t="shared" si="14"/>
        <v>9.4614000000000004E-2</v>
      </c>
      <c r="D191" s="6">
        <f t="shared" si="15"/>
        <v>115.618308</v>
      </c>
      <c r="E191" s="6">
        <f t="shared" si="19"/>
        <v>-22.596046000000008</v>
      </c>
      <c r="F191" s="6">
        <f t="shared" si="20"/>
        <v>-1.0177499999999978E-3</v>
      </c>
      <c r="G191" s="6">
        <f t="shared" si="16"/>
        <v>95.24437545195633</v>
      </c>
      <c r="H191" s="7">
        <f t="shared" si="17"/>
        <v>1.7102206207499006E-13</v>
      </c>
      <c r="I191" s="8" t="str">
        <f t="shared" si="18"/>
        <v/>
      </c>
    </row>
    <row r="192" spans="1:9" x14ac:dyDescent="0.2">
      <c r="A192" s="5">
        <v>1220</v>
      </c>
      <c r="B192" s="6">
        <v>0.130825</v>
      </c>
      <c r="C192" s="6">
        <f t="shared" si="14"/>
        <v>9.6824999999999994E-2</v>
      </c>
      <c r="D192" s="6">
        <f t="shared" si="15"/>
        <v>118.12649999999999</v>
      </c>
      <c r="E192" s="6">
        <f t="shared" si="19"/>
        <v>-22.787485000000007</v>
      </c>
      <c r="F192" s="6">
        <f t="shared" si="20"/>
        <v>-1.1492499999999975E-3</v>
      </c>
      <c r="G192" s="6">
        <f t="shared" si="16"/>
        <v>96.939856721792438</v>
      </c>
      <c r="H192" s="7">
        <f t="shared" si="17"/>
        <v>1.5414937647135854E-13</v>
      </c>
      <c r="I192" s="8" t="str">
        <f t="shared" si="18"/>
        <v/>
      </c>
    </row>
    <row r="193" spans="1:9" x14ac:dyDescent="0.2">
      <c r="A193" s="5">
        <v>1218</v>
      </c>
      <c r="B193" s="6">
        <v>0.133211</v>
      </c>
      <c r="C193" s="6">
        <f t="shared" si="14"/>
        <v>9.9210999999999994E-2</v>
      </c>
      <c r="D193" s="6">
        <f t="shared" si="15"/>
        <v>120.83899799999999</v>
      </c>
      <c r="E193" s="6">
        <f t="shared" si="19"/>
        <v>-22.983521000000007</v>
      </c>
      <c r="F193" s="6">
        <f t="shared" si="20"/>
        <v>-1.1709999999999984E-3</v>
      </c>
      <c r="G193" s="6">
        <f t="shared" si="16"/>
        <v>98.764762835690675</v>
      </c>
      <c r="H193" s="7">
        <f t="shared" si="17"/>
        <v>1.5413421020746689E-13</v>
      </c>
      <c r="I193" s="8" t="str">
        <f t="shared" si="18"/>
        <v/>
      </c>
    </row>
    <row r="194" spans="1:9" x14ac:dyDescent="0.2">
      <c r="A194" s="5">
        <v>1216</v>
      </c>
      <c r="B194" s="6">
        <v>0.13550899999999999</v>
      </c>
      <c r="C194" s="6">
        <f t="shared" ref="C194:C257" si="21">B194-$B$2</f>
        <v>0.10150899999999999</v>
      </c>
      <c r="D194" s="6">
        <f t="shared" ref="D194:D257" si="22">A194*C194</f>
        <v>123.43494399999999</v>
      </c>
      <c r="E194" s="6">
        <f t="shared" si="19"/>
        <v>-23.184241000000007</v>
      </c>
      <c r="F194" s="6">
        <f t="shared" si="20"/>
        <v>-1.3507499999999978E-3</v>
      </c>
      <c r="G194" s="6">
        <f t="shared" ref="G194:G257" si="23">(A194-$L$5)*C194-E194</f>
        <v>100.5177671080034</v>
      </c>
      <c r="H194" s="7">
        <f t="shared" ref="H194:H257" si="24">IF(ABS(F194)&lt;0.000000001,"",-(G194)/(2*$L$4*F194)*0.000000000001)</f>
        <v>1.3599463248704634E-13</v>
      </c>
      <c r="I194" s="8" t="str">
        <f t="shared" ref="I194:I257" si="25">IF(AND(B194&gt;=0.5,B194&lt;=2.5,ISNUMBER(H194),H194&gt;0),H194,"")</f>
        <v/>
      </c>
    </row>
    <row r="195" spans="1:9" x14ac:dyDescent="0.2">
      <c r="A195" s="5">
        <v>1214</v>
      </c>
      <c r="B195" s="6">
        <v>0.13861399999999999</v>
      </c>
      <c r="C195" s="6">
        <f t="shared" si="21"/>
        <v>0.10461399999999998</v>
      </c>
      <c r="D195" s="6">
        <f t="shared" si="22"/>
        <v>127.00139599999999</v>
      </c>
      <c r="E195" s="6">
        <f t="shared" ref="E195:E258" si="26">E194+(C194+C195)/2*(A195-A194)</f>
        <v>-23.390364000000009</v>
      </c>
      <c r="F195" s="6">
        <f t="shared" ref="F195:F258" si="27">(B196-B194)/(A196-A194)</f>
        <v>-1.3290000000000038E-3</v>
      </c>
      <c r="G195" s="6">
        <f t="shared" si="23"/>
        <v>102.88017254121965</v>
      </c>
      <c r="H195" s="7">
        <f t="shared" si="24"/>
        <v>1.4146878195860692E-13</v>
      </c>
      <c r="I195" s="8" t="str">
        <f t="shared" si="25"/>
        <v/>
      </c>
    </row>
    <row r="196" spans="1:9" x14ac:dyDescent="0.2">
      <c r="A196" s="5">
        <v>1212</v>
      </c>
      <c r="B196" s="6">
        <v>0.14082500000000001</v>
      </c>
      <c r="C196" s="6">
        <f t="shared" si="21"/>
        <v>0.106825</v>
      </c>
      <c r="D196" s="6">
        <f t="shared" si="22"/>
        <v>129.47190000000001</v>
      </c>
      <c r="E196" s="6">
        <f t="shared" si="26"/>
        <v>-23.601803000000007</v>
      </c>
      <c r="F196" s="6">
        <f t="shared" si="27"/>
        <v>-1.4080000000000065E-3</v>
      </c>
      <c r="G196" s="6">
        <f t="shared" si="23"/>
        <v>104.55796581105579</v>
      </c>
      <c r="H196" s="7">
        <f t="shared" si="24"/>
        <v>1.3570891611823324E-13</v>
      </c>
      <c r="I196" s="8" t="str">
        <f t="shared" si="25"/>
        <v/>
      </c>
    </row>
    <row r="197" spans="1:9" x14ac:dyDescent="0.2">
      <c r="A197" s="5">
        <v>1210</v>
      </c>
      <c r="B197" s="6">
        <v>0.14424600000000001</v>
      </c>
      <c r="C197" s="6">
        <f t="shared" si="21"/>
        <v>0.11024600000000001</v>
      </c>
      <c r="D197" s="6">
        <f t="shared" si="22"/>
        <v>133.39766</v>
      </c>
      <c r="E197" s="6">
        <f t="shared" si="26"/>
        <v>-23.818874000000008</v>
      </c>
      <c r="F197" s="6">
        <f t="shared" si="27"/>
        <v>-1.7192499999999986E-3</v>
      </c>
      <c r="G197" s="6">
        <f t="shared" si="23"/>
        <v>107.1471124026928</v>
      </c>
      <c r="H197" s="7">
        <f t="shared" si="24"/>
        <v>1.1389255863758602E-13</v>
      </c>
      <c r="I197" s="8" t="str">
        <f t="shared" si="25"/>
        <v/>
      </c>
    </row>
    <row r="198" spans="1:9" x14ac:dyDescent="0.2">
      <c r="A198" s="5">
        <v>1208</v>
      </c>
      <c r="B198" s="6">
        <v>0.147702</v>
      </c>
      <c r="C198" s="6">
        <f t="shared" si="21"/>
        <v>0.113702</v>
      </c>
      <c r="D198" s="6">
        <f t="shared" si="22"/>
        <v>137.35201599999999</v>
      </c>
      <c r="E198" s="6">
        <f t="shared" si="26"/>
        <v>-24.042822000000008</v>
      </c>
      <c r="F198" s="6">
        <f t="shared" si="27"/>
        <v>-1.7367499999999952E-3</v>
      </c>
      <c r="G198" s="6">
        <f t="shared" si="23"/>
        <v>109.75583636314221</v>
      </c>
      <c r="H198" s="7">
        <f t="shared" si="24"/>
        <v>1.1548995902470261E-13</v>
      </c>
      <c r="I198" s="8" t="str">
        <f t="shared" si="25"/>
        <v/>
      </c>
    </row>
    <row r="199" spans="1:9" x14ac:dyDescent="0.2">
      <c r="A199" s="5">
        <v>1206</v>
      </c>
      <c r="B199" s="6">
        <v>0.15119299999999999</v>
      </c>
      <c r="C199" s="6">
        <f t="shared" si="21"/>
        <v>0.11719299999999999</v>
      </c>
      <c r="D199" s="6">
        <f t="shared" si="22"/>
        <v>141.33475799999999</v>
      </c>
      <c r="E199" s="6">
        <f t="shared" si="26"/>
        <v>-24.273717000000008</v>
      </c>
      <c r="F199" s="6">
        <f t="shared" si="27"/>
        <v>-1.5307499999999974E-3</v>
      </c>
      <c r="G199" s="6">
        <f t="shared" si="23"/>
        <v>112.38399769240404</v>
      </c>
      <c r="H199" s="7">
        <f t="shared" si="24"/>
        <v>1.3416959839422947E-13</v>
      </c>
      <c r="I199" s="8" t="str">
        <f t="shared" si="25"/>
        <v/>
      </c>
    </row>
    <row r="200" spans="1:9" x14ac:dyDescent="0.2">
      <c r="A200" s="5">
        <v>1204</v>
      </c>
      <c r="B200" s="6">
        <v>0.15382499999999999</v>
      </c>
      <c r="C200" s="6">
        <f t="shared" si="21"/>
        <v>0.11982499999999999</v>
      </c>
      <c r="D200" s="6">
        <f t="shared" si="22"/>
        <v>144.26929999999999</v>
      </c>
      <c r="E200" s="6">
        <f t="shared" si="26"/>
        <v>-24.510735000000007</v>
      </c>
      <c r="F200" s="6">
        <f t="shared" si="27"/>
        <v>-2.135999999999999E-3</v>
      </c>
      <c r="G200" s="6">
        <f t="shared" si="23"/>
        <v>114.36020622709815</v>
      </c>
      <c r="H200" s="7">
        <f t="shared" si="24"/>
        <v>9.7842511679392506E-14</v>
      </c>
      <c r="I200" s="8" t="str">
        <f t="shared" si="25"/>
        <v/>
      </c>
    </row>
    <row r="201" spans="1:9" x14ac:dyDescent="0.2">
      <c r="A201" s="5">
        <v>1202</v>
      </c>
      <c r="B201" s="6">
        <v>0.15973699999999999</v>
      </c>
      <c r="C201" s="6">
        <f t="shared" si="21"/>
        <v>0.12573699999999999</v>
      </c>
      <c r="D201" s="6">
        <f t="shared" si="22"/>
        <v>151.13587399999997</v>
      </c>
      <c r="E201" s="6">
        <f t="shared" si="26"/>
        <v>-24.756297000000007</v>
      </c>
      <c r="F201" s="6">
        <f t="shared" si="27"/>
        <v>-2.1490000000000051E-3</v>
      </c>
      <c r="G201" s="6">
        <f t="shared" si="23"/>
        <v>118.78734303907063</v>
      </c>
      <c r="H201" s="7">
        <f t="shared" si="24"/>
        <v>1.0101541775097212E-13</v>
      </c>
      <c r="I201" s="8" t="str">
        <f t="shared" si="25"/>
        <v/>
      </c>
    </row>
    <row r="202" spans="1:9" x14ac:dyDescent="0.2">
      <c r="A202" s="5">
        <v>1200</v>
      </c>
      <c r="B202" s="6">
        <v>0.16242100000000001</v>
      </c>
      <c r="C202" s="6">
        <f t="shared" si="21"/>
        <v>0.12842100000000001</v>
      </c>
      <c r="D202" s="6">
        <f t="shared" si="22"/>
        <v>154.1052</v>
      </c>
      <c r="E202" s="6">
        <f t="shared" si="26"/>
        <v>-25.010455000000007</v>
      </c>
      <c r="F202" s="6">
        <f t="shared" si="27"/>
        <v>-1.714750000000001E-3</v>
      </c>
      <c r="G202" s="6">
        <f t="shared" si="23"/>
        <v>120.79185920742894</v>
      </c>
      <c r="H202" s="7">
        <f t="shared" si="24"/>
        <v>1.2873325950647172E-13</v>
      </c>
      <c r="I202" s="8" t="str">
        <f t="shared" si="25"/>
        <v/>
      </c>
    </row>
    <row r="203" spans="1:9" x14ac:dyDescent="0.2">
      <c r="A203" s="5">
        <v>1198</v>
      </c>
      <c r="B203" s="6">
        <v>0.16659599999999999</v>
      </c>
      <c r="C203" s="6">
        <f t="shared" si="21"/>
        <v>0.13259599999999999</v>
      </c>
      <c r="D203" s="6">
        <f t="shared" si="22"/>
        <v>158.850008</v>
      </c>
      <c r="E203" s="6">
        <f t="shared" si="26"/>
        <v>-25.271472000000006</v>
      </c>
      <c r="F203" s="6">
        <f t="shared" si="27"/>
        <v>-3.0569999999999972E-3</v>
      </c>
      <c r="G203" s="6">
        <f t="shared" si="23"/>
        <v>123.90156248719637</v>
      </c>
      <c r="H203" s="7">
        <f t="shared" si="24"/>
        <v>7.4068790977755779E-14</v>
      </c>
      <c r="I203" s="8" t="str">
        <f t="shared" si="25"/>
        <v/>
      </c>
    </row>
    <row r="204" spans="1:9" x14ac:dyDescent="0.2">
      <c r="A204" s="5">
        <v>1196</v>
      </c>
      <c r="B204" s="6">
        <v>0.174649</v>
      </c>
      <c r="C204" s="6">
        <f t="shared" si="21"/>
        <v>0.140649</v>
      </c>
      <c r="D204" s="6">
        <f t="shared" si="22"/>
        <v>168.216204</v>
      </c>
      <c r="E204" s="6">
        <f t="shared" si="26"/>
        <v>-25.544717000000006</v>
      </c>
      <c r="F204" s="6">
        <f t="shared" si="27"/>
        <v>-3.5307499999999992E-3</v>
      </c>
      <c r="G204" s="6">
        <f t="shared" si="23"/>
        <v>129.88364583138016</v>
      </c>
      <c r="H204" s="7">
        <f t="shared" si="24"/>
        <v>6.7226641329217959E-14</v>
      </c>
      <c r="I204" s="8" t="str">
        <f t="shared" si="25"/>
        <v/>
      </c>
    </row>
    <row r="205" spans="1:9" x14ac:dyDescent="0.2">
      <c r="A205" s="5">
        <v>1194</v>
      </c>
      <c r="B205" s="6">
        <v>0.18071899999999999</v>
      </c>
      <c r="C205" s="6">
        <f t="shared" si="21"/>
        <v>0.14671899999999999</v>
      </c>
      <c r="D205" s="6">
        <f t="shared" si="22"/>
        <v>175.18248599999998</v>
      </c>
      <c r="E205" s="6">
        <f t="shared" si="26"/>
        <v>-25.832085000000006</v>
      </c>
      <c r="F205" s="6">
        <f t="shared" si="27"/>
        <v>-3.2237499999999975E-3</v>
      </c>
      <c r="G205" s="6">
        <f t="shared" si="23"/>
        <v>134.38053922256302</v>
      </c>
      <c r="H205" s="7">
        <f t="shared" si="24"/>
        <v>7.6177889352917466E-14</v>
      </c>
      <c r="I205" s="8" t="str">
        <f t="shared" si="25"/>
        <v/>
      </c>
    </row>
    <row r="206" spans="1:9" x14ac:dyDescent="0.2">
      <c r="A206" s="5">
        <v>1192</v>
      </c>
      <c r="B206" s="6">
        <v>0.18754399999999999</v>
      </c>
      <c r="C206" s="6">
        <f t="shared" si="21"/>
        <v>0.15354399999999999</v>
      </c>
      <c r="D206" s="6">
        <f t="shared" si="22"/>
        <v>183.02444799999998</v>
      </c>
      <c r="E206" s="6">
        <f t="shared" si="26"/>
        <v>-26.132348000000007</v>
      </c>
      <c r="F206" s="6">
        <f t="shared" si="27"/>
        <v>-3.3157499999999993E-3</v>
      </c>
      <c r="G206" s="6">
        <f t="shared" si="23"/>
        <v>139.42311614098526</v>
      </c>
      <c r="H206" s="7">
        <f t="shared" si="24"/>
        <v>7.6843461177109073E-14</v>
      </c>
      <c r="I206" s="8" t="str">
        <f t="shared" si="25"/>
        <v/>
      </c>
    </row>
    <row r="207" spans="1:9" x14ac:dyDescent="0.2">
      <c r="A207" s="5">
        <v>1190</v>
      </c>
      <c r="B207" s="6">
        <v>0.19398199999999999</v>
      </c>
      <c r="C207" s="6">
        <f t="shared" si="21"/>
        <v>0.15998199999999999</v>
      </c>
      <c r="D207" s="6">
        <f t="shared" si="22"/>
        <v>190.37857999999997</v>
      </c>
      <c r="E207" s="6">
        <f t="shared" si="26"/>
        <v>-26.445874000000007</v>
      </c>
      <c r="F207" s="6">
        <f t="shared" si="27"/>
        <v>-2.6885000000000034E-3</v>
      </c>
      <c r="G207" s="6">
        <f t="shared" si="23"/>
        <v>144.166886324253</v>
      </c>
      <c r="H207" s="7">
        <f t="shared" si="24"/>
        <v>9.7996234723658379E-14</v>
      </c>
      <c r="I207" s="8" t="str">
        <f t="shared" si="25"/>
        <v/>
      </c>
    </row>
    <row r="208" spans="1:9" x14ac:dyDescent="0.2">
      <c r="A208" s="5">
        <v>1188</v>
      </c>
      <c r="B208" s="6">
        <v>0.198298</v>
      </c>
      <c r="C208" s="6">
        <f t="shared" si="21"/>
        <v>0.164298</v>
      </c>
      <c r="D208" s="6">
        <f t="shared" si="22"/>
        <v>195.186024</v>
      </c>
      <c r="E208" s="6">
        <f t="shared" si="26"/>
        <v>-26.770154000000009</v>
      </c>
      <c r="F208" s="6">
        <f t="shared" si="27"/>
        <v>-2.6360000000000064E-3</v>
      </c>
      <c r="G208" s="6">
        <f t="shared" si="23"/>
        <v>147.33845191837909</v>
      </c>
      <c r="H208" s="7">
        <f t="shared" si="24"/>
        <v>1.0214676282621497E-13</v>
      </c>
      <c r="I208" s="8" t="str">
        <f t="shared" si="25"/>
        <v/>
      </c>
    </row>
    <row r="209" spans="1:9" x14ac:dyDescent="0.2">
      <c r="A209" s="5">
        <v>1186</v>
      </c>
      <c r="B209" s="6">
        <v>0.20452600000000001</v>
      </c>
      <c r="C209" s="6">
        <f t="shared" si="21"/>
        <v>0.17052600000000001</v>
      </c>
      <c r="D209" s="6">
        <f t="shared" si="22"/>
        <v>202.24383600000002</v>
      </c>
      <c r="E209" s="6">
        <f t="shared" si="26"/>
        <v>-27.10497800000001</v>
      </c>
      <c r="F209" s="6">
        <f t="shared" si="27"/>
        <v>-3.1754999999999978E-3</v>
      </c>
      <c r="G209" s="6">
        <f t="shared" si="23"/>
        <v>151.90257388877231</v>
      </c>
      <c r="H209" s="7">
        <f t="shared" si="24"/>
        <v>8.741921996027955E-14</v>
      </c>
      <c r="I209" s="8" t="str">
        <f t="shared" si="25"/>
        <v/>
      </c>
    </row>
    <row r="210" spans="1:9" x14ac:dyDescent="0.2">
      <c r="A210" s="5">
        <v>1184</v>
      </c>
      <c r="B210" s="6">
        <v>0.21099999999999999</v>
      </c>
      <c r="C210" s="6">
        <f t="shared" si="21"/>
        <v>0.17699999999999999</v>
      </c>
      <c r="D210" s="6">
        <f t="shared" si="22"/>
        <v>209.56799999999998</v>
      </c>
      <c r="E210" s="6">
        <f t="shared" si="26"/>
        <v>-27.452504000000008</v>
      </c>
      <c r="F210" s="6">
        <f t="shared" si="27"/>
        <v>-3.4782499999999952E-3</v>
      </c>
      <c r="G210" s="6">
        <f t="shared" si="23"/>
        <v>156.63402627996138</v>
      </c>
      <c r="H210" s="7">
        <f t="shared" si="24"/>
        <v>8.2296095178749472E-14</v>
      </c>
      <c r="I210" s="8" t="str">
        <f t="shared" si="25"/>
        <v/>
      </c>
    </row>
    <row r="211" spans="1:9" x14ac:dyDescent="0.2">
      <c r="A211" s="5">
        <v>1182</v>
      </c>
      <c r="B211" s="6">
        <v>0.21843899999999999</v>
      </c>
      <c r="C211" s="6">
        <f t="shared" si="21"/>
        <v>0.18443899999999999</v>
      </c>
      <c r="D211" s="6">
        <f t="shared" si="22"/>
        <v>218.00689799999998</v>
      </c>
      <c r="E211" s="6">
        <f t="shared" si="26"/>
        <v>-27.813943000000009</v>
      </c>
      <c r="F211" s="6">
        <f t="shared" si="27"/>
        <v>-3.2720000000000041E-3</v>
      </c>
      <c r="G211" s="6">
        <f t="shared" si="23"/>
        <v>162.0558604112644</v>
      </c>
      <c r="H211" s="7">
        <f t="shared" si="24"/>
        <v>9.0511832415605129E-14</v>
      </c>
      <c r="I211" s="8" t="str">
        <f t="shared" si="25"/>
        <v/>
      </c>
    </row>
    <row r="212" spans="1:9" x14ac:dyDescent="0.2">
      <c r="A212" s="5">
        <v>1180</v>
      </c>
      <c r="B212" s="6">
        <v>0.22408800000000001</v>
      </c>
      <c r="C212" s="6">
        <f t="shared" si="21"/>
        <v>0.19008800000000001</v>
      </c>
      <c r="D212" s="6">
        <f t="shared" si="22"/>
        <v>224.30384000000001</v>
      </c>
      <c r="E212" s="6">
        <f t="shared" si="26"/>
        <v>-28.188470000000009</v>
      </c>
      <c r="F212" s="6">
        <f t="shared" si="27"/>
        <v>-3.1315000000000023E-3</v>
      </c>
      <c r="G212" s="6">
        <f t="shared" si="23"/>
        <v>166.16177453758928</v>
      </c>
      <c r="H212" s="7">
        <f t="shared" si="24"/>
        <v>9.696893300390693E-14</v>
      </c>
      <c r="I212" s="8" t="str">
        <f t="shared" si="25"/>
        <v/>
      </c>
    </row>
    <row r="213" spans="1:9" x14ac:dyDescent="0.2">
      <c r="A213" s="5">
        <v>1178</v>
      </c>
      <c r="B213" s="6">
        <v>0.230965</v>
      </c>
      <c r="C213" s="6">
        <f t="shared" si="21"/>
        <v>0.196965</v>
      </c>
      <c r="D213" s="6">
        <f t="shared" si="22"/>
        <v>232.02476999999999</v>
      </c>
      <c r="E213" s="6">
        <f t="shared" si="26"/>
        <v>-28.575523000000011</v>
      </c>
      <c r="F213" s="6">
        <f t="shared" si="27"/>
        <v>-3.5525000000000001E-3</v>
      </c>
      <c r="G213" s="6">
        <f t="shared" si="23"/>
        <v>171.14649308967569</v>
      </c>
      <c r="H213" s="7">
        <f t="shared" si="24"/>
        <v>8.8041580289843907E-14</v>
      </c>
      <c r="I213" s="8" t="str">
        <f t="shared" si="25"/>
        <v/>
      </c>
    </row>
    <row r="214" spans="1:9" x14ac:dyDescent="0.2">
      <c r="A214" s="5">
        <v>1176</v>
      </c>
      <c r="B214" s="6">
        <v>0.23829800000000001</v>
      </c>
      <c r="C214" s="6">
        <f t="shared" si="21"/>
        <v>0.20429800000000001</v>
      </c>
      <c r="D214" s="6">
        <f t="shared" si="22"/>
        <v>240.254448</v>
      </c>
      <c r="E214" s="6">
        <f t="shared" si="26"/>
        <v>-28.976786000000011</v>
      </c>
      <c r="F214" s="6">
        <f t="shared" si="27"/>
        <v>-3.3377500000000004E-3</v>
      </c>
      <c r="G214" s="6">
        <f t="shared" si="23"/>
        <v>176.4470722754325</v>
      </c>
      <c r="H214" s="7">
        <f t="shared" si="24"/>
        <v>9.6608327450466117E-14</v>
      </c>
      <c r="I214" s="8" t="str">
        <f t="shared" si="25"/>
        <v/>
      </c>
    </row>
    <row r="215" spans="1:9" x14ac:dyDescent="0.2">
      <c r="A215" s="5">
        <v>1174</v>
      </c>
      <c r="B215" s="6">
        <v>0.24431600000000001</v>
      </c>
      <c r="C215" s="6">
        <f t="shared" si="21"/>
        <v>0.210316</v>
      </c>
      <c r="D215" s="6">
        <f t="shared" si="22"/>
        <v>246.91098400000001</v>
      </c>
      <c r="E215" s="6">
        <f t="shared" si="26"/>
        <v>-29.391400000000012</v>
      </c>
      <c r="F215" s="6">
        <f t="shared" si="27"/>
        <v>-2.8817499999999954E-3</v>
      </c>
      <c r="G215" s="6">
        <f t="shared" si="23"/>
        <v>180.78508203295118</v>
      </c>
      <c r="H215" s="7">
        <f t="shared" si="24"/>
        <v>1.1464634141006817E-13</v>
      </c>
      <c r="I215" s="8" t="str">
        <f t="shared" si="25"/>
        <v/>
      </c>
    </row>
    <row r="216" spans="1:9" x14ac:dyDescent="0.2">
      <c r="A216" s="5">
        <v>1172</v>
      </c>
      <c r="B216" s="6">
        <v>0.24982499999999999</v>
      </c>
      <c r="C216" s="6">
        <f t="shared" si="21"/>
        <v>0.21582499999999999</v>
      </c>
      <c r="D216" s="6">
        <f t="shared" si="22"/>
        <v>252.9469</v>
      </c>
      <c r="E216" s="6">
        <f t="shared" si="26"/>
        <v>-29.817541000000013</v>
      </c>
      <c r="F216" s="6">
        <f t="shared" si="27"/>
        <v>-2.5524999999999923E-3</v>
      </c>
      <c r="G216" s="6">
        <f t="shared" si="23"/>
        <v>184.74516668402634</v>
      </c>
      <c r="H216" s="7">
        <f t="shared" si="24"/>
        <v>1.322699671546836E-13</v>
      </c>
      <c r="I216" s="8" t="str">
        <f t="shared" si="25"/>
        <v/>
      </c>
    </row>
    <row r="217" spans="1:9" x14ac:dyDescent="0.2">
      <c r="A217" s="5">
        <v>1170</v>
      </c>
      <c r="B217" s="6">
        <v>0.25452599999999997</v>
      </c>
      <c r="C217" s="6">
        <f t="shared" si="21"/>
        <v>0.22052599999999997</v>
      </c>
      <c r="D217" s="6">
        <f t="shared" si="22"/>
        <v>258.01541999999995</v>
      </c>
      <c r="E217" s="6">
        <f t="shared" si="26"/>
        <v>-30.253892000000011</v>
      </c>
      <c r="F217" s="6">
        <f t="shared" si="27"/>
        <v>-2.5262500000000007E-3</v>
      </c>
      <c r="G217" s="6">
        <f t="shared" si="23"/>
        <v>188.11502733508905</v>
      </c>
      <c r="H217" s="7">
        <f t="shared" si="24"/>
        <v>1.3608212260670055E-13</v>
      </c>
      <c r="I217" s="8" t="str">
        <f t="shared" si="25"/>
        <v/>
      </c>
    </row>
    <row r="218" spans="1:9" x14ac:dyDescent="0.2">
      <c r="A218" s="5">
        <v>1168</v>
      </c>
      <c r="B218" s="6">
        <v>0.25992999999999999</v>
      </c>
      <c r="C218" s="6">
        <f t="shared" si="21"/>
        <v>0.22592999999999999</v>
      </c>
      <c r="D218" s="6">
        <f t="shared" si="22"/>
        <v>263.88623999999999</v>
      </c>
      <c r="E218" s="6">
        <f t="shared" si="26"/>
        <v>-30.700348000000012</v>
      </c>
      <c r="F218" s="6">
        <f t="shared" si="27"/>
        <v>-2.9342500000000132E-3</v>
      </c>
      <c r="G218" s="6">
        <f t="shared" si="23"/>
        <v>191.97801787972699</v>
      </c>
      <c r="H218" s="7">
        <f t="shared" si="24"/>
        <v>1.1956616545251143E-13</v>
      </c>
      <c r="I218" s="8" t="str">
        <f t="shared" si="25"/>
        <v/>
      </c>
    </row>
    <row r="219" spans="1:9" x14ac:dyDescent="0.2">
      <c r="A219" s="5">
        <v>1166</v>
      </c>
      <c r="B219" s="6">
        <v>0.26626300000000003</v>
      </c>
      <c r="C219" s="6">
        <f t="shared" si="21"/>
        <v>0.23226300000000002</v>
      </c>
      <c r="D219" s="6">
        <f t="shared" si="22"/>
        <v>270.81865800000003</v>
      </c>
      <c r="E219" s="6">
        <f t="shared" si="26"/>
        <v>-31.158541000000014</v>
      </c>
      <c r="F219" s="6">
        <f t="shared" si="27"/>
        <v>-2.8640000000000054E-3</v>
      </c>
      <c r="G219" s="6">
        <f t="shared" si="23"/>
        <v>196.49242795655749</v>
      </c>
      <c r="H219" s="7">
        <f t="shared" si="24"/>
        <v>1.2537955286113581E-13</v>
      </c>
      <c r="I219" s="8" t="str">
        <f t="shared" si="25"/>
        <v/>
      </c>
    </row>
    <row r="220" spans="1:9" x14ac:dyDescent="0.2">
      <c r="A220" s="5">
        <v>1164</v>
      </c>
      <c r="B220" s="6">
        <v>0.27138600000000002</v>
      </c>
      <c r="C220" s="6">
        <f t="shared" si="21"/>
        <v>0.23738600000000001</v>
      </c>
      <c r="D220" s="6">
        <f t="shared" si="22"/>
        <v>276.31730400000004</v>
      </c>
      <c r="E220" s="6">
        <f t="shared" si="26"/>
        <v>-31.628190000000014</v>
      </c>
      <c r="F220" s="6">
        <f t="shared" si="27"/>
        <v>-2.7149999999999952E-3</v>
      </c>
      <c r="G220" s="6">
        <f t="shared" si="23"/>
        <v>200.13405671158711</v>
      </c>
      <c r="H220" s="7">
        <f t="shared" si="24"/>
        <v>1.3471162530531287E-13</v>
      </c>
      <c r="I220" s="8" t="str">
        <f t="shared" si="25"/>
        <v/>
      </c>
    </row>
    <row r="221" spans="1:9" x14ac:dyDescent="0.2">
      <c r="A221" s="5">
        <v>1162</v>
      </c>
      <c r="B221" s="6">
        <v>0.27712300000000001</v>
      </c>
      <c r="C221" s="6">
        <f t="shared" si="21"/>
        <v>0.24312300000000001</v>
      </c>
      <c r="D221" s="6">
        <f t="shared" si="22"/>
        <v>282.50892600000003</v>
      </c>
      <c r="E221" s="6">
        <f t="shared" si="26"/>
        <v>-32.108699000000016</v>
      </c>
      <c r="F221" s="6">
        <f t="shared" si="27"/>
        <v>-2.9604999999999909E-3</v>
      </c>
      <c r="G221" s="6">
        <f t="shared" si="23"/>
        <v>204.20066667949749</v>
      </c>
      <c r="H221" s="7">
        <f t="shared" si="24"/>
        <v>1.2605091469917888E-13</v>
      </c>
      <c r="I221" s="8" t="str">
        <f t="shared" si="25"/>
        <v/>
      </c>
    </row>
    <row r="222" spans="1:9" x14ac:dyDescent="0.2">
      <c r="A222" s="5">
        <v>1160</v>
      </c>
      <c r="B222" s="6">
        <v>0.28322799999999998</v>
      </c>
      <c r="C222" s="6">
        <f t="shared" si="21"/>
        <v>0.24922799999999998</v>
      </c>
      <c r="D222" s="6">
        <f t="shared" si="22"/>
        <v>289.10447999999997</v>
      </c>
      <c r="E222" s="6">
        <f t="shared" si="26"/>
        <v>-32.601050000000015</v>
      </c>
      <c r="F222" s="6">
        <f t="shared" si="27"/>
        <v>-3.4122499999999917E-3</v>
      </c>
      <c r="G222" s="6">
        <f t="shared" si="23"/>
        <v>208.51591943949273</v>
      </c>
      <c r="H222" s="7">
        <f t="shared" si="24"/>
        <v>1.116740550362135E-13</v>
      </c>
      <c r="I222" s="8" t="str">
        <f t="shared" si="25"/>
        <v/>
      </c>
    </row>
    <row r="223" spans="1:9" x14ac:dyDescent="0.2">
      <c r="A223" s="5">
        <v>1158</v>
      </c>
      <c r="B223" s="6">
        <v>0.29077199999999997</v>
      </c>
      <c r="C223" s="6">
        <f t="shared" si="21"/>
        <v>0.256772</v>
      </c>
      <c r="D223" s="6">
        <f t="shared" si="22"/>
        <v>297.34197599999999</v>
      </c>
      <c r="E223" s="6">
        <f t="shared" si="26"/>
        <v>-33.107050000000015</v>
      </c>
      <c r="F223" s="6">
        <f t="shared" si="27"/>
        <v>-3.3420000000000116E-3</v>
      </c>
      <c r="G223" s="6">
        <f t="shared" si="23"/>
        <v>213.83322567723303</v>
      </c>
      <c r="H223" s="7">
        <f t="shared" si="24"/>
        <v>1.1692911242022511E-13</v>
      </c>
      <c r="I223" s="8" t="str">
        <f t="shared" si="25"/>
        <v/>
      </c>
    </row>
    <row r="224" spans="1:9" x14ac:dyDescent="0.2">
      <c r="A224" s="5">
        <v>1156</v>
      </c>
      <c r="B224" s="6">
        <v>0.29659600000000003</v>
      </c>
      <c r="C224" s="6">
        <f t="shared" si="21"/>
        <v>0.26259600000000005</v>
      </c>
      <c r="D224" s="6">
        <f t="shared" si="22"/>
        <v>303.56097600000004</v>
      </c>
      <c r="E224" s="6">
        <f t="shared" si="26"/>
        <v>-33.626418000000015</v>
      </c>
      <c r="F224" s="6">
        <f t="shared" si="27"/>
        <v>-2.5525000000000131E-3</v>
      </c>
      <c r="G224" s="6">
        <f t="shared" si="23"/>
        <v>217.92656064762002</v>
      </c>
      <c r="H224" s="7">
        <f t="shared" si="24"/>
        <v>1.560264852194693E-13</v>
      </c>
      <c r="I224" s="8" t="str">
        <f t="shared" si="25"/>
        <v/>
      </c>
    </row>
    <row r="225" spans="1:9" x14ac:dyDescent="0.2">
      <c r="A225" s="5">
        <v>1154</v>
      </c>
      <c r="B225" s="6">
        <v>0.30098200000000003</v>
      </c>
      <c r="C225" s="6">
        <f t="shared" si="21"/>
        <v>0.26698200000000005</v>
      </c>
      <c r="D225" s="6">
        <f t="shared" si="22"/>
        <v>308.09722800000009</v>
      </c>
      <c r="E225" s="6">
        <f t="shared" si="26"/>
        <v>-34.155996000000016</v>
      </c>
      <c r="F225" s="6">
        <f t="shared" si="27"/>
        <v>-2.4474999999999913E-3</v>
      </c>
      <c r="G225" s="6">
        <f t="shared" si="23"/>
        <v>221.00044097937095</v>
      </c>
      <c r="H225" s="7">
        <f t="shared" si="24"/>
        <v>1.6501535235513904E-13</v>
      </c>
      <c r="I225" s="8" t="str">
        <f t="shared" si="25"/>
        <v/>
      </c>
    </row>
    <row r="226" spans="1:9" x14ac:dyDescent="0.2">
      <c r="A226" s="5">
        <v>1152</v>
      </c>
      <c r="B226" s="6">
        <v>0.30638599999999999</v>
      </c>
      <c r="C226" s="6">
        <f t="shared" si="21"/>
        <v>0.27238600000000002</v>
      </c>
      <c r="D226" s="6">
        <f t="shared" si="22"/>
        <v>313.78867200000002</v>
      </c>
      <c r="E226" s="6">
        <f t="shared" si="26"/>
        <v>-34.695364000000019</v>
      </c>
      <c r="F226" s="6">
        <f t="shared" si="27"/>
        <v>-2.9474999999999918E-3</v>
      </c>
      <c r="G226" s="6">
        <f t="shared" si="23"/>
        <v>224.77696752400885</v>
      </c>
      <c r="H226" s="7">
        <f t="shared" si="24"/>
        <v>1.3936441796001757E-13</v>
      </c>
      <c r="I226" s="8" t="str">
        <f t="shared" si="25"/>
        <v/>
      </c>
    </row>
    <row r="227" spans="1:9" x14ac:dyDescent="0.2">
      <c r="A227" s="5">
        <v>1150</v>
      </c>
      <c r="B227" s="6">
        <v>0.31277199999999999</v>
      </c>
      <c r="C227" s="6">
        <f t="shared" si="21"/>
        <v>0.27877200000000002</v>
      </c>
      <c r="D227" s="6">
        <f t="shared" si="22"/>
        <v>320.58780000000002</v>
      </c>
      <c r="E227" s="6">
        <f t="shared" si="26"/>
        <v>-35.24652200000002</v>
      </c>
      <c r="F227" s="6">
        <f t="shared" si="27"/>
        <v>-2.6535000000000031E-3</v>
      </c>
      <c r="G227" s="6">
        <f t="shared" si="23"/>
        <v>229.22698207361245</v>
      </c>
      <c r="H227" s="7">
        <f t="shared" si="24"/>
        <v>1.5787034425018223E-13</v>
      </c>
      <c r="I227" s="8" t="str">
        <f t="shared" si="25"/>
        <v/>
      </c>
    </row>
    <row r="228" spans="1:9" x14ac:dyDescent="0.2">
      <c r="A228" s="5">
        <v>1148</v>
      </c>
      <c r="B228" s="6">
        <v>0.317</v>
      </c>
      <c r="C228" s="6">
        <f t="shared" si="21"/>
        <v>0.28300000000000003</v>
      </c>
      <c r="D228" s="6">
        <f t="shared" si="22"/>
        <v>324.88400000000001</v>
      </c>
      <c r="E228" s="6">
        <f t="shared" si="26"/>
        <v>-35.808294000000018</v>
      </c>
      <c r="F228" s="6">
        <f t="shared" si="27"/>
        <v>-2.1622500000000044E-3</v>
      </c>
      <c r="G228" s="6">
        <f t="shared" si="23"/>
        <v>232.16476182615298</v>
      </c>
      <c r="H228" s="7">
        <f t="shared" si="24"/>
        <v>1.9622046850069584E-13</v>
      </c>
      <c r="I228" s="8" t="str">
        <f t="shared" si="25"/>
        <v/>
      </c>
    </row>
    <row r="229" spans="1:9" x14ac:dyDescent="0.2">
      <c r="A229" s="5">
        <v>1146</v>
      </c>
      <c r="B229" s="6">
        <v>0.32142100000000001</v>
      </c>
      <c r="C229" s="6">
        <f t="shared" si="21"/>
        <v>0.28742100000000004</v>
      </c>
      <c r="D229" s="6">
        <f t="shared" si="22"/>
        <v>329.38446600000003</v>
      </c>
      <c r="E229" s="6">
        <f t="shared" si="26"/>
        <v>-36.378715000000021</v>
      </c>
      <c r="F229" s="6">
        <f t="shared" si="27"/>
        <v>-3.3860000000000001E-3</v>
      </c>
      <c r="G229" s="6">
        <f t="shared" si="23"/>
        <v>235.22780352671631</v>
      </c>
      <c r="H229" s="7">
        <f t="shared" si="24"/>
        <v>1.2695669578916079E-13</v>
      </c>
      <c r="I229" s="8" t="str">
        <f t="shared" si="25"/>
        <v/>
      </c>
    </row>
    <row r="230" spans="1:9" x14ac:dyDescent="0.2">
      <c r="A230" s="5">
        <v>1144</v>
      </c>
      <c r="B230" s="6">
        <v>0.330544</v>
      </c>
      <c r="C230" s="6">
        <f t="shared" si="21"/>
        <v>0.29654400000000003</v>
      </c>
      <c r="D230" s="6">
        <f t="shared" si="22"/>
        <v>339.24633600000004</v>
      </c>
      <c r="E230" s="6">
        <f t="shared" si="26"/>
        <v>-36.96268000000002</v>
      </c>
      <c r="F230" s="6">
        <f t="shared" si="27"/>
        <v>-3.8597499999999951E-3</v>
      </c>
      <c r="G230" s="6">
        <f t="shared" si="23"/>
        <v>241.53032871745125</v>
      </c>
      <c r="H230" s="7">
        <f t="shared" si="24"/>
        <v>1.1435796219599352E-13</v>
      </c>
      <c r="I230" s="8" t="str">
        <f t="shared" si="25"/>
        <v/>
      </c>
    </row>
    <row r="231" spans="1:9" x14ac:dyDescent="0.2">
      <c r="A231" s="5">
        <v>1142</v>
      </c>
      <c r="B231" s="6">
        <v>0.33685999999999999</v>
      </c>
      <c r="C231" s="6">
        <f t="shared" si="21"/>
        <v>0.30286000000000002</v>
      </c>
      <c r="D231" s="6">
        <f t="shared" si="22"/>
        <v>345.86612000000002</v>
      </c>
      <c r="E231" s="6">
        <f t="shared" si="26"/>
        <v>-37.56208400000002</v>
      </c>
      <c r="F231" s="6">
        <f t="shared" si="27"/>
        <v>-3.7719999999999976E-3</v>
      </c>
      <c r="G231" s="6">
        <f t="shared" si="23"/>
        <v>245.88103652942999</v>
      </c>
      <c r="H231" s="7">
        <f t="shared" si="24"/>
        <v>1.1912619286997284E-13</v>
      </c>
      <c r="I231" s="8" t="str">
        <f t="shared" si="25"/>
        <v/>
      </c>
    </row>
    <row r="232" spans="1:9" x14ac:dyDescent="0.2">
      <c r="A232" s="5">
        <v>1140</v>
      </c>
      <c r="B232" s="6">
        <v>0.34563199999999999</v>
      </c>
      <c r="C232" s="6">
        <f t="shared" si="21"/>
        <v>0.31163200000000002</v>
      </c>
      <c r="D232" s="6">
        <f t="shared" si="22"/>
        <v>355.26048000000003</v>
      </c>
      <c r="E232" s="6">
        <f t="shared" si="26"/>
        <v>-38.176576000000018</v>
      </c>
      <c r="F232" s="6">
        <f t="shared" si="27"/>
        <v>-3.9472499999999994E-3</v>
      </c>
      <c r="G232" s="6">
        <f t="shared" si="23"/>
        <v>251.9059891929318</v>
      </c>
      <c r="H232" s="7">
        <f t="shared" si="24"/>
        <v>1.166266419441342E-13</v>
      </c>
      <c r="I232" s="8" t="str">
        <f t="shared" si="25"/>
        <v/>
      </c>
    </row>
    <row r="233" spans="1:9" x14ac:dyDescent="0.2">
      <c r="A233" s="5">
        <v>1138</v>
      </c>
      <c r="B233" s="6">
        <v>0.35264899999999999</v>
      </c>
      <c r="C233" s="6">
        <f t="shared" si="21"/>
        <v>0.31864899999999996</v>
      </c>
      <c r="D233" s="6">
        <f t="shared" si="22"/>
        <v>362.62256199999996</v>
      </c>
      <c r="E233" s="6">
        <f t="shared" si="26"/>
        <v>-38.806857000000015</v>
      </c>
      <c r="F233" s="6">
        <f t="shared" si="27"/>
        <v>-3.5700000000000037E-3</v>
      </c>
      <c r="G233" s="6">
        <f t="shared" si="23"/>
        <v>256.7115052202679</v>
      </c>
      <c r="H233" s="7">
        <f t="shared" si="24"/>
        <v>1.3141079067166878E-13</v>
      </c>
      <c r="I233" s="8" t="str">
        <f t="shared" si="25"/>
        <v/>
      </c>
    </row>
    <row r="234" spans="1:9" x14ac:dyDescent="0.2">
      <c r="A234" s="5">
        <v>1136</v>
      </c>
      <c r="B234" s="6">
        <v>0.35991200000000001</v>
      </c>
      <c r="C234" s="6">
        <f t="shared" si="21"/>
        <v>0.32591199999999998</v>
      </c>
      <c r="D234" s="6">
        <f t="shared" si="22"/>
        <v>370.23603199999997</v>
      </c>
      <c r="E234" s="6">
        <f t="shared" si="26"/>
        <v>-39.451418000000018</v>
      </c>
      <c r="F234" s="6">
        <f t="shared" si="27"/>
        <v>-2.4210000000000065E-3</v>
      </c>
      <c r="G234" s="6">
        <f t="shared" si="23"/>
        <v>261.67096566839984</v>
      </c>
      <c r="H234" s="7">
        <f t="shared" si="24"/>
        <v>1.97521629145017E-13</v>
      </c>
      <c r="I234" s="8" t="str">
        <f t="shared" si="25"/>
        <v/>
      </c>
    </row>
    <row r="235" spans="1:9" x14ac:dyDescent="0.2">
      <c r="A235" s="5">
        <v>1134</v>
      </c>
      <c r="B235" s="6">
        <v>0.36233300000000002</v>
      </c>
      <c r="C235" s="6">
        <f t="shared" si="21"/>
        <v>0.32833299999999999</v>
      </c>
      <c r="D235" s="6">
        <f t="shared" si="22"/>
        <v>372.32962199999997</v>
      </c>
      <c r="E235" s="6">
        <f t="shared" si="26"/>
        <v>-40.105663000000021</v>
      </c>
      <c r="F235" s="6">
        <f t="shared" si="27"/>
        <v>-1.7765000000000003E-3</v>
      </c>
      <c r="G235" s="6">
        <f t="shared" si="23"/>
        <v>263.31927715111055</v>
      </c>
      <c r="H235" s="7">
        <f t="shared" si="24"/>
        <v>2.7087651522466656E-13</v>
      </c>
      <c r="I235" s="8" t="str">
        <f t="shared" si="25"/>
        <v/>
      </c>
    </row>
    <row r="236" spans="1:9" x14ac:dyDescent="0.2">
      <c r="A236" s="5">
        <v>1132</v>
      </c>
      <c r="B236" s="6">
        <v>0.36701800000000001</v>
      </c>
      <c r="C236" s="6">
        <f t="shared" si="21"/>
        <v>0.33301800000000004</v>
      </c>
      <c r="D236" s="6">
        <f t="shared" si="22"/>
        <v>376.97637600000002</v>
      </c>
      <c r="E236" s="6">
        <f t="shared" si="26"/>
        <v>-40.767014000000025</v>
      </c>
      <c r="F236" s="6">
        <f t="shared" si="27"/>
        <v>-3.1272499999999981E-3</v>
      </c>
      <c r="G236" s="6">
        <f t="shared" si="23"/>
        <v>266.49963837643043</v>
      </c>
      <c r="H236" s="7">
        <f t="shared" si="24"/>
        <v>1.5573561209989075E-13</v>
      </c>
      <c r="I236" s="8" t="str">
        <f t="shared" si="25"/>
        <v/>
      </c>
    </row>
    <row r="237" spans="1:9" x14ac:dyDescent="0.2">
      <c r="A237" s="5">
        <v>1130</v>
      </c>
      <c r="B237" s="6">
        <v>0.37484200000000001</v>
      </c>
      <c r="C237" s="6">
        <f t="shared" si="21"/>
        <v>0.34084199999999998</v>
      </c>
      <c r="D237" s="6">
        <f t="shared" si="22"/>
        <v>385.15145999999999</v>
      </c>
      <c r="E237" s="6">
        <f t="shared" si="26"/>
        <v>-41.440874000000022</v>
      </c>
      <c r="F237" s="6">
        <f t="shared" si="27"/>
        <v>-2.6227499999999931E-3</v>
      </c>
      <c r="G237" s="6">
        <f t="shared" si="23"/>
        <v>271.79522756467003</v>
      </c>
      <c r="H237" s="7">
        <f t="shared" si="24"/>
        <v>1.8938206262891916E-13</v>
      </c>
      <c r="I237" s="8" t="str">
        <f t="shared" si="25"/>
        <v/>
      </c>
    </row>
    <row r="238" spans="1:9" x14ac:dyDescent="0.2">
      <c r="A238" s="5">
        <v>1128</v>
      </c>
      <c r="B238" s="6">
        <v>0.37750899999999998</v>
      </c>
      <c r="C238" s="6">
        <f t="shared" si="21"/>
        <v>0.34350899999999995</v>
      </c>
      <c r="D238" s="6">
        <f t="shared" si="22"/>
        <v>387.47815199999997</v>
      </c>
      <c r="E238" s="6">
        <f t="shared" si="26"/>
        <v>-42.125225000000022</v>
      </c>
      <c r="F238" s="6">
        <f t="shared" si="27"/>
        <v>-2.6842499999999991E-3</v>
      </c>
      <c r="G238" s="6">
        <f t="shared" si="23"/>
        <v>273.59502346817658</v>
      </c>
      <c r="H238" s="7">
        <f t="shared" si="24"/>
        <v>1.8626838240135948E-13</v>
      </c>
      <c r="I238" s="8" t="str">
        <f t="shared" si="25"/>
        <v/>
      </c>
    </row>
    <row r="239" spans="1:9" x14ac:dyDescent="0.2">
      <c r="A239" s="5">
        <v>1126</v>
      </c>
      <c r="B239" s="6">
        <v>0.38557900000000001</v>
      </c>
      <c r="C239" s="6">
        <f t="shared" si="21"/>
        <v>0.35157899999999997</v>
      </c>
      <c r="D239" s="6">
        <f t="shared" si="22"/>
        <v>395.87795399999999</v>
      </c>
      <c r="E239" s="6">
        <f t="shared" si="26"/>
        <v>-42.82031300000002</v>
      </c>
      <c r="F239" s="6">
        <f t="shared" si="27"/>
        <v>-3.3332500000000098E-3</v>
      </c>
      <c r="G239" s="6">
        <f t="shared" si="23"/>
        <v>279.02483507721212</v>
      </c>
      <c r="H239" s="7">
        <f t="shared" si="24"/>
        <v>1.5297796648710696E-13</v>
      </c>
      <c r="I239" s="8" t="str">
        <f t="shared" si="25"/>
        <v/>
      </c>
    </row>
    <row r="240" spans="1:9" x14ac:dyDescent="0.2">
      <c r="A240" s="5">
        <v>1124</v>
      </c>
      <c r="B240" s="6">
        <v>0.39084200000000002</v>
      </c>
      <c r="C240" s="6">
        <f t="shared" si="21"/>
        <v>0.35684199999999999</v>
      </c>
      <c r="D240" s="6">
        <f t="shared" si="22"/>
        <v>401.09040799999997</v>
      </c>
      <c r="E240" s="6">
        <f t="shared" si="26"/>
        <v>-43.528734000000021</v>
      </c>
      <c r="F240" s="6">
        <f t="shared" si="27"/>
        <v>-3.3332499999999959E-3</v>
      </c>
      <c r="G240" s="6">
        <f t="shared" si="23"/>
        <v>282.55546130749144</v>
      </c>
      <c r="H240" s="7">
        <f t="shared" si="24"/>
        <v>1.5491366522512392E-13</v>
      </c>
      <c r="I240" s="8" t="str">
        <f t="shared" si="25"/>
        <v/>
      </c>
    </row>
    <row r="241" spans="1:9" x14ac:dyDescent="0.2">
      <c r="A241" s="5">
        <v>1122</v>
      </c>
      <c r="B241" s="6">
        <v>0.39891199999999999</v>
      </c>
      <c r="C241" s="6">
        <f t="shared" si="21"/>
        <v>0.36491200000000001</v>
      </c>
      <c r="D241" s="6">
        <f t="shared" si="22"/>
        <v>409.431264</v>
      </c>
      <c r="E241" s="6">
        <f t="shared" si="26"/>
        <v>-44.250488000000018</v>
      </c>
      <c r="F241" s="6">
        <f t="shared" si="27"/>
        <v>-4.0349999999999969E-3</v>
      </c>
      <c r="G241" s="6">
        <f t="shared" si="23"/>
        <v>287.95299291652697</v>
      </c>
      <c r="H241" s="7">
        <f t="shared" si="24"/>
        <v>1.3041632830628888E-13</v>
      </c>
      <c r="I241" s="8" t="str">
        <f t="shared" si="25"/>
        <v/>
      </c>
    </row>
    <row r="242" spans="1:9" x14ac:dyDescent="0.2">
      <c r="A242" s="5">
        <v>1120</v>
      </c>
      <c r="B242" s="6">
        <v>0.40698200000000001</v>
      </c>
      <c r="C242" s="6">
        <f t="shared" si="21"/>
        <v>0.37298200000000004</v>
      </c>
      <c r="D242" s="6">
        <f t="shared" si="22"/>
        <v>417.73984000000002</v>
      </c>
      <c r="E242" s="6">
        <f t="shared" si="26"/>
        <v>-44.988382000000016</v>
      </c>
      <c r="F242" s="6">
        <f t="shared" si="27"/>
        <v>-3.8422500000000054E-3</v>
      </c>
      <c r="G242" s="6">
        <f t="shared" si="23"/>
        <v>293.33438452556248</v>
      </c>
      <c r="H242" s="7">
        <f t="shared" si="24"/>
        <v>1.3951832889740935E-13</v>
      </c>
      <c r="I242" s="8" t="str">
        <f t="shared" si="25"/>
        <v/>
      </c>
    </row>
    <row r="243" spans="1:9" x14ac:dyDescent="0.2">
      <c r="A243" s="5">
        <v>1118</v>
      </c>
      <c r="B243" s="6">
        <v>0.41428100000000001</v>
      </c>
      <c r="C243" s="6">
        <f t="shared" si="21"/>
        <v>0.38028099999999998</v>
      </c>
      <c r="D243" s="6">
        <f t="shared" si="22"/>
        <v>425.154158</v>
      </c>
      <c r="E243" s="6">
        <f t="shared" si="26"/>
        <v>-45.741645000000013</v>
      </c>
      <c r="F243" s="6">
        <f t="shared" si="27"/>
        <v>-3.1404999999999905E-3</v>
      </c>
      <c r="G243" s="6">
        <f t="shared" si="23"/>
        <v>298.18704518161582</v>
      </c>
      <c r="H243" s="7">
        <f t="shared" si="24"/>
        <v>1.735177409997388E-13</v>
      </c>
      <c r="I243" s="8" t="str">
        <f t="shared" si="25"/>
        <v/>
      </c>
    </row>
    <row r="244" spans="1:9" x14ac:dyDescent="0.2">
      <c r="A244" s="5">
        <v>1116</v>
      </c>
      <c r="B244" s="6">
        <v>0.41954399999999997</v>
      </c>
      <c r="C244" s="6">
        <f t="shared" si="21"/>
        <v>0.385544</v>
      </c>
      <c r="D244" s="6">
        <f t="shared" si="22"/>
        <v>430.26710400000002</v>
      </c>
      <c r="E244" s="6">
        <f t="shared" si="26"/>
        <v>-46.507470000000012</v>
      </c>
      <c r="F244" s="6">
        <f t="shared" si="27"/>
        <v>-2.5524999999999992E-3</v>
      </c>
      <c r="G244" s="6">
        <f t="shared" si="23"/>
        <v>301.67556741189509</v>
      </c>
      <c r="H244" s="7">
        <f t="shared" si="24"/>
        <v>2.1598734142359512E-13</v>
      </c>
      <c r="I244" s="8" t="str">
        <f t="shared" si="25"/>
        <v/>
      </c>
    </row>
    <row r="245" spans="1:9" x14ac:dyDescent="0.2">
      <c r="A245" s="5">
        <v>1114</v>
      </c>
      <c r="B245" s="6">
        <v>0.42449100000000001</v>
      </c>
      <c r="C245" s="6">
        <f t="shared" si="21"/>
        <v>0.39049100000000003</v>
      </c>
      <c r="D245" s="6">
        <f t="shared" si="22"/>
        <v>435.00697400000001</v>
      </c>
      <c r="E245" s="6">
        <f t="shared" si="26"/>
        <v>-47.283505000000012</v>
      </c>
      <c r="F245" s="6">
        <f t="shared" si="27"/>
        <v>-3.1185000000000102E-3</v>
      </c>
      <c r="G245" s="6">
        <f t="shared" si="23"/>
        <v>304.94473848375367</v>
      </c>
      <c r="H245" s="7">
        <f t="shared" si="24"/>
        <v>1.7870195649275207E-13</v>
      </c>
      <c r="I245" s="8" t="str">
        <f t="shared" si="25"/>
        <v/>
      </c>
    </row>
    <row r="246" spans="1:9" x14ac:dyDescent="0.2">
      <c r="A246" s="5">
        <v>1112</v>
      </c>
      <c r="B246" s="6">
        <v>0.43201800000000001</v>
      </c>
      <c r="C246" s="6">
        <f t="shared" si="21"/>
        <v>0.39801799999999998</v>
      </c>
      <c r="D246" s="6">
        <f t="shared" si="22"/>
        <v>442.59601599999996</v>
      </c>
      <c r="E246" s="6">
        <f t="shared" si="26"/>
        <v>-48.07201400000001</v>
      </c>
      <c r="F246" s="6">
        <f t="shared" si="27"/>
        <v>-4.1009999999999935E-3</v>
      </c>
      <c r="G246" s="6">
        <f t="shared" si="23"/>
        <v>309.90382045664222</v>
      </c>
      <c r="H246" s="7">
        <f t="shared" si="24"/>
        <v>1.3809917120870654E-13</v>
      </c>
      <c r="I246" s="8" t="str">
        <f t="shared" si="25"/>
        <v/>
      </c>
    </row>
    <row r="247" spans="1:9" x14ac:dyDescent="0.2">
      <c r="A247" s="5">
        <v>1110</v>
      </c>
      <c r="B247" s="6">
        <v>0.44089499999999998</v>
      </c>
      <c r="C247" s="6">
        <f t="shared" si="21"/>
        <v>0.40689500000000001</v>
      </c>
      <c r="D247" s="6">
        <f t="shared" si="22"/>
        <v>451.65345000000002</v>
      </c>
      <c r="E247" s="6">
        <f t="shared" si="26"/>
        <v>-48.876927000000009</v>
      </c>
      <c r="F247" s="6">
        <f t="shared" si="27"/>
        <v>-3.6182500000000034E-3</v>
      </c>
      <c r="G247" s="6">
        <f t="shared" si="23"/>
        <v>315.73458122658133</v>
      </c>
      <c r="H247" s="7">
        <f t="shared" si="24"/>
        <v>1.594694482661307E-13</v>
      </c>
      <c r="I247" s="8" t="str">
        <f t="shared" si="25"/>
        <v/>
      </c>
    </row>
    <row r="248" spans="1:9" x14ac:dyDescent="0.2">
      <c r="A248" s="5">
        <v>1108</v>
      </c>
      <c r="B248" s="6">
        <v>0.44649100000000003</v>
      </c>
      <c r="C248" s="6">
        <f t="shared" si="21"/>
        <v>0.41249100000000005</v>
      </c>
      <c r="D248" s="6">
        <f t="shared" si="22"/>
        <v>457.04002800000006</v>
      </c>
      <c r="E248" s="6">
        <f t="shared" si="26"/>
        <v>-49.696313000000011</v>
      </c>
      <c r="F248" s="6">
        <f t="shared" si="27"/>
        <v>-2.6930000000000009E-3</v>
      </c>
      <c r="G248" s="6">
        <f t="shared" si="23"/>
        <v>319.39906088013311</v>
      </c>
      <c r="H248" s="7">
        <f t="shared" si="24"/>
        <v>2.1674605056870763E-13</v>
      </c>
      <c r="I248" s="8" t="str">
        <f t="shared" si="25"/>
        <v/>
      </c>
    </row>
    <row r="249" spans="1:9" x14ac:dyDescent="0.2">
      <c r="A249" s="5">
        <v>1106</v>
      </c>
      <c r="B249" s="6">
        <v>0.45166699999999999</v>
      </c>
      <c r="C249" s="6">
        <f t="shared" si="21"/>
        <v>0.41766700000000001</v>
      </c>
      <c r="D249" s="6">
        <f t="shared" si="22"/>
        <v>461.93970200000001</v>
      </c>
      <c r="E249" s="6">
        <f t="shared" si="26"/>
        <v>-50.526471000000008</v>
      </c>
      <c r="F249" s="6">
        <f t="shared" si="27"/>
        <v>-2.9167499999999957E-3</v>
      </c>
      <c r="G249" s="6">
        <f t="shared" si="23"/>
        <v>322.77815610793579</v>
      </c>
      <c r="H249" s="7">
        <f t="shared" si="24"/>
        <v>2.0223617427217382E-13</v>
      </c>
      <c r="I249" s="8" t="str">
        <f t="shared" si="25"/>
        <v/>
      </c>
    </row>
    <row r="250" spans="1:9" x14ac:dyDescent="0.2">
      <c r="A250" s="5">
        <v>1104</v>
      </c>
      <c r="B250" s="6">
        <v>0.45815800000000001</v>
      </c>
      <c r="C250" s="6">
        <f t="shared" si="21"/>
        <v>0.42415800000000004</v>
      </c>
      <c r="D250" s="6">
        <f t="shared" si="22"/>
        <v>468.27043200000003</v>
      </c>
      <c r="E250" s="6">
        <f t="shared" si="26"/>
        <v>-51.368296000000008</v>
      </c>
      <c r="F250" s="6">
        <f t="shared" si="27"/>
        <v>-3.179750000000009E-3</v>
      </c>
      <c r="G250" s="6">
        <f t="shared" si="23"/>
        <v>327.00275276397662</v>
      </c>
      <c r="H250" s="7">
        <f t="shared" si="24"/>
        <v>1.8793702333018824E-13</v>
      </c>
      <c r="I250" s="8" t="str">
        <f t="shared" si="25"/>
        <v/>
      </c>
    </row>
    <row r="251" spans="1:9" x14ac:dyDescent="0.2">
      <c r="A251" s="5">
        <v>1102</v>
      </c>
      <c r="B251" s="6">
        <v>0.46438600000000002</v>
      </c>
      <c r="C251" s="6">
        <f t="shared" si="21"/>
        <v>0.43038600000000005</v>
      </c>
      <c r="D251" s="6">
        <f t="shared" si="22"/>
        <v>474.28537200000005</v>
      </c>
      <c r="E251" s="6">
        <f t="shared" si="26"/>
        <v>-52.222840000000005</v>
      </c>
      <c r="F251" s="6">
        <f t="shared" si="27"/>
        <v>-3.1797499999999951E-3</v>
      </c>
      <c r="G251" s="6">
        <f t="shared" si="23"/>
        <v>331.04372273436985</v>
      </c>
      <c r="H251" s="7">
        <f t="shared" si="24"/>
        <v>1.9025947432236938E-13</v>
      </c>
      <c r="I251" s="8" t="str">
        <f t="shared" si="25"/>
        <v/>
      </c>
    </row>
    <row r="252" spans="1:9" x14ac:dyDescent="0.2">
      <c r="A252" s="5">
        <v>1100</v>
      </c>
      <c r="B252" s="6">
        <v>0.47087699999999999</v>
      </c>
      <c r="C252" s="6">
        <f t="shared" si="21"/>
        <v>0.43687699999999996</v>
      </c>
      <c r="D252" s="6">
        <f t="shared" si="22"/>
        <v>480.56469999999996</v>
      </c>
      <c r="E252" s="6">
        <f t="shared" si="26"/>
        <v>-53.090103000000006</v>
      </c>
      <c r="F252" s="6">
        <f t="shared" si="27"/>
        <v>-3.456249999999994E-3</v>
      </c>
      <c r="G252" s="6">
        <f t="shared" si="23"/>
        <v>335.24235539041064</v>
      </c>
      <c r="H252" s="7">
        <f t="shared" si="24"/>
        <v>1.7725873512389158E-13</v>
      </c>
      <c r="I252" s="8" t="str">
        <f t="shared" si="25"/>
        <v/>
      </c>
    </row>
    <row r="253" spans="1:9" x14ac:dyDescent="0.2">
      <c r="A253" s="5">
        <v>1098</v>
      </c>
      <c r="B253" s="6">
        <v>0.478211</v>
      </c>
      <c r="C253" s="6">
        <f t="shared" si="21"/>
        <v>0.44421100000000002</v>
      </c>
      <c r="D253" s="6">
        <f t="shared" si="22"/>
        <v>487.74367800000005</v>
      </c>
      <c r="E253" s="6">
        <f t="shared" si="26"/>
        <v>-53.971191000000005</v>
      </c>
      <c r="F253" s="6">
        <f t="shared" si="27"/>
        <v>-3.1930000000000014E-3</v>
      </c>
      <c r="G253" s="6">
        <f t="shared" si="23"/>
        <v>339.97160541527649</v>
      </c>
      <c r="H253" s="7">
        <f t="shared" si="24"/>
        <v>1.9457974899821771E-13</v>
      </c>
      <c r="I253" s="8" t="str">
        <f t="shared" si="25"/>
        <v/>
      </c>
    </row>
    <row r="254" spans="1:9" x14ac:dyDescent="0.2">
      <c r="A254" s="5">
        <v>1096</v>
      </c>
      <c r="B254" s="6">
        <v>0.483649</v>
      </c>
      <c r="C254" s="6">
        <f t="shared" si="21"/>
        <v>0.44964899999999997</v>
      </c>
      <c r="D254" s="6">
        <f t="shared" si="22"/>
        <v>492.81530399999997</v>
      </c>
      <c r="E254" s="6">
        <f t="shared" si="26"/>
        <v>-54.865051000000001</v>
      </c>
      <c r="F254" s="6">
        <f t="shared" si="27"/>
        <v>-2.5482500000000019E-3</v>
      </c>
      <c r="G254" s="6">
        <f t="shared" si="23"/>
        <v>343.46736448961781</v>
      </c>
      <c r="H254" s="7">
        <f t="shared" si="24"/>
        <v>2.4631868425471555E-13</v>
      </c>
      <c r="I254" s="8" t="str">
        <f t="shared" si="25"/>
        <v/>
      </c>
    </row>
    <row r="255" spans="1:9" x14ac:dyDescent="0.2">
      <c r="A255" s="5">
        <v>1094</v>
      </c>
      <c r="B255" s="6">
        <v>0.488404</v>
      </c>
      <c r="C255" s="6">
        <f t="shared" si="21"/>
        <v>0.45440400000000003</v>
      </c>
      <c r="D255" s="6">
        <f t="shared" si="22"/>
        <v>497.11797600000006</v>
      </c>
      <c r="E255" s="6">
        <f t="shared" si="26"/>
        <v>-55.769103999999999</v>
      </c>
      <c r="F255" s="6">
        <f t="shared" si="27"/>
        <v>-2.7367499999999961E-3</v>
      </c>
      <c r="G255" s="6">
        <f t="shared" si="23"/>
        <v>346.51455445256261</v>
      </c>
      <c r="H255" s="7">
        <f t="shared" si="24"/>
        <v>2.3138769791168396E-13</v>
      </c>
      <c r="I255" s="8" t="str">
        <f t="shared" si="25"/>
        <v/>
      </c>
    </row>
    <row r="256" spans="1:9" x14ac:dyDescent="0.2">
      <c r="A256" s="5">
        <v>1092</v>
      </c>
      <c r="B256" s="6">
        <v>0.49459599999999998</v>
      </c>
      <c r="C256" s="6">
        <f t="shared" si="21"/>
        <v>0.46059600000000001</v>
      </c>
      <c r="D256" s="6">
        <f t="shared" si="22"/>
        <v>502.97083200000003</v>
      </c>
      <c r="E256" s="6">
        <f t="shared" si="26"/>
        <v>-56.684103999999998</v>
      </c>
      <c r="F256" s="6">
        <f t="shared" si="27"/>
        <v>-3.3069999999999905E-3</v>
      </c>
      <c r="G256" s="6">
        <f t="shared" si="23"/>
        <v>350.47024621503442</v>
      </c>
      <c r="H256" s="7">
        <f t="shared" si="24"/>
        <v>1.9367379834410893E-13</v>
      </c>
      <c r="I256" s="8" t="str">
        <f t="shared" si="25"/>
        <v/>
      </c>
    </row>
    <row r="257" spans="1:9" x14ac:dyDescent="0.2">
      <c r="A257" s="5">
        <v>1090</v>
      </c>
      <c r="B257" s="6">
        <v>0.50163199999999997</v>
      </c>
      <c r="C257" s="6">
        <f t="shared" si="21"/>
        <v>0.46763199999999994</v>
      </c>
      <c r="D257" s="6">
        <f t="shared" si="22"/>
        <v>509.71887999999996</v>
      </c>
      <c r="E257" s="6">
        <f t="shared" si="26"/>
        <v>-57.612331999999995</v>
      </c>
      <c r="F257" s="6">
        <f t="shared" si="27"/>
        <v>-2.0089999999999969E-3</v>
      </c>
      <c r="G257" s="6">
        <f t="shared" si="23"/>
        <v>354.95104618544008</v>
      </c>
      <c r="H257" s="7">
        <f t="shared" si="24"/>
        <v>3.2288095946297274E-13</v>
      </c>
      <c r="I257" s="8">
        <f t="shared" si="25"/>
        <v>3.2288095946297274E-13</v>
      </c>
    </row>
    <row r="258" spans="1:9" x14ac:dyDescent="0.2">
      <c r="A258" s="5">
        <v>1088</v>
      </c>
      <c r="B258" s="6">
        <v>0.50263199999999997</v>
      </c>
      <c r="C258" s="6">
        <f t="shared" ref="C258:C321" si="28">B258-$B$2</f>
        <v>0.46863199999999994</v>
      </c>
      <c r="D258" s="6">
        <f t="shared" ref="D258:D321" si="29">A258*C258</f>
        <v>509.8716159999999</v>
      </c>
      <c r="E258" s="6">
        <f t="shared" si="26"/>
        <v>-58.548595999999996</v>
      </c>
      <c r="F258" s="6">
        <f t="shared" si="27"/>
        <v>-2.1752500000000174E-3</v>
      </c>
      <c r="G258" s="6">
        <f t="shared" ref="G258:G321" si="30">(A258-$L$5)*C258-E258</f>
        <v>355.58588529436639</v>
      </c>
      <c r="H258" s="7">
        <f t="shared" ref="H258:H321" si="31">IF(ABS(F258)&lt;0.000000001,"",-(G258)/(2*$L$4*F258)*0.000000000001)</f>
        <v>2.9873715975239411E-13</v>
      </c>
      <c r="I258" s="8">
        <f t="shared" ref="I258:I321" si="32">IF(AND(B258&gt;=0.5,B258&lt;=2.5,ISNUMBER(H258),H258&gt;0),H258,"")</f>
        <v>2.9873715975239411E-13</v>
      </c>
    </row>
    <row r="259" spans="1:9" x14ac:dyDescent="0.2">
      <c r="A259" s="5">
        <v>1086</v>
      </c>
      <c r="B259" s="6">
        <v>0.51033300000000004</v>
      </c>
      <c r="C259" s="6">
        <f t="shared" si="28"/>
        <v>0.47633300000000001</v>
      </c>
      <c r="D259" s="6">
        <f t="shared" si="29"/>
        <v>517.29763800000001</v>
      </c>
      <c r="E259" s="6">
        <f t="shared" ref="E259:E322" si="33">E258+(C258+C259)/2*(A259-A258)</f>
        <v>-59.493561</v>
      </c>
      <c r="F259" s="6">
        <f t="shared" ref="F259:F322" si="34">(B260-B258)/(A260-A258)</f>
        <v>-2.8552500000000036E-3</v>
      </c>
      <c r="G259" s="6">
        <f t="shared" si="30"/>
        <v>360.45937927220814</v>
      </c>
      <c r="H259" s="7">
        <f t="shared" si="31"/>
        <v>2.30709831274317E-13</v>
      </c>
      <c r="I259" s="8">
        <f t="shared" si="32"/>
        <v>2.30709831274317E-13</v>
      </c>
    </row>
    <row r="260" spans="1:9" x14ac:dyDescent="0.2">
      <c r="A260" s="5">
        <v>1084</v>
      </c>
      <c r="B260" s="6">
        <v>0.51405299999999998</v>
      </c>
      <c r="C260" s="6">
        <f t="shared" si="28"/>
        <v>0.48005299999999995</v>
      </c>
      <c r="D260" s="6">
        <f t="shared" si="29"/>
        <v>520.37745199999995</v>
      </c>
      <c r="E260" s="6">
        <f t="shared" si="33"/>
        <v>-60.449947000000002</v>
      </c>
      <c r="F260" s="6">
        <f t="shared" si="34"/>
        <v>-1.0394999999999988E-3</v>
      </c>
      <c r="G260" s="6">
        <f t="shared" si="30"/>
        <v>362.80610075741413</v>
      </c>
      <c r="H260" s="7">
        <f t="shared" si="31"/>
        <v>6.3782861467187642E-13</v>
      </c>
      <c r="I260" s="8">
        <f t="shared" si="32"/>
        <v>6.3782861467187642E-13</v>
      </c>
    </row>
    <row r="261" spans="1:9" x14ac:dyDescent="0.2">
      <c r="A261" s="5">
        <v>1082</v>
      </c>
      <c r="B261" s="6">
        <v>0.51449100000000003</v>
      </c>
      <c r="C261" s="6">
        <f t="shared" si="28"/>
        <v>0.480491</v>
      </c>
      <c r="D261" s="6">
        <f t="shared" si="29"/>
        <v>519.89126199999998</v>
      </c>
      <c r="E261" s="6">
        <f t="shared" si="33"/>
        <v>-61.410491</v>
      </c>
      <c r="F261" s="6">
        <f t="shared" si="34"/>
        <v>-4.4299999999999895E-4</v>
      </c>
      <c r="G261" s="6">
        <f t="shared" si="30"/>
        <v>363.08153228712382</v>
      </c>
      <c r="H261" s="7">
        <f t="shared" si="31"/>
        <v>1.4978017879123792E-12</v>
      </c>
      <c r="I261" s="8">
        <f t="shared" si="32"/>
        <v>1.4978017879123792E-12</v>
      </c>
    </row>
    <row r="262" spans="1:9" x14ac:dyDescent="0.2">
      <c r="A262" s="5">
        <v>1080</v>
      </c>
      <c r="B262" s="6">
        <v>0.51582499999999998</v>
      </c>
      <c r="C262" s="6">
        <f t="shared" si="28"/>
        <v>0.48182499999999995</v>
      </c>
      <c r="D262" s="6">
        <f t="shared" si="29"/>
        <v>520.37099999999998</v>
      </c>
      <c r="E262" s="6">
        <f t="shared" si="33"/>
        <v>-62.372807000000002</v>
      </c>
      <c r="F262" s="6">
        <f t="shared" si="34"/>
        <v>-7.6750000000000429E-4</v>
      </c>
      <c r="G262" s="6">
        <f t="shared" si="30"/>
        <v>363.91773565843158</v>
      </c>
      <c r="H262" s="7">
        <f t="shared" si="31"/>
        <v>8.665203146332875E-13</v>
      </c>
      <c r="I262" s="8">
        <f t="shared" si="32"/>
        <v>8.665203146332875E-13</v>
      </c>
    </row>
    <row r="263" spans="1:9" x14ac:dyDescent="0.2">
      <c r="A263" s="5">
        <v>1078</v>
      </c>
      <c r="B263" s="6">
        <v>0.51756100000000005</v>
      </c>
      <c r="C263" s="6">
        <f t="shared" si="28"/>
        <v>0.48356100000000002</v>
      </c>
      <c r="D263" s="6">
        <f t="shared" si="29"/>
        <v>521.27875800000004</v>
      </c>
      <c r="E263" s="6">
        <f t="shared" si="33"/>
        <v>-63.338193000000004</v>
      </c>
      <c r="F263" s="6">
        <f t="shared" si="34"/>
        <v>-1.5087500000000031E-3</v>
      </c>
      <c r="G263" s="6">
        <f t="shared" si="30"/>
        <v>365.00245635152771</v>
      </c>
      <c r="H263" s="7">
        <f t="shared" si="31"/>
        <v>4.4211211445845504E-13</v>
      </c>
      <c r="I263" s="8">
        <f t="shared" si="32"/>
        <v>4.4211211445845504E-13</v>
      </c>
    </row>
    <row r="264" spans="1:9" x14ac:dyDescent="0.2">
      <c r="A264" s="5">
        <v>1076</v>
      </c>
      <c r="B264" s="6">
        <v>0.52185999999999999</v>
      </c>
      <c r="C264" s="6">
        <f t="shared" si="28"/>
        <v>0.48785999999999996</v>
      </c>
      <c r="D264" s="6">
        <f t="shared" si="29"/>
        <v>524.93736000000001</v>
      </c>
      <c r="E264" s="6">
        <f t="shared" si="33"/>
        <v>-64.30961400000001</v>
      </c>
      <c r="F264" s="6">
        <f t="shared" si="34"/>
        <v>-2.7895000000000003E-3</v>
      </c>
      <c r="G264" s="6">
        <f t="shared" si="30"/>
        <v>367.68004168080199</v>
      </c>
      <c r="H264" s="7">
        <f t="shared" si="31"/>
        <v>2.4087825801486277E-13</v>
      </c>
      <c r="I264" s="8">
        <f t="shared" si="32"/>
        <v>2.4087825801486277E-13</v>
      </c>
    </row>
    <row r="265" spans="1:9" x14ac:dyDescent="0.2">
      <c r="A265" s="5">
        <v>1074</v>
      </c>
      <c r="B265" s="6">
        <v>0.52871900000000005</v>
      </c>
      <c r="C265" s="6">
        <f t="shared" si="28"/>
        <v>0.49471900000000002</v>
      </c>
      <c r="D265" s="6">
        <f t="shared" si="29"/>
        <v>531.32820600000002</v>
      </c>
      <c r="E265" s="6">
        <f t="shared" si="33"/>
        <v>-65.292193000000012</v>
      </c>
      <c r="F265" s="6">
        <f t="shared" si="34"/>
        <v>-3.3199999999999896E-3</v>
      </c>
      <c r="G265" s="6">
        <f t="shared" si="30"/>
        <v>371.93837712892775</v>
      </c>
      <c r="H265" s="7">
        <f t="shared" si="31"/>
        <v>2.0473251400829686E-13</v>
      </c>
      <c r="I265" s="8">
        <f t="shared" si="32"/>
        <v>2.0473251400829686E-13</v>
      </c>
    </row>
    <row r="266" spans="1:9" x14ac:dyDescent="0.2">
      <c r="A266" s="5">
        <v>1072</v>
      </c>
      <c r="B266" s="6">
        <v>0.53513999999999995</v>
      </c>
      <c r="C266" s="6">
        <f t="shared" si="28"/>
        <v>0.50113999999999992</v>
      </c>
      <c r="D266" s="6">
        <f t="shared" si="29"/>
        <v>537.22207999999989</v>
      </c>
      <c r="E266" s="6">
        <f t="shared" si="33"/>
        <v>-66.288052000000008</v>
      </c>
      <c r="F266" s="6">
        <f t="shared" si="34"/>
        <v>-3.0219999999999969E-3</v>
      </c>
      <c r="G266" s="6">
        <f t="shared" si="30"/>
        <v>375.9119430473437</v>
      </c>
      <c r="H266" s="7">
        <f t="shared" si="31"/>
        <v>2.2732414961296501E-13</v>
      </c>
      <c r="I266" s="8">
        <f t="shared" si="32"/>
        <v>2.2732414961296501E-13</v>
      </c>
    </row>
    <row r="267" spans="1:9" x14ac:dyDescent="0.2">
      <c r="A267" s="5">
        <v>1070</v>
      </c>
      <c r="B267" s="6">
        <v>0.54080700000000004</v>
      </c>
      <c r="C267" s="6">
        <f t="shared" si="28"/>
        <v>0.50680700000000001</v>
      </c>
      <c r="D267" s="6">
        <f t="shared" si="29"/>
        <v>542.28349000000003</v>
      </c>
      <c r="E267" s="6">
        <f t="shared" si="33"/>
        <v>-67.295999000000009</v>
      </c>
      <c r="F267" s="6">
        <f t="shared" si="34"/>
        <v>-3.1930000000000014E-3</v>
      </c>
      <c r="G267" s="6">
        <f t="shared" si="30"/>
        <v>379.4075702776293</v>
      </c>
      <c r="H267" s="7">
        <f t="shared" si="31"/>
        <v>2.171505755678249E-13</v>
      </c>
      <c r="I267" s="8">
        <f t="shared" si="32"/>
        <v>2.171505755678249E-13</v>
      </c>
    </row>
    <row r="268" spans="1:9" x14ac:dyDescent="0.2">
      <c r="A268" s="5">
        <v>1068</v>
      </c>
      <c r="B268" s="6">
        <v>0.54791199999999995</v>
      </c>
      <c r="C268" s="6">
        <f t="shared" si="28"/>
        <v>0.51391199999999992</v>
      </c>
      <c r="D268" s="6">
        <f t="shared" si="29"/>
        <v>548.85801599999991</v>
      </c>
      <c r="E268" s="6">
        <f t="shared" si="33"/>
        <v>-68.316718000000009</v>
      </c>
      <c r="F268" s="6">
        <f t="shared" si="34"/>
        <v>-3.2149999999999956E-3</v>
      </c>
      <c r="G268" s="6">
        <f t="shared" si="30"/>
        <v>383.77600214655092</v>
      </c>
      <c r="H268" s="7">
        <f t="shared" si="31"/>
        <v>2.1814775526051554E-13</v>
      </c>
      <c r="I268" s="8">
        <f t="shared" si="32"/>
        <v>2.1814775526051554E-13</v>
      </c>
    </row>
    <row r="269" spans="1:9" x14ac:dyDescent="0.2">
      <c r="A269" s="5">
        <v>1066</v>
      </c>
      <c r="B269" s="6">
        <v>0.55366700000000002</v>
      </c>
      <c r="C269" s="6">
        <f t="shared" si="28"/>
        <v>0.51966699999999999</v>
      </c>
      <c r="D269" s="6">
        <f t="shared" si="29"/>
        <v>553.96502199999998</v>
      </c>
      <c r="E269" s="6">
        <f t="shared" si="33"/>
        <v>-69.350297000000012</v>
      </c>
      <c r="F269" s="6">
        <f t="shared" si="34"/>
        <v>-1.570250000000023E-3</v>
      </c>
      <c r="G269" s="6">
        <f t="shared" si="30"/>
        <v>387.30289121842196</v>
      </c>
      <c r="H269" s="7">
        <f t="shared" si="31"/>
        <v>4.507501171015346E-13</v>
      </c>
      <c r="I269" s="8">
        <f t="shared" si="32"/>
        <v>4.507501171015346E-13</v>
      </c>
    </row>
    <row r="270" spans="1:9" x14ac:dyDescent="0.2">
      <c r="A270" s="5">
        <v>1064</v>
      </c>
      <c r="B270" s="6">
        <v>0.55419300000000005</v>
      </c>
      <c r="C270" s="6">
        <f t="shared" si="28"/>
        <v>0.52019300000000002</v>
      </c>
      <c r="D270" s="6">
        <f t="shared" si="29"/>
        <v>553.48535200000003</v>
      </c>
      <c r="E270" s="6">
        <f t="shared" si="33"/>
        <v>-70.390157000000016</v>
      </c>
      <c r="F270" s="6">
        <f t="shared" si="34"/>
        <v>-1.1972499999999831E-3</v>
      </c>
      <c r="G270" s="6">
        <f t="shared" si="30"/>
        <v>387.62419258971727</v>
      </c>
      <c r="H270" s="7">
        <f t="shared" si="31"/>
        <v>5.9167053241792343E-13</v>
      </c>
      <c r="I270" s="8">
        <f t="shared" si="32"/>
        <v>5.9167053241792343E-13</v>
      </c>
    </row>
    <row r="271" spans="1:9" x14ac:dyDescent="0.2">
      <c r="A271" s="5">
        <v>1062</v>
      </c>
      <c r="B271" s="6">
        <v>0.55845599999999995</v>
      </c>
      <c r="C271" s="6">
        <f t="shared" si="28"/>
        <v>0.52445599999999992</v>
      </c>
      <c r="D271" s="6">
        <f t="shared" si="29"/>
        <v>556.97227199999986</v>
      </c>
      <c r="E271" s="6">
        <f t="shared" si="33"/>
        <v>-71.434806000000023</v>
      </c>
      <c r="F271" s="6">
        <f t="shared" si="34"/>
        <v>-2.5919999999999832E-3</v>
      </c>
      <c r="G271" s="6">
        <f t="shared" si="30"/>
        <v>390.21967371107019</v>
      </c>
      <c r="H271" s="7">
        <f t="shared" si="31"/>
        <v>2.7512374565624826E-13</v>
      </c>
      <c r="I271" s="8">
        <f t="shared" si="32"/>
        <v>2.7512374565624826E-13</v>
      </c>
    </row>
    <row r="272" spans="1:9" x14ac:dyDescent="0.2">
      <c r="A272" s="5">
        <v>1060</v>
      </c>
      <c r="B272" s="6">
        <v>0.56456099999999998</v>
      </c>
      <c r="C272" s="6">
        <f t="shared" si="28"/>
        <v>0.53056099999999995</v>
      </c>
      <c r="D272" s="6">
        <f t="shared" si="29"/>
        <v>562.39465999999993</v>
      </c>
      <c r="E272" s="6">
        <f t="shared" si="33"/>
        <v>-72.48982300000003</v>
      </c>
      <c r="F272" s="6">
        <f t="shared" si="34"/>
        <v>-2.7412500000000006E-3</v>
      </c>
      <c r="G272" s="6">
        <f t="shared" si="30"/>
        <v>393.92442647106543</v>
      </c>
      <c r="H272" s="7">
        <f t="shared" si="31"/>
        <v>2.6261418340057636E-13</v>
      </c>
      <c r="I272" s="8">
        <f t="shared" si="32"/>
        <v>2.6261418340057636E-13</v>
      </c>
    </row>
    <row r="273" spans="1:9" x14ac:dyDescent="0.2">
      <c r="A273" s="5">
        <v>1058</v>
      </c>
      <c r="B273" s="6">
        <v>0.56942099999999995</v>
      </c>
      <c r="C273" s="6">
        <f t="shared" si="28"/>
        <v>0.53542099999999992</v>
      </c>
      <c r="D273" s="6">
        <f t="shared" si="29"/>
        <v>566.47541799999988</v>
      </c>
      <c r="E273" s="6">
        <f t="shared" si="33"/>
        <v>-73.555805000000035</v>
      </c>
      <c r="F273" s="6">
        <f t="shared" si="34"/>
        <v>-2.1492499999999914E-3</v>
      </c>
      <c r="G273" s="6">
        <f t="shared" si="30"/>
        <v>396.86394454044745</v>
      </c>
      <c r="H273" s="7">
        <f t="shared" si="31"/>
        <v>3.3744936910234651E-13</v>
      </c>
      <c r="I273" s="8">
        <f t="shared" si="32"/>
        <v>3.3744936910234651E-13</v>
      </c>
    </row>
    <row r="274" spans="1:9" x14ac:dyDescent="0.2">
      <c r="A274" s="5">
        <v>1056</v>
      </c>
      <c r="B274" s="6">
        <v>0.57315799999999995</v>
      </c>
      <c r="C274" s="6">
        <f t="shared" si="28"/>
        <v>0.53915799999999992</v>
      </c>
      <c r="D274" s="6">
        <f t="shared" si="29"/>
        <v>569.35084799999993</v>
      </c>
      <c r="E274" s="6">
        <f t="shared" si="33"/>
        <v>-74.630384000000035</v>
      </c>
      <c r="F274" s="6">
        <f t="shared" si="34"/>
        <v>-1.4824999999999977E-3</v>
      </c>
      <c r="G274" s="6">
        <f t="shared" si="30"/>
        <v>399.11675429050518</v>
      </c>
      <c r="H274" s="7">
        <f t="shared" si="31"/>
        <v>4.9199327718423733E-13</v>
      </c>
      <c r="I274" s="8">
        <f t="shared" si="32"/>
        <v>4.9199327718423733E-13</v>
      </c>
    </row>
    <row r="275" spans="1:9" x14ac:dyDescent="0.2">
      <c r="A275" s="5">
        <v>1054</v>
      </c>
      <c r="B275" s="6">
        <v>0.57535099999999995</v>
      </c>
      <c r="C275" s="6">
        <f t="shared" si="28"/>
        <v>0.54135099999999992</v>
      </c>
      <c r="D275" s="6">
        <f t="shared" si="29"/>
        <v>570.58395399999995</v>
      </c>
      <c r="E275" s="6">
        <f t="shared" si="33"/>
        <v>-75.710893000000041</v>
      </c>
      <c r="F275" s="6">
        <f t="shared" si="34"/>
        <v>-1.1447499999999999E-3</v>
      </c>
      <c r="G275" s="6">
        <f t="shared" si="30"/>
        <v>400.43439445638063</v>
      </c>
      <c r="H275" s="7">
        <f t="shared" si="31"/>
        <v>6.3925573405985853E-13</v>
      </c>
      <c r="I275" s="8">
        <f t="shared" si="32"/>
        <v>6.3925573405985853E-13</v>
      </c>
    </row>
    <row r="276" spans="1:9" x14ac:dyDescent="0.2">
      <c r="A276" s="5">
        <v>1052</v>
      </c>
      <c r="B276" s="6">
        <v>0.57773699999999995</v>
      </c>
      <c r="C276" s="6">
        <f t="shared" si="28"/>
        <v>0.54373699999999991</v>
      </c>
      <c r="D276" s="6">
        <f t="shared" si="29"/>
        <v>572.01132399999995</v>
      </c>
      <c r="E276" s="6">
        <f t="shared" si="33"/>
        <v>-76.79598100000004</v>
      </c>
      <c r="F276" s="6">
        <f t="shared" si="34"/>
        <v>-1.5657500000000046E-3</v>
      </c>
      <c r="G276" s="6">
        <f t="shared" si="30"/>
        <v>401.86322457027887</v>
      </c>
      <c r="H276" s="7">
        <f t="shared" si="31"/>
        <v>4.6903986441567347E-13</v>
      </c>
      <c r="I276" s="8">
        <f t="shared" si="32"/>
        <v>4.6903986441567347E-13</v>
      </c>
    </row>
    <row r="277" spans="1:9" x14ac:dyDescent="0.2">
      <c r="A277" s="5">
        <v>1050</v>
      </c>
      <c r="B277" s="6">
        <v>0.58161399999999996</v>
      </c>
      <c r="C277" s="6">
        <f t="shared" si="28"/>
        <v>0.54761399999999993</v>
      </c>
      <c r="D277" s="6">
        <f t="shared" si="29"/>
        <v>574.99469999999997</v>
      </c>
      <c r="E277" s="6">
        <f t="shared" si="33"/>
        <v>-77.887332000000043</v>
      </c>
      <c r="F277" s="6">
        <f t="shared" si="34"/>
        <v>-2.5000000000000022E-3</v>
      </c>
      <c r="G277" s="6">
        <f t="shared" si="30"/>
        <v>404.17716979558634</v>
      </c>
      <c r="H277" s="7">
        <f t="shared" si="31"/>
        <v>2.9545114751139328E-13</v>
      </c>
      <c r="I277" s="8">
        <f t="shared" si="32"/>
        <v>2.9545114751139328E-13</v>
      </c>
    </row>
    <row r="278" spans="1:9" x14ac:dyDescent="0.2">
      <c r="A278" s="5">
        <v>1048</v>
      </c>
      <c r="B278" s="6">
        <v>0.58773699999999995</v>
      </c>
      <c r="C278" s="6">
        <f t="shared" si="28"/>
        <v>0.55373699999999992</v>
      </c>
      <c r="D278" s="6">
        <f t="shared" si="29"/>
        <v>580.31637599999988</v>
      </c>
      <c r="E278" s="6">
        <f t="shared" si="33"/>
        <v>-78.988683000000037</v>
      </c>
      <c r="F278" s="6">
        <f t="shared" si="34"/>
        <v>-3.4737499999999977E-3</v>
      </c>
      <c r="G278" s="6">
        <f t="shared" si="30"/>
        <v>407.81936965954225</v>
      </c>
      <c r="H278" s="7">
        <f t="shared" si="31"/>
        <v>2.1454737266105153E-13</v>
      </c>
      <c r="I278" s="8">
        <f t="shared" si="32"/>
        <v>2.1454737266105153E-13</v>
      </c>
    </row>
    <row r="279" spans="1:9" x14ac:dyDescent="0.2">
      <c r="A279" s="5">
        <v>1046</v>
      </c>
      <c r="B279" s="6">
        <v>0.59550899999999996</v>
      </c>
      <c r="C279" s="6">
        <f t="shared" si="28"/>
        <v>0.56150899999999992</v>
      </c>
      <c r="D279" s="6">
        <f t="shared" si="29"/>
        <v>587.33841399999994</v>
      </c>
      <c r="E279" s="6">
        <f t="shared" si="33"/>
        <v>-80.103929000000036</v>
      </c>
      <c r="F279" s="6">
        <f t="shared" si="34"/>
        <v>-2.9297500000000087E-3</v>
      </c>
      <c r="G279" s="6">
        <f t="shared" si="30"/>
        <v>412.42691521411774</v>
      </c>
      <c r="H279" s="7">
        <f t="shared" si="31"/>
        <v>2.5725886438110232E-13</v>
      </c>
      <c r="I279" s="8">
        <f t="shared" si="32"/>
        <v>2.5725886438110232E-13</v>
      </c>
    </row>
    <row r="280" spans="1:9" x14ac:dyDescent="0.2">
      <c r="A280" s="5">
        <v>1044</v>
      </c>
      <c r="B280" s="6">
        <v>0.59945599999999999</v>
      </c>
      <c r="C280" s="6">
        <f t="shared" si="28"/>
        <v>0.56545599999999996</v>
      </c>
      <c r="D280" s="6">
        <f t="shared" si="29"/>
        <v>590.33606399999996</v>
      </c>
      <c r="E280" s="6">
        <f t="shared" si="33"/>
        <v>-81.230894000000035</v>
      </c>
      <c r="F280" s="6">
        <f t="shared" si="34"/>
        <v>-1.99125E-3</v>
      </c>
      <c r="G280" s="6">
        <f t="shared" si="30"/>
        <v>414.75895717704998</v>
      </c>
      <c r="H280" s="7">
        <f t="shared" si="31"/>
        <v>3.8064830157620319E-13</v>
      </c>
      <c r="I280" s="8">
        <f t="shared" si="32"/>
        <v>3.8064830157620319E-13</v>
      </c>
    </row>
    <row r="281" spans="1:9" x14ac:dyDescent="0.2">
      <c r="A281" s="5">
        <v>1042</v>
      </c>
      <c r="B281" s="6">
        <v>0.60347399999999995</v>
      </c>
      <c r="C281" s="6">
        <f t="shared" si="28"/>
        <v>0.56947399999999992</v>
      </c>
      <c r="D281" s="6">
        <f t="shared" si="29"/>
        <v>593.39190799999994</v>
      </c>
      <c r="E281" s="6">
        <f t="shared" si="33"/>
        <v>-82.365824000000032</v>
      </c>
      <c r="F281" s="6">
        <f t="shared" si="34"/>
        <v>-3.1140000000000057E-3</v>
      </c>
      <c r="G281" s="6">
        <f t="shared" si="30"/>
        <v>417.12491271671598</v>
      </c>
      <c r="H281" s="7">
        <f t="shared" si="31"/>
        <v>2.4479437369054584E-13</v>
      </c>
      <c r="I281" s="8">
        <f t="shared" si="32"/>
        <v>2.4479437369054584E-13</v>
      </c>
    </row>
    <row r="282" spans="1:9" x14ac:dyDescent="0.2">
      <c r="A282" s="5">
        <v>1040</v>
      </c>
      <c r="B282" s="6">
        <v>0.61191200000000001</v>
      </c>
      <c r="C282" s="6">
        <f t="shared" si="28"/>
        <v>0.57791199999999998</v>
      </c>
      <c r="D282" s="6">
        <f t="shared" si="29"/>
        <v>601.02847999999994</v>
      </c>
      <c r="E282" s="6">
        <f t="shared" si="33"/>
        <v>-83.513210000000029</v>
      </c>
      <c r="F282" s="6">
        <f t="shared" si="34"/>
        <v>-3.2455000000000123E-3</v>
      </c>
      <c r="G282" s="6">
        <f t="shared" si="30"/>
        <v>422.07666111783641</v>
      </c>
      <c r="H282" s="7">
        <f t="shared" si="31"/>
        <v>2.3766412801769319E-13</v>
      </c>
      <c r="I282" s="8">
        <f t="shared" si="32"/>
        <v>2.3766412801769319E-13</v>
      </c>
    </row>
    <row r="283" spans="1:9" x14ac:dyDescent="0.2">
      <c r="A283" s="5">
        <v>1038</v>
      </c>
      <c r="B283" s="6">
        <v>0.616456</v>
      </c>
      <c r="C283" s="6">
        <f t="shared" si="28"/>
        <v>0.58245599999999997</v>
      </c>
      <c r="D283" s="6">
        <f t="shared" si="29"/>
        <v>604.58932800000002</v>
      </c>
      <c r="E283" s="6">
        <f t="shared" si="33"/>
        <v>-84.673578000000035</v>
      </c>
      <c r="F283" s="6">
        <f t="shared" si="34"/>
        <v>-2.5175000000000058E-3</v>
      </c>
      <c r="G283" s="6">
        <f t="shared" si="30"/>
        <v>424.73417002879768</v>
      </c>
      <c r="H283" s="7">
        <f t="shared" si="31"/>
        <v>3.083199547820205E-13</v>
      </c>
      <c r="I283" s="8">
        <f t="shared" si="32"/>
        <v>3.083199547820205E-13</v>
      </c>
    </row>
    <row r="284" spans="1:9" x14ac:dyDescent="0.2">
      <c r="A284" s="5">
        <v>1036</v>
      </c>
      <c r="B284" s="6">
        <v>0.62198200000000003</v>
      </c>
      <c r="C284" s="6">
        <f t="shared" si="28"/>
        <v>0.587982</v>
      </c>
      <c r="D284" s="6">
        <f t="shared" si="29"/>
        <v>609.14935200000002</v>
      </c>
      <c r="E284" s="6">
        <f t="shared" si="33"/>
        <v>-85.844016000000039</v>
      </c>
      <c r="F284" s="6">
        <f t="shared" si="34"/>
        <v>-3.7587500000000051E-3</v>
      </c>
      <c r="G284" s="6">
        <f t="shared" si="30"/>
        <v>427.95493894472463</v>
      </c>
      <c r="H284" s="7">
        <f t="shared" si="31"/>
        <v>2.0806954287205295E-13</v>
      </c>
      <c r="I284" s="8">
        <f t="shared" si="32"/>
        <v>2.0806954287205295E-13</v>
      </c>
    </row>
    <row r="285" spans="1:9" x14ac:dyDescent="0.2">
      <c r="A285" s="5">
        <v>1034</v>
      </c>
      <c r="B285" s="6">
        <v>0.63149100000000002</v>
      </c>
      <c r="C285" s="6">
        <f t="shared" si="28"/>
        <v>0.59749099999999999</v>
      </c>
      <c r="D285" s="6">
        <f t="shared" si="29"/>
        <v>617.80569400000002</v>
      </c>
      <c r="E285" s="6">
        <f t="shared" si="33"/>
        <v>-87.029489000000041</v>
      </c>
      <c r="F285" s="6">
        <f t="shared" si="34"/>
        <v>-4.4342500000000007E-3</v>
      </c>
      <c r="G285" s="6">
        <f t="shared" si="30"/>
        <v>433.47813803150518</v>
      </c>
      <c r="H285" s="7">
        <f t="shared" si="31"/>
        <v>1.7864914243736745E-13</v>
      </c>
      <c r="I285" s="8">
        <f t="shared" si="32"/>
        <v>1.7864914243736745E-13</v>
      </c>
    </row>
    <row r="286" spans="1:9" x14ac:dyDescent="0.2">
      <c r="A286" s="5">
        <v>1032</v>
      </c>
      <c r="B286" s="6">
        <v>0.63971900000000004</v>
      </c>
      <c r="C286" s="6">
        <f t="shared" si="28"/>
        <v>0.60571900000000001</v>
      </c>
      <c r="D286" s="6">
        <f t="shared" si="29"/>
        <v>625.10200799999996</v>
      </c>
      <c r="E286" s="6">
        <f t="shared" si="33"/>
        <v>-88.232699000000039</v>
      </c>
      <c r="F286" s="6">
        <f t="shared" si="34"/>
        <v>-3.4035000000000037E-3</v>
      </c>
      <c r="G286" s="6">
        <f t="shared" si="30"/>
        <v>438.24082621975106</v>
      </c>
      <c r="H286" s="7">
        <f t="shared" si="31"/>
        <v>2.3531032845217308E-13</v>
      </c>
      <c r="I286" s="8">
        <f t="shared" si="32"/>
        <v>2.3531032845217308E-13</v>
      </c>
    </row>
    <row r="287" spans="1:9" x14ac:dyDescent="0.2">
      <c r="A287" s="5">
        <v>1030</v>
      </c>
      <c r="B287" s="6">
        <v>0.64510500000000004</v>
      </c>
      <c r="C287" s="6">
        <f t="shared" si="28"/>
        <v>0.61110500000000001</v>
      </c>
      <c r="D287" s="6">
        <f t="shared" si="29"/>
        <v>629.43815000000006</v>
      </c>
      <c r="E287" s="6">
        <f t="shared" si="33"/>
        <v>-89.449523000000042</v>
      </c>
      <c r="F287" s="6">
        <f t="shared" si="34"/>
        <v>-3.3597499999999947E-3</v>
      </c>
      <c r="G287" s="6">
        <f t="shared" si="30"/>
        <v>441.34768166042829</v>
      </c>
      <c r="H287" s="7">
        <f t="shared" si="31"/>
        <v>2.4006442020476156E-13</v>
      </c>
      <c r="I287" s="8">
        <f t="shared" si="32"/>
        <v>2.4006442020476156E-13</v>
      </c>
    </row>
    <row r="288" spans="1:9" x14ac:dyDescent="0.2">
      <c r="A288" s="5">
        <v>1028</v>
      </c>
      <c r="B288" s="6">
        <v>0.65315800000000002</v>
      </c>
      <c r="C288" s="6">
        <f t="shared" si="28"/>
        <v>0.61915799999999999</v>
      </c>
      <c r="D288" s="6">
        <f t="shared" si="29"/>
        <v>636.49442399999998</v>
      </c>
      <c r="E288" s="6">
        <f t="shared" si="33"/>
        <v>-90.679786000000036</v>
      </c>
      <c r="F288" s="6">
        <f t="shared" si="34"/>
        <v>-2.6492499999999919E-3</v>
      </c>
      <c r="G288" s="6">
        <f t="shared" si="30"/>
        <v>445.97686100461203</v>
      </c>
      <c r="H288" s="7">
        <f t="shared" si="31"/>
        <v>3.0764034853501329E-13</v>
      </c>
      <c r="I288" s="8">
        <f t="shared" si="32"/>
        <v>3.0764034853501329E-13</v>
      </c>
    </row>
    <row r="289" spans="1:9" x14ac:dyDescent="0.2">
      <c r="A289" s="5">
        <v>1026</v>
      </c>
      <c r="B289" s="6">
        <v>0.65570200000000001</v>
      </c>
      <c r="C289" s="6">
        <f t="shared" si="28"/>
        <v>0.62170199999999998</v>
      </c>
      <c r="D289" s="6">
        <f t="shared" si="29"/>
        <v>637.86625200000003</v>
      </c>
      <c r="E289" s="6">
        <f t="shared" si="33"/>
        <v>-91.920646000000033</v>
      </c>
      <c r="F289" s="6">
        <f t="shared" si="34"/>
        <v>-1.898999999999984E-3</v>
      </c>
      <c r="G289" s="6">
        <f t="shared" si="30"/>
        <v>447.43416369772063</v>
      </c>
      <c r="H289" s="7">
        <f t="shared" si="31"/>
        <v>4.3058419837938366E-13</v>
      </c>
      <c r="I289" s="8">
        <f t="shared" si="32"/>
        <v>4.3058419837938366E-13</v>
      </c>
    </row>
    <row r="290" spans="1:9" x14ac:dyDescent="0.2">
      <c r="A290" s="5">
        <v>1024</v>
      </c>
      <c r="B290" s="6">
        <v>0.66075399999999995</v>
      </c>
      <c r="C290" s="6">
        <f t="shared" si="28"/>
        <v>0.62675399999999992</v>
      </c>
      <c r="D290" s="6">
        <f t="shared" si="29"/>
        <v>641.79609599999992</v>
      </c>
      <c r="E290" s="6">
        <f t="shared" si="33"/>
        <v>-93.169102000000038</v>
      </c>
      <c r="F290" s="6">
        <f t="shared" si="34"/>
        <v>-2.3199999999999887E-3</v>
      </c>
      <c r="G290" s="6">
        <f t="shared" si="30"/>
        <v>450.31804287601642</v>
      </c>
      <c r="H290" s="7">
        <f t="shared" si="31"/>
        <v>3.5471967230983012E-13</v>
      </c>
      <c r="I290" s="8">
        <f t="shared" si="32"/>
        <v>3.5471967230983012E-13</v>
      </c>
    </row>
    <row r="291" spans="1:9" x14ac:dyDescent="0.2">
      <c r="A291" s="5">
        <v>1022</v>
      </c>
      <c r="B291" s="6">
        <v>0.66498199999999996</v>
      </c>
      <c r="C291" s="6">
        <f t="shared" si="28"/>
        <v>0.63098199999999993</v>
      </c>
      <c r="D291" s="6">
        <f t="shared" si="29"/>
        <v>644.8636039999999</v>
      </c>
      <c r="E291" s="6">
        <f t="shared" si="33"/>
        <v>-94.426838000000032</v>
      </c>
      <c r="F291" s="6">
        <f t="shared" si="34"/>
        <v>-3.6754999999999982E-3</v>
      </c>
      <c r="G291" s="6">
        <f t="shared" si="30"/>
        <v>452.72309462855702</v>
      </c>
      <c r="H291" s="7">
        <f t="shared" si="31"/>
        <v>2.2509722124200651E-13</v>
      </c>
      <c r="I291" s="8">
        <f t="shared" si="32"/>
        <v>2.2509722124200651E-13</v>
      </c>
    </row>
    <row r="292" spans="1:9" x14ac:dyDescent="0.2">
      <c r="A292" s="5">
        <v>1020</v>
      </c>
      <c r="B292" s="6">
        <v>0.67545599999999995</v>
      </c>
      <c r="C292" s="6">
        <f t="shared" si="28"/>
        <v>0.64145599999999992</v>
      </c>
      <c r="D292" s="6">
        <f t="shared" si="29"/>
        <v>654.28511999999989</v>
      </c>
      <c r="E292" s="6">
        <f t="shared" si="33"/>
        <v>-95.699276000000026</v>
      </c>
      <c r="F292" s="6">
        <f t="shared" si="34"/>
        <v>-4.1535000000000044E-3</v>
      </c>
      <c r="G292" s="6">
        <f t="shared" si="30"/>
        <v>458.66016745545141</v>
      </c>
      <c r="H292" s="7">
        <f t="shared" si="31"/>
        <v>2.0180444214923146E-13</v>
      </c>
      <c r="I292" s="8">
        <f t="shared" si="32"/>
        <v>2.0180444214923146E-13</v>
      </c>
    </row>
    <row r="293" spans="1:9" x14ac:dyDescent="0.2">
      <c r="A293" s="5">
        <v>1018</v>
      </c>
      <c r="B293" s="6">
        <v>0.68159599999999998</v>
      </c>
      <c r="C293" s="6">
        <f t="shared" si="28"/>
        <v>0.64759599999999995</v>
      </c>
      <c r="D293" s="6">
        <f t="shared" si="29"/>
        <v>659.25272799999993</v>
      </c>
      <c r="E293" s="6">
        <f t="shared" si="33"/>
        <v>-96.988328000000024</v>
      </c>
      <c r="F293" s="6">
        <f t="shared" si="34"/>
        <v>-2.6360000000000272E-3</v>
      </c>
      <c r="G293" s="6">
        <f t="shared" si="30"/>
        <v>462.12827958425913</v>
      </c>
      <c r="H293" s="7">
        <f t="shared" si="31"/>
        <v>3.2038417097072365E-13</v>
      </c>
      <c r="I293" s="8">
        <f t="shared" si="32"/>
        <v>3.2038417097072365E-13</v>
      </c>
    </row>
    <row r="294" spans="1:9" x14ac:dyDescent="0.2">
      <c r="A294" s="5">
        <v>1016</v>
      </c>
      <c r="B294" s="6">
        <v>0.68600000000000005</v>
      </c>
      <c r="C294" s="6">
        <f t="shared" si="28"/>
        <v>0.65200000000000002</v>
      </c>
      <c r="D294" s="6">
        <f t="shared" si="29"/>
        <v>662.43200000000002</v>
      </c>
      <c r="E294" s="6">
        <f t="shared" si="33"/>
        <v>-98.287924000000018</v>
      </c>
      <c r="F294" s="6">
        <f t="shared" si="34"/>
        <v>-2.6405000000000178E-3</v>
      </c>
      <c r="G294" s="6">
        <f t="shared" si="30"/>
        <v>464.60702301997077</v>
      </c>
      <c r="H294" s="7">
        <f t="shared" si="31"/>
        <v>3.2155369894665945E-13</v>
      </c>
      <c r="I294" s="8">
        <f t="shared" si="32"/>
        <v>3.2155369894665945E-13</v>
      </c>
    </row>
    <row r="295" spans="1:9" x14ac:dyDescent="0.2">
      <c r="A295" s="5">
        <v>1014</v>
      </c>
      <c r="B295" s="6">
        <v>0.69215800000000005</v>
      </c>
      <c r="C295" s="6">
        <f t="shared" si="28"/>
        <v>0.65815800000000002</v>
      </c>
      <c r="D295" s="6">
        <f t="shared" si="29"/>
        <v>667.37221199999999</v>
      </c>
      <c r="E295" s="6">
        <f t="shared" si="33"/>
        <v>-99.598082000000019</v>
      </c>
      <c r="F295" s="6">
        <f t="shared" si="34"/>
        <v>-2.1097499999999936E-3</v>
      </c>
      <c r="G295" s="6">
        <f t="shared" si="30"/>
        <v>468.06067025273916</v>
      </c>
      <c r="H295" s="7">
        <f t="shared" si="31"/>
        <v>4.0543857418870876E-13</v>
      </c>
      <c r="I295" s="8">
        <f t="shared" si="32"/>
        <v>4.0543857418870876E-13</v>
      </c>
    </row>
    <row r="296" spans="1:9" x14ac:dyDescent="0.2">
      <c r="A296" s="5">
        <v>1012</v>
      </c>
      <c r="B296" s="6">
        <v>0.69443900000000003</v>
      </c>
      <c r="C296" s="6">
        <f t="shared" si="28"/>
        <v>0.660439</v>
      </c>
      <c r="D296" s="6">
        <f t="shared" si="29"/>
        <v>668.36426800000004</v>
      </c>
      <c r="E296" s="6">
        <f t="shared" si="33"/>
        <v>-100.91667900000002</v>
      </c>
      <c r="F296" s="6">
        <f t="shared" si="34"/>
        <v>-1.6667499999999946E-3</v>
      </c>
      <c r="G296" s="6">
        <f t="shared" si="30"/>
        <v>469.33538226020005</v>
      </c>
      <c r="H296" s="7">
        <f t="shared" si="31"/>
        <v>5.1459639985128105E-13</v>
      </c>
      <c r="I296" s="8">
        <f t="shared" si="32"/>
        <v>5.1459639985128105E-13</v>
      </c>
    </row>
    <row r="297" spans="1:9" x14ac:dyDescent="0.2">
      <c r="A297" s="5">
        <v>1010</v>
      </c>
      <c r="B297" s="6">
        <v>0.69882500000000003</v>
      </c>
      <c r="C297" s="6">
        <f t="shared" si="28"/>
        <v>0.664825</v>
      </c>
      <c r="D297" s="6">
        <f t="shared" si="29"/>
        <v>671.47325000000001</v>
      </c>
      <c r="E297" s="6">
        <f t="shared" si="33"/>
        <v>-102.24194300000002</v>
      </c>
      <c r="F297" s="6">
        <f t="shared" si="34"/>
        <v>-1.754249999999985E-3</v>
      </c>
      <c r="G297" s="6">
        <f t="shared" si="30"/>
        <v>471.77767859195103</v>
      </c>
      <c r="H297" s="7">
        <f t="shared" si="31"/>
        <v>4.9147317103737526E-13</v>
      </c>
      <c r="I297" s="8">
        <f t="shared" si="32"/>
        <v>4.9147317103737526E-13</v>
      </c>
    </row>
    <row r="298" spans="1:9" x14ac:dyDescent="0.2">
      <c r="A298" s="5">
        <v>1008</v>
      </c>
      <c r="B298" s="6">
        <v>0.70145599999999997</v>
      </c>
      <c r="C298" s="6">
        <f t="shared" si="28"/>
        <v>0.66745599999999994</v>
      </c>
      <c r="D298" s="6">
        <f t="shared" si="29"/>
        <v>672.79564799999991</v>
      </c>
      <c r="E298" s="6">
        <f t="shared" si="33"/>
        <v>-103.57422400000002</v>
      </c>
      <c r="F298" s="6">
        <f t="shared" si="34"/>
        <v>-1.0262500000000063E-3</v>
      </c>
      <c r="G298" s="6">
        <f t="shared" si="30"/>
        <v>473.23746028753618</v>
      </c>
      <c r="H298" s="7">
        <f t="shared" si="31"/>
        <v>8.4271331546810907E-13</v>
      </c>
      <c r="I298" s="8">
        <f t="shared" si="32"/>
        <v>8.4271331546810907E-13</v>
      </c>
    </row>
    <row r="299" spans="1:9" x14ac:dyDescent="0.2">
      <c r="A299" s="5">
        <v>1006</v>
      </c>
      <c r="B299" s="6">
        <v>0.70293000000000005</v>
      </c>
      <c r="C299" s="6">
        <f t="shared" si="28"/>
        <v>0.66893000000000002</v>
      </c>
      <c r="D299" s="6">
        <f t="shared" si="29"/>
        <v>672.94358</v>
      </c>
      <c r="E299" s="6">
        <f t="shared" si="33"/>
        <v>-104.91061000000002</v>
      </c>
      <c r="F299" s="6">
        <f t="shared" si="34"/>
        <v>-1.662250000000004E-3</v>
      </c>
      <c r="G299" s="6">
        <f t="shared" si="30"/>
        <v>474.05234513409363</v>
      </c>
      <c r="H299" s="7">
        <f t="shared" si="31"/>
        <v>5.2117535277046945E-13</v>
      </c>
      <c r="I299" s="8">
        <f t="shared" si="32"/>
        <v>5.2117535277046945E-13</v>
      </c>
    </row>
    <row r="300" spans="1:9" x14ac:dyDescent="0.2">
      <c r="A300" s="5">
        <v>1004</v>
      </c>
      <c r="B300" s="6">
        <v>0.70810499999999998</v>
      </c>
      <c r="C300" s="6">
        <f t="shared" si="28"/>
        <v>0.67410499999999995</v>
      </c>
      <c r="D300" s="6">
        <f t="shared" si="29"/>
        <v>676.80142000000001</v>
      </c>
      <c r="E300" s="6">
        <f t="shared" si="33"/>
        <v>-106.25364500000002</v>
      </c>
      <c r="F300" s="6">
        <f t="shared" si="34"/>
        <v>-3.1402499999999833E-3</v>
      </c>
      <c r="G300" s="6">
        <f t="shared" si="30"/>
        <v>476.90293752278734</v>
      </c>
      <c r="H300" s="7">
        <f t="shared" si="31"/>
        <v>2.7753622993638407E-13</v>
      </c>
      <c r="I300" s="8">
        <f t="shared" si="32"/>
        <v>2.7753622993638407E-13</v>
      </c>
    </row>
    <row r="301" spans="1:9" x14ac:dyDescent="0.2">
      <c r="A301" s="5">
        <v>1002</v>
      </c>
      <c r="B301" s="6">
        <v>0.71549099999999999</v>
      </c>
      <c r="C301" s="6">
        <f t="shared" si="28"/>
        <v>0.68149099999999996</v>
      </c>
      <c r="D301" s="6">
        <f t="shared" si="29"/>
        <v>682.85398199999997</v>
      </c>
      <c r="E301" s="6">
        <f t="shared" si="33"/>
        <v>-107.60924100000003</v>
      </c>
      <c r="F301" s="6">
        <f t="shared" si="34"/>
        <v>-3.7587500000000051E-3</v>
      </c>
      <c r="G301" s="6">
        <f t="shared" si="30"/>
        <v>480.95666318131725</v>
      </c>
      <c r="H301" s="7">
        <f t="shared" si="31"/>
        <v>2.3383871511371939E-13</v>
      </c>
      <c r="I301" s="8">
        <f t="shared" si="32"/>
        <v>2.3383871511371939E-13</v>
      </c>
    </row>
    <row r="302" spans="1:9" x14ac:dyDescent="0.2">
      <c r="A302" s="5">
        <v>1000</v>
      </c>
      <c r="B302" s="6">
        <v>0.72314000000000001</v>
      </c>
      <c r="C302" s="6">
        <f t="shared" si="28"/>
        <v>0.68913999999999997</v>
      </c>
      <c r="D302" s="6">
        <f t="shared" si="29"/>
        <v>689.14</v>
      </c>
      <c r="E302" s="6">
        <f t="shared" si="33"/>
        <v>-108.97987200000003</v>
      </c>
      <c r="F302" s="6">
        <f t="shared" si="34"/>
        <v>-2.6140000000000052E-3</v>
      </c>
      <c r="G302" s="6">
        <f t="shared" si="30"/>
        <v>485.13943552549483</v>
      </c>
      <c r="H302" s="7">
        <f t="shared" si="31"/>
        <v>3.3916802821003601E-13</v>
      </c>
      <c r="I302" s="8">
        <f t="shared" si="32"/>
        <v>3.3916802821003601E-13</v>
      </c>
    </row>
    <row r="303" spans="1:9" x14ac:dyDescent="0.2">
      <c r="A303" s="5">
        <v>998</v>
      </c>
      <c r="B303" s="6">
        <v>0.72594700000000001</v>
      </c>
      <c r="C303" s="6">
        <f t="shared" si="28"/>
        <v>0.69194699999999998</v>
      </c>
      <c r="D303" s="6">
        <f t="shared" si="29"/>
        <v>690.56310599999995</v>
      </c>
      <c r="E303" s="6">
        <f t="shared" si="33"/>
        <v>-110.36095900000002</v>
      </c>
      <c r="F303" s="6">
        <f t="shared" si="34"/>
        <v>-1.907999999999993E-3</v>
      </c>
      <c r="G303" s="6">
        <f t="shared" si="30"/>
        <v>486.6687989042511</v>
      </c>
      <c r="H303" s="7">
        <f t="shared" si="31"/>
        <v>4.6613213572148977E-13</v>
      </c>
      <c r="I303" s="8">
        <f t="shared" si="32"/>
        <v>4.6613213572148977E-13</v>
      </c>
    </row>
    <row r="304" spans="1:9" x14ac:dyDescent="0.2">
      <c r="A304" s="5">
        <v>996</v>
      </c>
      <c r="B304" s="6">
        <v>0.73077199999999998</v>
      </c>
      <c r="C304" s="6">
        <f t="shared" si="28"/>
        <v>0.69677199999999995</v>
      </c>
      <c r="D304" s="6">
        <f t="shared" si="29"/>
        <v>693.98491199999989</v>
      </c>
      <c r="E304" s="6">
        <f t="shared" si="33"/>
        <v>-111.74967800000002</v>
      </c>
      <c r="F304" s="6">
        <f t="shared" si="34"/>
        <v>-2.4474999999999913E-3</v>
      </c>
      <c r="G304" s="6">
        <f t="shared" si="30"/>
        <v>489.28799760482059</v>
      </c>
      <c r="H304" s="7">
        <f t="shared" si="31"/>
        <v>3.653387792807005E-13</v>
      </c>
      <c r="I304" s="8">
        <f t="shared" si="32"/>
        <v>3.653387792807005E-13</v>
      </c>
    </row>
    <row r="305" spans="1:9" x14ac:dyDescent="0.2">
      <c r="A305" s="5">
        <v>994</v>
      </c>
      <c r="B305" s="6">
        <v>0.73573699999999997</v>
      </c>
      <c r="C305" s="6">
        <f t="shared" si="28"/>
        <v>0.70173699999999994</v>
      </c>
      <c r="D305" s="6">
        <f t="shared" si="29"/>
        <v>697.52657799999997</v>
      </c>
      <c r="E305" s="6">
        <f t="shared" si="33"/>
        <v>-113.14818700000002</v>
      </c>
      <c r="F305" s="6">
        <f t="shared" si="34"/>
        <v>-2.7762500000000079E-3</v>
      </c>
      <c r="G305" s="6">
        <f t="shared" si="30"/>
        <v>491.97326378063985</v>
      </c>
      <c r="H305" s="7">
        <f t="shared" si="31"/>
        <v>3.2384473551284683E-13</v>
      </c>
      <c r="I305" s="8">
        <f t="shared" si="32"/>
        <v>3.2384473551284683E-13</v>
      </c>
    </row>
    <row r="306" spans="1:9" x14ac:dyDescent="0.2">
      <c r="A306" s="5">
        <v>992</v>
      </c>
      <c r="B306" s="6">
        <v>0.74187700000000001</v>
      </c>
      <c r="C306" s="6">
        <f t="shared" si="28"/>
        <v>0.70787699999999998</v>
      </c>
      <c r="D306" s="6">
        <f t="shared" si="29"/>
        <v>702.21398399999998</v>
      </c>
      <c r="E306" s="6">
        <f t="shared" si="33"/>
        <v>-114.55780100000003</v>
      </c>
      <c r="F306" s="6">
        <f t="shared" si="34"/>
        <v>-2.7719999999999967E-3</v>
      </c>
      <c r="G306" s="6">
        <f t="shared" si="30"/>
        <v>495.2817359094476</v>
      </c>
      <c r="H306" s="7">
        <f t="shared" si="31"/>
        <v>3.2652241392982151E-13</v>
      </c>
      <c r="I306" s="8">
        <f t="shared" si="32"/>
        <v>3.2652241392982151E-13</v>
      </c>
    </row>
    <row r="307" spans="1:9" x14ac:dyDescent="0.2">
      <c r="A307" s="5">
        <v>990</v>
      </c>
      <c r="B307" s="6">
        <v>0.74682499999999996</v>
      </c>
      <c r="C307" s="6">
        <f t="shared" si="28"/>
        <v>0.71282499999999993</v>
      </c>
      <c r="D307" s="6">
        <f t="shared" si="29"/>
        <v>705.69674999999995</v>
      </c>
      <c r="E307" s="6">
        <f t="shared" si="33"/>
        <v>-115.97850300000003</v>
      </c>
      <c r="F307" s="6">
        <f t="shared" si="34"/>
        <v>-2.8859999999999997E-3</v>
      </c>
      <c r="G307" s="6">
        <f t="shared" si="30"/>
        <v>497.9380158204151</v>
      </c>
      <c r="H307" s="7">
        <f t="shared" si="31"/>
        <v>3.1530646019274283E-13</v>
      </c>
      <c r="I307" s="8">
        <f t="shared" si="32"/>
        <v>3.1530646019274283E-13</v>
      </c>
    </row>
    <row r="308" spans="1:9" x14ac:dyDescent="0.2">
      <c r="A308" s="5">
        <v>988</v>
      </c>
      <c r="B308" s="6">
        <v>0.75342100000000001</v>
      </c>
      <c r="C308" s="6">
        <f t="shared" si="28"/>
        <v>0.71942099999999998</v>
      </c>
      <c r="D308" s="6">
        <f t="shared" si="29"/>
        <v>710.78794800000003</v>
      </c>
      <c r="E308" s="6">
        <f t="shared" si="33"/>
        <v>-117.41074900000004</v>
      </c>
      <c r="F308" s="6">
        <f t="shared" si="34"/>
        <v>-3.6227500000000079E-3</v>
      </c>
      <c r="G308" s="6">
        <f t="shared" si="30"/>
        <v>501.46581458289324</v>
      </c>
      <c r="H308" s="7">
        <f t="shared" si="31"/>
        <v>2.5296292727311498E-13</v>
      </c>
      <c r="I308" s="8">
        <f t="shared" si="32"/>
        <v>2.5296292727311498E-13</v>
      </c>
    </row>
    <row r="309" spans="1:9" x14ac:dyDescent="0.2">
      <c r="A309" s="5">
        <v>986</v>
      </c>
      <c r="B309" s="6">
        <v>0.76131599999999999</v>
      </c>
      <c r="C309" s="6">
        <f t="shared" si="28"/>
        <v>0.72731599999999996</v>
      </c>
      <c r="D309" s="6">
        <f t="shared" si="29"/>
        <v>717.13357599999995</v>
      </c>
      <c r="E309" s="6">
        <f t="shared" si="33"/>
        <v>-118.85748600000004</v>
      </c>
      <c r="F309" s="6">
        <f t="shared" si="34"/>
        <v>-3.166749999999996E-3</v>
      </c>
      <c r="G309" s="6">
        <f t="shared" si="30"/>
        <v>505.67257934786664</v>
      </c>
      <c r="H309" s="7">
        <f t="shared" si="31"/>
        <v>2.9181629300837149E-13</v>
      </c>
      <c r="I309" s="8">
        <f t="shared" si="32"/>
        <v>2.9181629300837149E-13</v>
      </c>
    </row>
    <row r="310" spans="1:9" x14ac:dyDescent="0.2">
      <c r="A310" s="5">
        <v>984</v>
      </c>
      <c r="B310" s="6">
        <v>0.76608799999999999</v>
      </c>
      <c r="C310" s="6">
        <f t="shared" si="28"/>
        <v>0.73208799999999996</v>
      </c>
      <c r="D310" s="6">
        <f t="shared" si="29"/>
        <v>720.37459200000001</v>
      </c>
      <c r="E310" s="6">
        <f t="shared" si="33"/>
        <v>-120.31689000000004</v>
      </c>
      <c r="F310" s="6">
        <f t="shared" si="34"/>
        <v>-2.6140000000000052E-3</v>
      </c>
      <c r="G310" s="6">
        <f t="shared" si="30"/>
        <v>508.20574357566312</v>
      </c>
      <c r="H310" s="7">
        <f t="shared" si="31"/>
        <v>3.5529401930986636E-13</v>
      </c>
      <c r="I310" s="8">
        <f t="shared" si="32"/>
        <v>3.5529401930986636E-13</v>
      </c>
    </row>
    <row r="311" spans="1:9" x14ac:dyDescent="0.2">
      <c r="A311" s="5">
        <v>982</v>
      </c>
      <c r="B311" s="6">
        <v>0.77177200000000001</v>
      </c>
      <c r="C311" s="6">
        <f t="shared" si="28"/>
        <v>0.73777199999999998</v>
      </c>
      <c r="D311" s="6">
        <f t="shared" si="29"/>
        <v>724.49210400000004</v>
      </c>
      <c r="E311" s="6">
        <f t="shared" si="33"/>
        <v>-121.78675000000004</v>
      </c>
      <c r="F311" s="6">
        <f t="shared" si="34"/>
        <v>-2.7234999999999898E-3</v>
      </c>
      <c r="G311" s="6">
        <f t="shared" si="30"/>
        <v>511.21166507080039</v>
      </c>
      <c r="H311" s="7">
        <f t="shared" si="31"/>
        <v>3.4302619572687304E-13</v>
      </c>
      <c r="I311" s="8">
        <f t="shared" si="32"/>
        <v>3.4302619572687304E-13</v>
      </c>
    </row>
    <row r="312" spans="1:9" x14ac:dyDescent="0.2">
      <c r="A312" s="5">
        <v>980</v>
      </c>
      <c r="B312" s="6">
        <v>0.77698199999999995</v>
      </c>
      <c r="C312" s="6">
        <f t="shared" si="28"/>
        <v>0.74298199999999992</v>
      </c>
      <c r="D312" s="6">
        <f t="shared" si="29"/>
        <v>728.12235999999996</v>
      </c>
      <c r="E312" s="6">
        <f t="shared" si="33"/>
        <v>-123.26750400000005</v>
      </c>
      <c r="F312" s="6">
        <f t="shared" si="34"/>
        <v>-3.1489999999999851E-3</v>
      </c>
      <c r="G312" s="6">
        <f t="shared" si="30"/>
        <v>513.95649682830663</v>
      </c>
      <c r="H312" s="7">
        <f t="shared" si="31"/>
        <v>2.9826865162586947E-13</v>
      </c>
      <c r="I312" s="8">
        <f t="shared" si="32"/>
        <v>2.9826865162586947E-13</v>
      </c>
    </row>
    <row r="313" spans="1:9" x14ac:dyDescent="0.2">
      <c r="A313" s="5">
        <v>978</v>
      </c>
      <c r="B313" s="6">
        <v>0.78436799999999995</v>
      </c>
      <c r="C313" s="6">
        <f t="shared" si="28"/>
        <v>0.75036799999999992</v>
      </c>
      <c r="D313" s="6">
        <f t="shared" si="29"/>
        <v>733.85990399999991</v>
      </c>
      <c r="E313" s="6">
        <f t="shared" si="33"/>
        <v>-124.76085400000005</v>
      </c>
      <c r="F313" s="6">
        <f t="shared" si="34"/>
        <v>-3.3289999999999986E-3</v>
      </c>
      <c r="G313" s="6">
        <f t="shared" si="30"/>
        <v>517.83295848683656</v>
      </c>
      <c r="H313" s="7">
        <f t="shared" si="31"/>
        <v>2.8426919825094815E-13</v>
      </c>
      <c r="I313" s="8">
        <f t="shared" si="32"/>
        <v>2.8426919825094815E-13</v>
      </c>
    </row>
    <row r="314" spans="1:9" x14ac:dyDescent="0.2">
      <c r="A314" s="5">
        <v>976</v>
      </c>
      <c r="B314" s="6">
        <v>0.79029799999999994</v>
      </c>
      <c r="C314" s="6">
        <f t="shared" si="28"/>
        <v>0.75629799999999991</v>
      </c>
      <c r="D314" s="6">
        <f t="shared" si="29"/>
        <v>738.14684799999986</v>
      </c>
      <c r="E314" s="6">
        <f t="shared" si="33"/>
        <v>-126.26752000000005</v>
      </c>
      <c r="F314" s="6">
        <f t="shared" si="34"/>
        <v>-3.9912500000000017E-3</v>
      </c>
      <c r="G314" s="6">
        <f t="shared" si="30"/>
        <v>520.93339440276964</v>
      </c>
      <c r="H314" s="7">
        <f t="shared" si="31"/>
        <v>2.3852130592815856E-13</v>
      </c>
      <c r="I314" s="8">
        <f t="shared" si="32"/>
        <v>2.3852130592815856E-13</v>
      </c>
    </row>
    <row r="315" spans="1:9" x14ac:dyDescent="0.2">
      <c r="A315" s="5">
        <v>974</v>
      </c>
      <c r="B315" s="6">
        <v>0.80033299999999996</v>
      </c>
      <c r="C315" s="6">
        <f t="shared" si="28"/>
        <v>0.76633299999999993</v>
      </c>
      <c r="D315" s="6">
        <f t="shared" si="29"/>
        <v>746.40834199999995</v>
      </c>
      <c r="E315" s="6">
        <f t="shared" si="33"/>
        <v>-127.79015100000005</v>
      </c>
      <c r="F315" s="6">
        <f t="shared" si="34"/>
        <v>-4.3905000000000194E-3</v>
      </c>
      <c r="G315" s="6">
        <f t="shared" si="30"/>
        <v>526.16001486084554</v>
      </c>
      <c r="H315" s="7">
        <f t="shared" si="31"/>
        <v>2.1900688640480877E-13</v>
      </c>
      <c r="I315" s="8">
        <f t="shared" si="32"/>
        <v>2.1900688640480877E-13</v>
      </c>
    </row>
    <row r="316" spans="1:9" x14ac:dyDescent="0.2">
      <c r="A316" s="5">
        <v>972</v>
      </c>
      <c r="B316" s="6">
        <v>0.80786000000000002</v>
      </c>
      <c r="C316" s="6">
        <f t="shared" si="28"/>
        <v>0.77385999999999999</v>
      </c>
      <c r="D316" s="6">
        <f t="shared" si="29"/>
        <v>752.19191999999998</v>
      </c>
      <c r="E316" s="6">
        <f t="shared" si="33"/>
        <v>-129.33034400000005</v>
      </c>
      <c r="F316" s="6">
        <f t="shared" si="34"/>
        <v>-4.6184999999999976E-3</v>
      </c>
      <c r="G316" s="6">
        <f t="shared" si="30"/>
        <v>530.06531683373407</v>
      </c>
      <c r="H316" s="7">
        <f t="shared" si="31"/>
        <v>2.0974052549977557E-13</v>
      </c>
      <c r="I316" s="8">
        <f t="shared" si="32"/>
        <v>2.0974052549977557E-13</v>
      </c>
    </row>
    <row r="317" spans="1:9" x14ac:dyDescent="0.2">
      <c r="A317" s="5">
        <v>970</v>
      </c>
      <c r="B317" s="6">
        <v>0.81880699999999995</v>
      </c>
      <c r="C317" s="6">
        <f t="shared" si="28"/>
        <v>0.78480699999999992</v>
      </c>
      <c r="D317" s="6">
        <f t="shared" si="29"/>
        <v>761.26278999999988</v>
      </c>
      <c r="E317" s="6">
        <f t="shared" si="33"/>
        <v>-130.88901100000004</v>
      </c>
      <c r="F317" s="6">
        <f t="shared" si="34"/>
        <v>-5.6182499999999913E-3</v>
      </c>
      <c r="G317" s="6">
        <f t="shared" si="30"/>
        <v>535.72315455915054</v>
      </c>
      <c r="H317" s="7">
        <f t="shared" si="31"/>
        <v>1.7425821790539529E-13</v>
      </c>
      <c r="I317" s="8">
        <f t="shared" si="32"/>
        <v>1.7425821790539529E-13</v>
      </c>
    </row>
    <row r="318" spans="1:9" x14ac:dyDescent="0.2">
      <c r="A318" s="5">
        <v>968</v>
      </c>
      <c r="B318" s="6">
        <v>0.83033299999999999</v>
      </c>
      <c r="C318" s="6">
        <f t="shared" si="28"/>
        <v>0.79633299999999996</v>
      </c>
      <c r="D318" s="6">
        <f t="shared" si="29"/>
        <v>770.85034399999995</v>
      </c>
      <c r="E318" s="6">
        <f t="shared" si="33"/>
        <v>-132.47015100000004</v>
      </c>
      <c r="F318" s="6">
        <f t="shared" si="34"/>
        <v>-5.2280000000000104E-3</v>
      </c>
      <c r="G318" s="6">
        <f t="shared" si="30"/>
        <v>541.65719012863553</v>
      </c>
      <c r="H318" s="7">
        <f t="shared" si="31"/>
        <v>1.8934020581394634E-13</v>
      </c>
      <c r="I318" s="8">
        <f t="shared" si="32"/>
        <v>1.8934020581394634E-13</v>
      </c>
    </row>
    <row r="319" spans="1:9" x14ac:dyDescent="0.2">
      <c r="A319" s="5">
        <v>966</v>
      </c>
      <c r="B319" s="6">
        <v>0.83971899999999999</v>
      </c>
      <c r="C319" s="6">
        <f t="shared" si="28"/>
        <v>0.80571899999999996</v>
      </c>
      <c r="D319" s="6">
        <f t="shared" si="29"/>
        <v>778.32455399999992</v>
      </c>
      <c r="E319" s="6">
        <f t="shared" si="33"/>
        <v>-134.07220300000003</v>
      </c>
      <c r="F319" s="6">
        <f t="shared" si="34"/>
        <v>-5.1622500000000071E-3</v>
      </c>
      <c r="G319" s="6">
        <f t="shared" si="30"/>
        <v>546.47069800501811</v>
      </c>
      <c r="H319" s="7">
        <f t="shared" si="31"/>
        <v>1.9345580149478988E-13</v>
      </c>
      <c r="I319" s="8">
        <f t="shared" si="32"/>
        <v>1.9345580149478988E-13</v>
      </c>
    </row>
    <row r="320" spans="1:9" x14ac:dyDescent="0.2">
      <c r="A320" s="5">
        <v>964</v>
      </c>
      <c r="B320" s="6">
        <v>0.85098200000000002</v>
      </c>
      <c r="C320" s="6">
        <f t="shared" si="28"/>
        <v>0.81698199999999999</v>
      </c>
      <c r="D320" s="6">
        <f t="shared" si="29"/>
        <v>787.57064800000001</v>
      </c>
      <c r="E320" s="6">
        <f t="shared" si="33"/>
        <v>-135.69490400000004</v>
      </c>
      <c r="F320" s="6">
        <f t="shared" si="34"/>
        <v>-5.1404999999999923E-3</v>
      </c>
      <c r="G320" s="6">
        <f t="shared" si="30"/>
        <v>552.22427888885545</v>
      </c>
      <c r="H320" s="7">
        <f t="shared" si="31"/>
        <v>1.9631977360471068E-13</v>
      </c>
      <c r="I320" s="8">
        <f t="shared" si="32"/>
        <v>1.9631977360471068E-13</v>
      </c>
    </row>
    <row r="321" spans="1:9" x14ac:dyDescent="0.2">
      <c r="A321" s="5">
        <v>962</v>
      </c>
      <c r="B321" s="6">
        <v>0.86028099999999996</v>
      </c>
      <c r="C321" s="6">
        <f t="shared" si="28"/>
        <v>0.82628099999999993</v>
      </c>
      <c r="D321" s="6">
        <f t="shared" si="29"/>
        <v>794.88232199999993</v>
      </c>
      <c r="E321" s="6">
        <f t="shared" si="33"/>
        <v>-137.33816700000003</v>
      </c>
      <c r="F321" s="6">
        <f t="shared" si="34"/>
        <v>-5.3159999999999874E-3</v>
      </c>
      <c r="G321" s="6">
        <f t="shared" si="30"/>
        <v>556.95597376276135</v>
      </c>
      <c r="H321" s="7">
        <f t="shared" si="31"/>
        <v>1.9146518047785051E-13</v>
      </c>
      <c r="I321" s="8">
        <f t="shared" si="32"/>
        <v>1.9146518047785051E-13</v>
      </c>
    </row>
    <row r="322" spans="1:9" x14ac:dyDescent="0.2">
      <c r="A322" s="5">
        <v>960</v>
      </c>
      <c r="B322" s="6">
        <v>0.87224599999999997</v>
      </c>
      <c r="C322" s="6">
        <f t="shared" ref="C322:C385" si="35">B322-$B$2</f>
        <v>0.83824599999999994</v>
      </c>
      <c r="D322" s="6">
        <f t="shared" ref="D322:D385" si="36">A322*C322</f>
        <v>804.71615999999995</v>
      </c>
      <c r="E322" s="6">
        <f t="shared" si="33"/>
        <v>-139.00269400000002</v>
      </c>
      <c r="F322" s="6">
        <f t="shared" si="34"/>
        <v>-5.6622500000000076E-3</v>
      </c>
      <c r="G322" s="6">
        <f t="shared" ref="G322:G385" si="37">(A322-$L$5)*C322-E322</f>
        <v>563.0203037010649</v>
      </c>
      <c r="H322" s="7">
        <f t="shared" ref="H322:H385" si="38">IF(ABS(F322)&lt;0.000000001,"",-(G322)/(2*$L$4*F322)*0.000000000001)</f>
        <v>1.8171422556805243E-13</v>
      </c>
      <c r="I322" s="8">
        <f t="shared" ref="I322:I385" si="39">IF(AND(B322&gt;=0.5,B322&lt;=2.5,ISNUMBER(H322),H322&gt;0),H322,"")</f>
        <v>1.8171422556805243E-13</v>
      </c>
    </row>
    <row r="323" spans="1:9" x14ac:dyDescent="0.2">
      <c r="A323" s="5">
        <v>958</v>
      </c>
      <c r="B323" s="6">
        <v>0.88292999999999999</v>
      </c>
      <c r="C323" s="6">
        <f t="shared" si="35"/>
        <v>0.84892999999999996</v>
      </c>
      <c r="D323" s="6">
        <f t="shared" si="36"/>
        <v>813.27494000000002</v>
      </c>
      <c r="E323" s="6">
        <f t="shared" ref="E323:E386" si="40">E322+(C322+C323)/2*(A323-A322)</f>
        <v>-140.68987000000001</v>
      </c>
      <c r="F323" s="6">
        <f t="shared" ref="F323:F386" si="41">(B324-B322)/(A324-A322)</f>
        <v>-5.1710000000000089E-3</v>
      </c>
      <c r="G323" s="6">
        <f t="shared" si="37"/>
        <v>568.41400474083389</v>
      </c>
      <c r="H323" s="7">
        <f t="shared" si="38"/>
        <v>2.0088344295447764E-13</v>
      </c>
      <c r="I323" s="8">
        <f t="shared" si="39"/>
        <v>2.0088344295447764E-13</v>
      </c>
    </row>
    <row r="324" spans="1:9" x14ac:dyDescent="0.2">
      <c r="A324" s="5">
        <v>956</v>
      </c>
      <c r="B324" s="6">
        <v>0.89293</v>
      </c>
      <c r="C324" s="6">
        <f t="shared" si="35"/>
        <v>0.85892999999999997</v>
      </c>
      <c r="D324" s="6">
        <f t="shared" si="36"/>
        <v>821.13707999999997</v>
      </c>
      <c r="E324" s="6">
        <f t="shared" si="40"/>
        <v>-142.39773000000002</v>
      </c>
      <c r="F324" s="6">
        <f t="shared" si="41"/>
        <v>-3.9955000000000129E-3</v>
      </c>
      <c r="G324" s="6">
        <f t="shared" si="37"/>
        <v>573.44239583009733</v>
      </c>
      <c r="H324" s="7">
        <f t="shared" si="38"/>
        <v>2.6228446870698078E-13</v>
      </c>
      <c r="I324" s="8">
        <f t="shared" si="39"/>
        <v>2.6228446870698078E-13</v>
      </c>
    </row>
    <row r="325" spans="1:9" x14ac:dyDescent="0.2">
      <c r="A325" s="5">
        <v>954</v>
      </c>
      <c r="B325" s="6">
        <v>0.89891200000000004</v>
      </c>
      <c r="C325" s="6">
        <f t="shared" si="35"/>
        <v>0.86491200000000001</v>
      </c>
      <c r="D325" s="6">
        <f t="shared" si="36"/>
        <v>825.12604799999997</v>
      </c>
      <c r="E325" s="6">
        <f t="shared" si="40"/>
        <v>-144.12157200000001</v>
      </c>
      <c r="F325" s="6">
        <f t="shared" si="41"/>
        <v>-4.0702499999999975E-3</v>
      </c>
      <c r="G325" s="6">
        <f t="shared" si="37"/>
        <v>576.43841537969467</v>
      </c>
      <c r="H325" s="7">
        <f t="shared" si="38"/>
        <v>2.5881279445836976E-13</v>
      </c>
      <c r="I325" s="8">
        <f t="shared" si="39"/>
        <v>2.5881279445836976E-13</v>
      </c>
    </row>
    <row r="326" spans="1:9" x14ac:dyDescent="0.2">
      <c r="A326" s="5">
        <v>952</v>
      </c>
      <c r="B326" s="6">
        <v>0.90921099999999999</v>
      </c>
      <c r="C326" s="6">
        <f t="shared" si="35"/>
        <v>0.87521099999999996</v>
      </c>
      <c r="D326" s="6">
        <f t="shared" si="36"/>
        <v>833.200872</v>
      </c>
      <c r="E326" s="6">
        <f t="shared" si="40"/>
        <v>-145.86169500000003</v>
      </c>
      <c r="F326" s="6">
        <f t="shared" si="41"/>
        <v>-5.5087499999999789E-3</v>
      </c>
      <c r="G326" s="6">
        <f t="shared" si="37"/>
        <v>581.57595936252699</v>
      </c>
      <c r="H326" s="7">
        <f t="shared" si="38"/>
        <v>1.9293334479918617E-13</v>
      </c>
      <c r="I326" s="8">
        <f t="shared" si="39"/>
        <v>1.9293334479918617E-13</v>
      </c>
    </row>
    <row r="327" spans="1:9" x14ac:dyDescent="0.2">
      <c r="A327" s="5">
        <v>950</v>
      </c>
      <c r="B327" s="6">
        <v>0.92094699999999996</v>
      </c>
      <c r="C327" s="6">
        <f t="shared" si="35"/>
        <v>0.88694699999999993</v>
      </c>
      <c r="D327" s="6">
        <f t="shared" si="36"/>
        <v>842.59964999999988</v>
      </c>
      <c r="E327" s="6">
        <f t="shared" si="40"/>
        <v>-147.62385300000003</v>
      </c>
      <c r="F327" s="6">
        <f t="shared" si="41"/>
        <v>-4.1315000000000102E-3</v>
      </c>
      <c r="G327" s="6">
        <f t="shared" si="37"/>
        <v>587.40686314488642</v>
      </c>
      <c r="H327" s="7">
        <f t="shared" si="38"/>
        <v>2.5982753348121525E-13</v>
      </c>
      <c r="I327" s="8">
        <f t="shared" si="39"/>
        <v>2.5982753348121525E-13</v>
      </c>
    </row>
    <row r="328" spans="1:9" x14ac:dyDescent="0.2">
      <c r="A328" s="5">
        <v>948</v>
      </c>
      <c r="B328" s="6">
        <v>0.92573700000000003</v>
      </c>
      <c r="C328" s="6">
        <f t="shared" si="35"/>
        <v>0.891737</v>
      </c>
      <c r="D328" s="6">
        <f t="shared" si="36"/>
        <v>845.36667599999998</v>
      </c>
      <c r="E328" s="6">
        <f t="shared" si="40"/>
        <v>-149.40253700000002</v>
      </c>
      <c r="F328" s="6">
        <f t="shared" si="41"/>
        <v>-2.2765000000000146E-3</v>
      </c>
      <c r="G328" s="6">
        <f t="shared" si="37"/>
        <v>589.77714247664358</v>
      </c>
      <c r="H328" s="7">
        <f t="shared" si="38"/>
        <v>4.734500792458669E-13</v>
      </c>
      <c r="I328" s="8">
        <f t="shared" si="39"/>
        <v>4.734500792458669E-13</v>
      </c>
    </row>
    <row r="329" spans="1:9" x14ac:dyDescent="0.2">
      <c r="A329" s="5">
        <v>946</v>
      </c>
      <c r="B329" s="6">
        <v>0.93005300000000002</v>
      </c>
      <c r="C329" s="6">
        <f t="shared" si="35"/>
        <v>0.89605299999999999</v>
      </c>
      <c r="D329" s="6">
        <f t="shared" si="36"/>
        <v>847.66613799999993</v>
      </c>
      <c r="E329" s="6">
        <f t="shared" si="40"/>
        <v>-151.19032700000002</v>
      </c>
      <c r="F329" s="6">
        <f t="shared" si="41"/>
        <v>-3.3377500000000004E-3</v>
      </c>
      <c r="G329" s="6">
        <f t="shared" si="37"/>
        <v>591.90423607076968</v>
      </c>
      <c r="H329" s="7">
        <f t="shared" si="38"/>
        <v>3.2407949602235898E-13</v>
      </c>
      <c r="I329" s="8">
        <f t="shared" si="39"/>
        <v>3.2407949602235898E-13</v>
      </c>
    </row>
    <row r="330" spans="1:9" x14ac:dyDescent="0.2">
      <c r="A330" s="5">
        <v>944</v>
      </c>
      <c r="B330" s="6">
        <v>0.93908800000000003</v>
      </c>
      <c r="C330" s="6">
        <f t="shared" si="35"/>
        <v>0.905088</v>
      </c>
      <c r="D330" s="6">
        <f t="shared" si="36"/>
        <v>854.40307199999995</v>
      </c>
      <c r="E330" s="6">
        <f t="shared" si="40"/>
        <v>-152.99146800000003</v>
      </c>
      <c r="F330" s="6">
        <f t="shared" si="41"/>
        <v>-4.819999999999991E-3</v>
      </c>
      <c r="G330" s="6">
        <f t="shared" si="37"/>
        <v>596.33896741991907</v>
      </c>
      <c r="H330" s="7">
        <f t="shared" si="38"/>
        <v>2.2609973953401404E-13</v>
      </c>
      <c r="I330" s="8">
        <f t="shared" si="39"/>
        <v>2.2609973953401404E-13</v>
      </c>
    </row>
    <row r="331" spans="1:9" x14ac:dyDescent="0.2">
      <c r="A331" s="5">
        <v>942</v>
      </c>
      <c r="B331" s="6">
        <v>0.94933299999999998</v>
      </c>
      <c r="C331" s="6">
        <f t="shared" si="35"/>
        <v>0.91533299999999995</v>
      </c>
      <c r="D331" s="6">
        <f t="shared" si="36"/>
        <v>862.24368599999991</v>
      </c>
      <c r="E331" s="6">
        <f t="shared" si="40"/>
        <v>-154.81188900000004</v>
      </c>
      <c r="F331" s="6">
        <f t="shared" si="41"/>
        <v>-4.9954999999999861E-3</v>
      </c>
      <c r="G331" s="6">
        <f t="shared" si="37"/>
        <v>601.34712409086944</v>
      </c>
      <c r="H331" s="7">
        <f t="shared" si="38"/>
        <v>2.1998860527503669E-13</v>
      </c>
      <c r="I331" s="8">
        <f t="shared" si="39"/>
        <v>2.1998860527503669E-13</v>
      </c>
    </row>
    <row r="332" spans="1:9" x14ac:dyDescent="0.2">
      <c r="A332" s="5">
        <v>940</v>
      </c>
      <c r="B332" s="6">
        <v>0.95906999999999998</v>
      </c>
      <c r="C332" s="6">
        <f t="shared" si="35"/>
        <v>0.92506999999999995</v>
      </c>
      <c r="D332" s="6">
        <f t="shared" si="36"/>
        <v>869.56579999999997</v>
      </c>
      <c r="E332" s="6">
        <f t="shared" si="40"/>
        <v>-156.65229200000005</v>
      </c>
      <c r="F332" s="6">
        <f t="shared" si="41"/>
        <v>-4.4825000000000004E-3</v>
      </c>
      <c r="G332" s="6">
        <f t="shared" si="37"/>
        <v>606.08747649448514</v>
      </c>
      <c r="H332" s="7">
        <f t="shared" si="38"/>
        <v>2.4709782540226497E-13</v>
      </c>
      <c r="I332" s="8">
        <f t="shared" si="39"/>
        <v>2.4709782540226497E-13</v>
      </c>
    </row>
    <row r="333" spans="1:9" x14ac:dyDescent="0.2">
      <c r="A333" s="5">
        <v>938</v>
      </c>
      <c r="B333" s="6">
        <v>0.96726299999999998</v>
      </c>
      <c r="C333" s="6">
        <f t="shared" si="35"/>
        <v>0.93326299999999995</v>
      </c>
      <c r="D333" s="6">
        <f t="shared" si="36"/>
        <v>875.40069399999993</v>
      </c>
      <c r="E333" s="6">
        <f t="shared" si="40"/>
        <v>-158.51062500000003</v>
      </c>
      <c r="F333" s="6">
        <f t="shared" si="41"/>
        <v>-4.3289999999999995E-3</v>
      </c>
      <c r="G333" s="6">
        <f t="shared" si="37"/>
        <v>610.05976331391855</v>
      </c>
      <c r="H333" s="7">
        <f t="shared" si="38"/>
        <v>2.5753645147927894E-13</v>
      </c>
      <c r="I333" s="8">
        <f t="shared" si="39"/>
        <v>2.5753645147927894E-13</v>
      </c>
    </row>
    <row r="334" spans="1:9" x14ac:dyDescent="0.2">
      <c r="A334" s="5">
        <v>936</v>
      </c>
      <c r="B334" s="6">
        <v>0.97638599999999998</v>
      </c>
      <c r="C334" s="6">
        <f t="shared" si="35"/>
        <v>0.94238599999999995</v>
      </c>
      <c r="D334" s="6">
        <f t="shared" si="36"/>
        <v>882.07329599999991</v>
      </c>
      <c r="E334" s="6">
        <f t="shared" si="40"/>
        <v>-160.38627400000004</v>
      </c>
      <c r="F334" s="6">
        <f t="shared" si="41"/>
        <v>-4.4254999999999989E-3</v>
      </c>
      <c r="G334" s="6">
        <f t="shared" si="37"/>
        <v>614.46470450465358</v>
      </c>
      <c r="H334" s="7">
        <f t="shared" si="38"/>
        <v>2.5373975010284539E-13</v>
      </c>
      <c r="I334" s="8">
        <f t="shared" si="39"/>
        <v>2.5373975010284539E-13</v>
      </c>
    </row>
    <row r="335" spans="1:9" x14ac:dyDescent="0.2">
      <c r="A335" s="5">
        <v>934</v>
      </c>
      <c r="B335" s="6">
        <v>0.98496499999999998</v>
      </c>
      <c r="C335" s="6">
        <f t="shared" si="35"/>
        <v>0.95096499999999995</v>
      </c>
      <c r="D335" s="6">
        <f t="shared" si="36"/>
        <v>888.20130999999992</v>
      </c>
      <c r="E335" s="6">
        <f t="shared" si="40"/>
        <v>-162.27962500000004</v>
      </c>
      <c r="F335" s="6">
        <f t="shared" si="41"/>
        <v>-3.6227500000000079E-3</v>
      </c>
      <c r="G335" s="6">
        <f t="shared" si="37"/>
        <v>618.58982322013253</v>
      </c>
      <c r="H335" s="7">
        <f t="shared" si="38"/>
        <v>3.1204578240947453E-13</v>
      </c>
      <c r="I335" s="8">
        <f t="shared" si="39"/>
        <v>3.1204578240947453E-13</v>
      </c>
    </row>
    <row r="336" spans="1:9" x14ac:dyDescent="0.2">
      <c r="A336" s="5">
        <v>932</v>
      </c>
      <c r="B336" s="6">
        <v>0.99087700000000001</v>
      </c>
      <c r="C336" s="6">
        <f t="shared" si="35"/>
        <v>0.95687699999999998</v>
      </c>
      <c r="D336" s="6">
        <f t="shared" si="36"/>
        <v>891.80936399999996</v>
      </c>
      <c r="E336" s="6">
        <f t="shared" si="40"/>
        <v>-164.18746700000003</v>
      </c>
      <c r="F336" s="6">
        <f t="shared" si="41"/>
        <v>-4.1360000000000008E-3</v>
      </c>
      <c r="G336" s="6">
        <f t="shared" si="37"/>
        <v>621.42072003210501</v>
      </c>
      <c r="H336" s="7">
        <f t="shared" si="38"/>
        <v>2.7457381062872958E-13</v>
      </c>
      <c r="I336" s="8">
        <f t="shared" si="39"/>
        <v>2.7457381062872958E-13</v>
      </c>
    </row>
    <row r="337" spans="1:9" x14ac:dyDescent="0.2">
      <c r="A337" s="5">
        <v>930</v>
      </c>
      <c r="B337" s="6">
        <v>1.001509</v>
      </c>
      <c r="C337" s="6">
        <f t="shared" si="35"/>
        <v>0.96750899999999995</v>
      </c>
      <c r="D337" s="6">
        <f t="shared" si="36"/>
        <v>899.78336999999999</v>
      </c>
      <c r="E337" s="6">
        <f t="shared" si="40"/>
        <v>-166.11185300000002</v>
      </c>
      <c r="F337" s="6">
        <f t="shared" si="41"/>
        <v>-5.3464999999999763E-3</v>
      </c>
      <c r="G337" s="6">
        <f t="shared" si="37"/>
        <v>626.49047343820985</v>
      </c>
      <c r="H337" s="7">
        <f t="shared" si="38"/>
        <v>2.1414049957745921E-13</v>
      </c>
      <c r="I337" s="8">
        <f t="shared" si="39"/>
        <v>2.1414049957745921E-13</v>
      </c>
    </row>
    <row r="338" spans="1:9" x14ac:dyDescent="0.2">
      <c r="A338" s="5">
        <v>928</v>
      </c>
      <c r="B338" s="6">
        <v>1.0122629999999999</v>
      </c>
      <c r="C338" s="6">
        <f t="shared" si="35"/>
        <v>0.97826299999999988</v>
      </c>
      <c r="D338" s="6">
        <f t="shared" si="36"/>
        <v>907.82806399999993</v>
      </c>
      <c r="E338" s="6">
        <f t="shared" si="40"/>
        <v>-168.05762500000003</v>
      </c>
      <c r="F338" s="6">
        <f t="shared" si="41"/>
        <v>-4.2674999999999796E-3</v>
      </c>
      <c r="G338" s="6">
        <f t="shared" si="37"/>
        <v>631.59689321560359</v>
      </c>
      <c r="H338" s="7">
        <f t="shared" si="38"/>
        <v>2.7047078816140906E-13</v>
      </c>
      <c r="I338" s="8">
        <f t="shared" si="39"/>
        <v>2.7047078816140906E-13</v>
      </c>
    </row>
    <row r="339" spans="1:9" x14ac:dyDescent="0.2">
      <c r="A339" s="5">
        <v>926</v>
      </c>
      <c r="B339" s="6">
        <v>1.0185789999999999</v>
      </c>
      <c r="C339" s="6">
        <f t="shared" si="35"/>
        <v>0.98457899999999987</v>
      </c>
      <c r="D339" s="6">
        <f t="shared" si="36"/>
        <v>911.72015399999987</v>
      </c>
      <c r="E339" s="6">
        <f t="shared" si="40"/>
        <v>-170.02046700000002</v>
      </c>
      <c r="F339" s="6">
        <f t="shared" si="41"/>
        <v>-4.2457500000000481E-3</v>
      </c>
      <c r="G339" s="6">
        <f t="shared" si="37"/>
        <v>634.58334502758237</v>
      </c>
      <c r="H339" s="7">
        <f t="shared" si="38"/>
        <v>2.7314179720982383E-13</v>
      </c>
      <c r="I339" s="8">
        <f t="shared" si="39"/>
        <v>2.7314179720982383E-13</v>
      </c>
    </row>
    <row r="340" spans="1:9" x14ac:dyDescent="0.2">
      <c r="A340" s="5">
        <v>924</v>
      </c>
      <c r="B340" s="6">
        <v>1.0292460000000001</v>
      </c>
      <c r="C340" s="6">
        <f t="shared" si="35"/>
        <v>0.99524600000000008</v>
      </c>
      <c r="D340" s="6">
        <f t="shared" si="36"/>
        <v>919.60730400000011</v>
      </c>
      <c r="E340" s="6">
        <f t="shared" si="40"/>
        <v>-172.00029200000003</v>
      </c>
      <c r="F340" s="6">
        <f t="shared" si="41"/>
        <v>-4.5437500000000131E-3</v>
      </c>
      <c r="G340" s="6">
        <f t="shared" si="37"/>
        <v>639.60578580249967</v>
      </c>
      <c r="H340" s="7">
        <f t="shared" si="38"/>
        <v>2.5724791693915467E-13</v>
      </c>
      <c r="I340" s="8">
        <f t="shared" si="39"/>
        <v>2.5724791693915467E-13</v>
      </c>
    </row>
    <row r="341" spans="1:9" x14ac:dyDescent="0.2">
      <c r="A341" s="5">
        <v>922</v>
      </c>
      <c r="B341" s="6">
        <v>1.036754</v>
      </c>
      <c r="C341" s="6">
        <f t="shared" si="35"/>
        <v>1.0027539999999999</v>
      </c>
      <c r="D341" s="6">
        <f t="shared" si="36"/>
        <v>924.53918799999997</v>
      </c>
      <c r="E341" s="6">
        <f t="shared" si="40"/>
        <v>-173.99829200000002</v>
      </c>
      <c r="F341" s="6">
        <f t="shared" si="41"/>
        <v>-4.3989999999999863E-3</v>
      </c>
      <c r="G341" s="6">
        <f t="shared" si="37"/>
        <v>643.12582983231857</v>
      </c>
      <c r="H341" s="7">
        <f t="shared" si="38"/>
        <v>2.6717505151037808E-13</v>
      </c>
      <c r="I341" s="8">
        <f t="shared" si="39"/>
        <v>2.6717505151037808E-13</v>
      </c>
    </row>
    <row r="342" spans="1:9" x14ac:dyDescent="0.2">
      <c r="A342" s="5">
        <v>920</v>
      </c>
      <c r="B342" s="6">
        <v>1.0468420000000001</v>
      </c>
      <c r="C342" s="6">
        <f t="shared" si="35"/>
        <v>1.012842</v>
      </c>
      <c r="D342" s="6">
        <f t="shared" si="36"/>
        <v>931.81464000000005</v>
      </c>
      <c r="E342" s="6">
        <f t="shared" si="40"/>
        <v>-176.01388800000001</v>
      </c>
      <c r="F342" s="6">
        <f t="shared" si="41"/>
        <v>-4.9124999999999863E-3</v>
      </c>
      <c r="G342" s="6">
        <f t="shared" si="37"/>
        <v>647.83530276316742</v>
      </c>
      <c r="H342" s="7">
        <f t="shared" si="38"/>
        <v>2.4099939837625152E-13</v>
      </c>
      <c r="I342" s="8">
        <f t="shared" si="39"/>
        <v>2.4099939837625152E-13</v>
      </c>
    </row>
    <row r="343" spans="1:9" x14ac:dyDescent="0.2">
      <c r="A343" s="5">
        <v>918</v>
      </c>
      <c r="B343" s="6">
        <v>1.0564039999999999</v>
      </c>
      <c r="C343" s="6">
        <f t="shared" si="35"/>
        <v>1.0224039999999999</v>
      </c>
      <c r="D343" s="6">
        <f t="shared" si="36"/>
        <v>938.56687199999988</v>
      </c>
      <c r="E343" s="6">
        <f t="shared" si="40"/>
        <v>-178.04913400000001</v>
      </c>
      <c r="F343" s="6">
        <f t="shared" si="41"/>
        <v>-3.5922499999999635E-3</v>
      </c>
      <c r="G343" s="6">
        <f t="shared" si="37"/>
        <v>652.28009432272097</v>
      </c>
      <c r="H343" s="7">
        <f t="shared" si="38"/>
        <v>3.318344592152817E-13</v>
      </c>
      <c r="I343" s="8">
        <f t="shared" si="39"/>
        <v>3.318344592152817E-13</v>
      </c>
    </row>
    <row r="344" spans="1:9" x14ac:dyDescent="0.2">
      <c r="A344" s="5">
        <v>916</v>
      </c>
      <c r="B344" s="6">
        <v>1.0612109999999999</v>
      </c>
      <c r="C344" s="6">
        <f t="shared" si="35"/>
        <v>1.0272109999999999</v>
      </c>
      <c r="D344" s="6">
        <f t="shared" si="36"/>
        <v>940.92527599999994</v>
      </c>
      <c r="E344" s="6">
        <f t="shared" si="40"/>
        <v>-180.098749</v>
      </c>
      <c r="F344" s="6">
        <f t="shared" si="41"/>
        <v>-2.6710000000000345E-3</v>
      </c>
      <c r="G344" s="6">
        <f t="shared" si="37"/>
        <v>654.50496191932984</v>
      </c>
      <c r="H344" s="7">
        <f t="shared" si="38"/>
        <v>4.4780915354607517E-13</v>
      </c>
      <c r="I344" s="8">
        <f t="shared" si="39"/>
        <v>4.4780915354607517E-13</v>
      </c>
    </row>
    <row r="345" spans="1:9" x14ac:dyDescent="0.2">
      <c r="A345" s="5">
        <v>914</v>
      </c>
      <c r="B345" s="6">
        <v>1.067088</v>
      </c>
      <c r="C345" s="6">
        <f t="shared" si="35"/>
        <v>1.033088</v>
      </c>
      <c r="D345" s="6">
        <f t="shared" si="36"/>
        <v>944.24243200000001</v>
      </c>
      <c r="E345" s="6">
        <f t="shared" si="40"/>
        <v>-182.15904799999998</v>
      </c>
      <c r="F345" s="6">
        <f t="shared" si="41"/>
        <v>-3.3025000000000415E-3</v>
      </c>
      <c r="G345" s="6">
        <f t="shared" si="37"/>
        <v>657.21331336249</v>
      </c>
      <c r="H345" s="7">
        <f t="shared" si="38"/>
        <v>3.6367834119247874E-13</v>
      </c>
      <c r="I345" s="8">
        <f t="shared" si="39"/>
        <v>3.6367834119247874E-13</v>
      </c>
    </row>
    <row r="346" spans="1:9" x14ac:dyDescent="0.2">
      <c r="A346" s="5">
        <v>912</v>
      </c>
      <c r="B346" s="6">
        <v>1.0744210000000001</v>
      </c>
      <c r="C346" s="6">
        <f t="shared" si="35"/>
        <v>1.040421</v>
      </c>
      <c r="D346" s="6">
        <f t="shared" si="36"/>
        <v>948.86395200000004</v>
      </c>
      <c r="E346" s="6">
        <f t="shared" si="40"/>
        <v>-184.23255699999999</v>
      </c>
      <c r="F346" s="6">
        <f t="shared" si="41"/>
        <v>-3.3682500000000171E-3</v>
      </c>
      <c r="G346" s="6">
        <f t="shared" si="37"/>
        <v>660.57798054824684</v>
      </c>
      <c r="H346" s="7">
        <f t="shared" si="38"/>
        <v>3.5840469142109399E-13</v>
      </c>
      <c r="I346" s="8">
        <f t="shared" si="39"/>
        <v>3.5840469142109399E-13</v>
      </c>
    </row>
    <row r="347" spans="1:9" x14ac:dyDescent="0.2">
      <c r="A347" s="5">
        <v>910</v>
      </c>
      <c r="B347" s="6">
        <v>1.0805610000000001</v>
      </c>
      <c r="C347" s="6">
        <f t="shared" si="35"/>
        <v>1.0465610000000001</v>
      </c>
      <c r="D347" s="6">
        <f t="shared" si="36"/>
        <v>952.37051000000008</v>
      </c>
      <c r="E347" s="6">
        <f t="shared" si="40"/>
        <v>-186.31953899999999</v>
      </c>
      <c r="F347" s="6">
        <f t="shared" si="41"/>
        <v>-3.0087500000000045E-3</v>
      </c>
      <c r="G347" s="6">
        <f t="shared" si="37"/>
        <v>663.38297267705457</v>
      </c>
      <c r="H347" s="7">
        <f t="shared" si="38"/>
        <v>4.0293234199778763E-13</v>
      </c>
      <c r="I347" s="8">
        <f t="shared" si="39"/>
        <v>4.0293234199778763E-13</v>
      </c>
    </row>
    <row r="348" spans="1:9" x14ac:dyDescent="0.2">
      <c r="A348" s="5">
        <v>908</v>
      </c>
      <c r="B348" s="6">
        <v>1.0864560000000001</v>
      </c>
      <c r="C348" s="6">
        <f t="shared" si="35"/>
        <v>1.0524560000000001</v>
      </c>
      <c r="D348" s="6">
        <f t="shared" si="36"/>
        <v>955.6300480000001</v>
      </c>
      <c r="E348" s="6">
        <f t="shared" si="40"/>
        <v>-188.418556</v>
      </c>
      <c r="F348" s="6">
        <f t="shared" si="41"/>
        <v>-3.2324999999999715E-3</v>
      </c>
      <c r="G348" s="6">
        <f t="shared" si="37"/>
        <v>666.06424922417534</v>
      </c>
      <c r="H348" s="7">
        <f t="shared" si="38"/>
        <v>3.765576729082041E-13</v>
      </c>
      <c r="I348" s="8">
        <f t="shared" si="39"/>
        <v>3.765576729082041E-13</v>
      </c>
    </row>
    <row r="349" spans="1:9" x14ac:dyDescent="0.2">
      <c r="A349" s="5">
        <v>906</v>
      </c>
      <c r="B349" s="6">
        <v>1.093491</v>
      </c>
      <c r="C349" s="6">
        <f t="shared" si="35"/>
        <v>1.059491</v>
      </c>
      <c r="D349" s="6">
        <f t="shared" si="36"/>
        <v>959.89884599999993</v>
      </c>
      <c r="E349" s="6">
        <f t="shared" si="40"/>
        <v>-190.53050299999998</v>
      </c>
      <c r="F349" s="6">
        <f t="shared" si="41"/>
        <v>-3.8860000000000006E-3</v>
      </c>
      <c r="G349" s="6">
        <f t="shared" si="37"/>
        <v>669.24997235547198</v>
      </c>
      <c r="H349" s="7">
        <f t="shared" si="38"/>
        <v>3.1473096760764385E-13</v>
      </c>
      <c r="I349" s="8">
        <f t="shared" si="39"/>
        <v>3.1473096760764385E-13</v>
      </c>
    </row>
    <row r="350" spans="1:9" x14ac:dyDescent="0.2">
      <c r="A350" s="5">
        <v>904</v>
      </c>
      <c r="B350" s="6">
        <v>1.1020000000000001</v>
      </c>
      <c r="C350" s="6">
        <f t="shared" si="35"/>
        <v>1.0680000000000001</v>
      </c>
      <c r="D350" s="6">
        <f t="shared" si="36"/>
        <v>965.47200000000009</v>
      </c>
      <c r="E350" s="6">
        <f t="shared" si="40"/>
        <v>-192.65799399999997</v>
      </c>
      <c r="F350" s="6">
        <f t="shared" si="41"/>
        <v>-4.0965000000000029E-3</v>
      </c>
      <c r="G350" s="6">
        <f t="shared" si="37"/>
        <v>673.08616233332623</v>
      </c>
      <c r="H350" s="7">
        <f t="shared" si="38"/>
        <v>3.002697720549696E-13</v>
      </c>
      <c r="I350" s="8">
        <f t="shared" si="39"/>
        <v>3.002697720549696E-13</v>
      </c>
    </row>
    <row r="351" spans="1:9" x14ac:dyDescent="0.2">
      <c r="A351" s="5">
        <v>902</v>
      </c>
      <c r="B351" s="6">
        <v>1.109877</v>
      </c>
      <c r="C351" s="6">
        <f t="shared" si="35"/>
        <v>1.075877</v>
      </c>
      <c r="D351" s="6">
        <f t="shared" si="36"/>
        <v>970.44105400000001</v>
      </c>
      <c r="E351" s="6">
        <f t="shared" si="40"/>
        <v>-194.80187099999998</v>
      </c>
      <c r="F351" s="6">
        <f t="shared" si="41"/>
        <v>-4.7412499999999747E-3</v>
      </c>
      <c r="G351" s="6">
        <f t="shared" si="37"/>
        <v>676.62166799433896</v>
      </c>
      <c r="H351" s="7">
        <f t="shared" si="38"/>
        <v>2.6079962164619287E-13</v>
      </c>
      <c r="I351" s="8">
        <f t="shared" si="39"/>
        <v>2.6079962164619287E-13</v>
      </c>
    </row>
    <row r="352" spans="1:9" x14ac:dyDescent="0.2">
      <c r="A352" s="5">
        <v>900</v>
      </c>
      <c r="B352" s="6">
        <v>1.120965</v>
      </c>
      <c r="C352" s="6">
        <f t="shared" si="35"/>
        <v>1.086965</v>
      </c>
      <c r="D352" s="6">
        <f t="shared" si="36"/>
        <v>978.26850000000002</v>
      </c>
      <c r="E352" s="6">
        <f t="shared" si="40"/>
        <v>-196.96471299999999</v>
      </c>
      <c r="F352" s="6">
        <f t="shared" si="41"/>
        <v>-4.8509999999999942E-3</v>
      </c>
      <c r="G352" s="6">
        <f t="shared" si="37"/>
        <v>681.57622003411416</v>
      </c>
      <c r="H352" s="7">
        <f t="shared" si="38"/>
        <v>2.5676573439450108E-13</v>
      </c>
      <c r="I352" s="8">
        <f t="shared" si="39"/>
        <v>2.5676573439450108E-13</v>
      </c>
    </row>
    <row r="353" spans="1:9" x14ac:dyDescent="0.2">
      <c r="A353" s="5">
        <v>898</v>
      </c>
      <c r="B353" s="6">
        <v>1.129281</v>
      </c>
      <c r="C353" s="6">
        <f t="shared" si="35"/>
        <v>1.0952809999999999</v>
      </c>
      <c r="D353" s="6">
        <f t="shared" si="36"/>
        <v>983.56233799999995</v>
      </c>
      <c r="E353" s="6">
        <f t="shared" si="40"/>
        <v>-199.14695899999998</v>
      </c>
      <c r="F353" s="6">
        <f t="shared" si="41"/>
        <v>-4.7632499999999967E-3</v>
      </c>
      <c r="G353" s="6">
        <f t="shared" si="37"/>
        <v>685.27550206394562</v>
      </c>
      <c r="H353" s="7">
        <f t="shared" si="38"/>
        <v>2.629152283365707E-13</v>
      </c>
      <c r="I353" s="8">
        <f t="shared" si="39"/>
        <v>2.629152283365707E-13</v>
      </c>
    </row>
    <row r="354" spans="1:9" x14ac:dyDescent="0.2">
      <c r="A354" s="5">
        <v>896</v>
      </c>
      <c r="B354" s="6">
        <v>1.140018</v>
      </c>
      <c r="C354" s="6">
        <f t="shared" si="35"/>
        <v>1.1060179999999999</v>
      </c>
      <c r="D354" s="6">
        <f t="shared" si="36"/>
        <v>990.99212799999998</v>
      </c>
      <c r="E354" s="6">
        <f t="shared" si="40"/>
        <v>-201.34825799999999</v>
      </c>
      <c r="F354" s="6">
        <f t="shared" si="41"/>
        <v>-5.315750000000008E-3</v>
      </c>
      <c r="G354" s="6">
        <f t="shared" si="37"/>
        <v>690.03026557648764</v>
      </c>
      <c r="H354" s="7">
        <f t="shared" si="38"/>
        <v>2.3722338751432103E-13</v>
      </c>
      <c r="I354" s="8">
        <f t="shared" si="39"/>
        <v>2.3722338751432103E-13</v>
      </c>
    </row>
    <row r="355" spans="1:9" x14ac:dyDescent="0.2">
      <c r="A355" s="5">
        <v>894</v>
      </c>
      <c r="B355" s="6">
        <v>1.150544</v>
      </c>
      <c r="C355" s="6">
        <f t="shared" si="35"/>
        <v>1.116544</v>
      </c>
      <c r="D355" s="6">
        <f t="shared" si="36"/>
        <v>998.190336</v>
      </c>
      <c r="E355" s="6">
        <f t="shared" si="40"/>
        <v>-203.57082</v>
      </c>
      <c r="F355" s="6">
        <f t="shared" si="41"/>
        <v>-5.0570000000000337E-3</v>
      </c>
      <c r="G355" s="6">
        <f t="shared" si="37"/>
        <v>694.6705380370463</v>
      </c>
      <c r="H355" s="7">
        <f t="shared" si="38"/>
        <v>2.5103821480337664E-13</v>
      </c>
      <c r="I355" s="8">
        <f t="shared" si="39"/>
        <v>2.5103821480337664E-13</v>
      </c>
    </row>
    <row r="356" spans="1:9" x14ac:dyDescent="0.2">
      <c r="A356" s="5">
        <v>892</v>
      </c>
      <c r="B356" s="6">
        <v>1.1602460000000001</v>
      </c>
      <c r="C356" s="6">
        <f t="shared" si="35"/>
        <v>1.1262460000000001</v>
      </c>
      <c r="D356" s="6">
        <f t="shared" si="36"/>
        <v>1004.611432</v>
      </c>
      <c r="E356" s="6">
        <f t="shared" si="40"/>
        <v>-205.81361000000001</v>
      </c>
      <c r="F356" s="6">
        <f t="shared" si="41"/>
        <v>-4.0965000000000029E-3</v>
      </c>
      <c r="G356" s="6">
        <f t="shared" si="37"/>
        <v>698.92815507184957</v>
      </c>
      <c r="H356" s="7">
        <f t="shared" si="38"/>
        <v>3.1179811672059635E-13</v>
      </c>
      <c r="I356" s="8">
        <f t="shared" si="39"/>
        <v>3.1179811672059635E-13</v>
      </c>
    </row>
    <row r="357" spans="1:9" x14ac:dyDescent="0.2">
      <c r="A357" s="5">
        <v>890</v>
      </c>
      <c r="B357" s="6">
        <v>1.16693</v>
      </c>
      <c r="C357" s="6">
        <f t="shared" si="35"/>
        <v>1.13293</v>
      </c>
      <c r="D357" s="6">
        <f t="shared" si="36"/>
        <v>1008.3077</v>
      </c>
      <c r="E357" s="6">
        <f t="shared" si="40"/>
        <v>-208.07278600000001</v>
      </c>
      <c r="F357" s="6">
        <f t="shared" si="41"/>
        <v>-3.4209999999999519E-3</v>
      </c>
      <c r="G357" s="6">
        <f t="shared" si="37"/>
        <v>701.84798767591315</v>
      </c>
      <c r="H357" s="7">
        <f t="shared" si="38"/>
        <v>3.7492456490565826E-13</v>
      </c>
      <c r="I357" s="8">
        <f t="shared" si="39"/>
        <v>3.7492456490565826E-13</v>
      </c>
    </row>
    <row r="358" spans="1:9" x14ac:dyDescent="0.2">
      <c r="A358" s="5">
        <v>888</v>
      </c>
      <c r="B358" s="6">
        <v>1.1739299999999999</v>
      </c>
      <c r="C358" s="6">
        <f t="shared" si="35"/>
        <v>1.1399299999999999</v>
      </c>
      <c r="D358" s="6">
        <f t="shared" si="36"/>
        <v>1012.2578399999999</v>
      </c>
      <c r="E358" s="6">
        <f t="shared" si="40"/>
        <v>-210.34564600000002</v>
      </c>
      <c r="F358" s="6">
        <f t="shared" si="41"/>
        <v>-3.8245000000000084E-3</v>
      </c>
      <c r="G358" s="6">
        <f t="shared" si="37"/>
        <v>704.89186143839754</v>
      </c>
      <c r="H358" s="7">
        <f t="shared" si="38"/>
        <v>3.368230020504897E-13</v>
      </c>
      <c r="I358" s="8">
        <f t="shared" si="39"/>
        <v>3.368230020504897E-13</v>
      </c>
    </row>
    <row r="359" spans="1:9" x14ac:dyDescent="0.2">
      <c r="A359" s="5">
        <v>886</v>
      </c>
      <c r="B359" s="6">
        <v>1.1822280000000001</v>
      </c>
      <c r="C359" s="6">
        <f t="shared" si="35"/>
        <v>1.148228</v>
      </c>
      <c r="D359" s="6">
        <f t="shared" si="36"/>
        <v>1017.330008</v>
      </c>
      <c r="E359" s="6">
        <f t="shared" si="40"/>
        <v>-212.63380400000003</v>
      </c>
      <c r="F359" s="6">
        <f t="shared" si="41"/>
        <v>-4.8112500000000447E-3</v>
      </c>
      <c r="G359" s="6">
        <f t="shared" si="37"/>
        <v>708.48356036426833</v>
      </c>
      <c r="H359" s="7">
        <f t="shared" si="38"/>
        <v>2.6910747697976603E-13</v>
      </c>
      <c r="I359" s="8">
        <f t="shared" si="39"/>
        <v>2.6910747697976603E-13</v>
      </c>
    </row>
    <row r="360" spans="1:9" x14ac:dyDescent="0.2">
      <c r="A360" s="5">
        <v>884</v>
      </c>
      <c r="B360" s="6">
        <v>1.1931750000000001</v>
      </c>
      <c r="C360" s="6">
        <f t="shared" si="35"/>
        <v>1.1591750000000001</v>
      </c>
      <c r="D360" s="6">
        <f t="shared" si="36"/>
        <v>1024.7107000000001</v>
      </c>
      <c r="E360" s="6">
        <f t="shared" si="40"/>
        <v>-214.94120700000002</v>
      </c>
      <c r="F360" s="6">
        <f t="shared" si="41"/>
        <v>-4.9254999999999716E-3</v>
      </c>
      <c r="G360" s="6">
        <f t="shared" si="37"/>
        <v>713.19995608968497</v>
      </c>
      <c r="H360" s="7">
        <f t="shared" si="38"/>
        <v>2.6461526603470995E-13</v>
      </c>
      <c r="I360" s="8">
        <f t="shared" si="39"/>
        <v>2.6461526603470995E-13</v>
      </c>
    </row>
    <row r="361" spans="1:9" x14ac:dyDescent="0.2">
      <c r="A361" s="5">
        <v>882</v>
      </c>
      <c r="B361" s="6">
        <v>1.2019299999999999</v>
      </c>
      <c r="C361" s="6">
        <f t="shared" si="35"/>
        <v>1.1679299999999999</v>
      </c>
      <c r="D361" s="6">
        <f t="shared" si="36"/>
        <v>1030.1142599999998</v>
      </c>
      <c r="E361" s="6">
        <f t="shared" si="40"/>
        <v>-217.26831200000001</v>
      </c>
      <c r="F361" s="6">
        <f t="shared" si="41"/>
        <v>-5.1317499999999905E-3</v>
      </c>
      <c r="G361" s="6">
        <f t="shared" si="37"/>
        <v>716.95444248833496</v>
      </c>
      <c r="H361" s="7">
        <f t="shared" si="38"/>
        <v>2.5531714558529541E-13</v>
      </c>
      <c r="I361" s="8">
        <f t="shared" si="39"/>
        <v>2.5531714558529541E-13</v>
      </c>
    </row>
    <row r="362" spans="1:9" x14ac:dyDescent="0.2">
      <c r="A362" s="5">
        <v>880</v>
      </c>
      <c r="B362" s="6">
        <v>1.2137020000000001</v>
      </c>
      <c r="C362" s="6">
        <f t="shared" si="35"/>
        <v>1.179702</v>
      </c>
      <c r="D362" s="6">
        <f t="shared" si="36"/>
        <v>1038.1377600000001</v>
      </c>
      <c r="E362" s="6">
        <f t="shared" si="40"/>
        <v>-219.61594400000001</v>
      </c>
      <c r="F362" s="6">
        <f t="shared" si="41"/>
        <v>-5.7059999999999889E-3</v>
      </c>
      <c r="G362" s="6">
        <f t="shared" si="37"/>
        <v>721.9791924786158</v>
      </c>
      <c r="H362" s="7">
        <f t="shared" si="38"/>
        <v>2.312314088684404E-13</v>
      </c>
      <c r="I362" s="8">
        <f t="shared" si="39"/>
        <v>2.312314088684404E-13</v>
      </c>
    </row>
    <row r="363" spans="1:9" x14ac:dyDescent="0.2">
      <c r="A363" s="5">
        <v>878</v>
      </c>
      <c r="B363" s="6">
        <v>1.2247539999999999</v>
      </c>
      <c r="C363" s="6">
        <f t="shared" si="35"/>
        <v>1.1907539999999999</v>
      </c>
      <c r="D363" s="6">
        <f t="shared" si="36"/>
        <v>1045.4820119999999</v>
      </c>
      <c r="E363" s="6">
        <f t="shared" si="40"/>
        <v>-221.9864</v>
      </c>
      <c r="F363" s="6">
        <f t="shared" si="41"/>
        <v>-5.2587499999999787E-3</v>
      </c>
      <c r="G363" s="6">
        <f t="shared" si="37"/>
        <v>726.67451431046959</v>
      </c>
      <c r="H363" s="7">
        <f t="shared" si="38"/>
        <v>2.5252903275606954E-13</v>
      </c>
      <c r="I363" s="8">
        <f t="shared" si="39"/>
        <v>2.5252903275606954E-13</v>
      </c>
    </row>
    <row r="364" spans="1:9" x14ac:dyDescent="0.2">
      <c r="A364" s="5">
        <v>876</v>
      </c>
      <c r="B364" s="6">
        <v>1.234737</v>
      </c>
      <c r="C364" s="6">
        <f t="shared" si="35"/>
        <v>1.2007369999999999</v>
      </c>
      <c r="D364" s="6">
        <f t="shared" si="36"/>
        <v>1051.8456119999998</v>
      </c>
      <c r="E364" s="6">
        <f t="shared" si="40"/>
        <v>-224.37789100000001</v>
      </c>
      <c r="F364" s="6">
        <f t="shared" si="41"/>
        <v>-4.3817500000000176E-3</v>
      </c>
      <c r="G364" s="6">
        <f t="shared" si="37"/>
        <v>730.89571713488124</v>
      </c>
      <c r="H364" s="7">
        <f t="shared" si="38"/>
        <v>3.0483282648578545E-13</v>
      </c>
      <c r="I364" s="8">
        <f t="shared" si="39"/>
        <v>3.0483282648578545E-13</v>
      </c>
    </row>
    <row r="365" spans="1:9" x14ac:dyDescent="0.2">
      <c r="A365" s="5">
        <v>874</v>
      </c>
      <c r="B365" s="6">
        <v>1.242281</v>
      </c>
      <c r="C365" s="6">
        <f t="shared" si="35"/>
        <v>1.2082809999999999</v>
      </c>
      <c r="D365" s="6">
        <f t="shared" si="36"/>
        <v>1056.0375939999999</v>
      </c>
      <c r="E365" s="6">
        <f t="shared" si="40"/>
        <v>-226.78690900000001</v>
      </c>
      <c r="F365" s="6">
        <f t="shared" si="41"/>
        <v>-3.4517500000000312E-3</v>
      </c>
      <c r="G365" s="6">
        <f t="shared" si="37"/>
        <v>734.07052737262143</v>
      </c>
      <c r="H365" s="7">
        <f t="shared" si="38"/>
        <v>3.8864435626803777E-13</v>
      </c>
      <c r="I365" s="8">
        <f t="shared" si="39"/>
        <v>3.8864435626803777E-13</v>
      </c>
    </row>
    <row r="366" spans="1:9" x14ac:dyDescent="0.2">
      <c r="A366" s="5">
        <v>872</v>
      </c>
      <c r="B366" s="6">
        <v>1.2485440000000001</v>
      </c>
      <c r="C366" s="6">
        <f t="shared" si="35"/>
        <v>1.2145440000000001</v>
      </c>
      <c r="D366" s="6">
        <f t="shared" si="36"/>
        <v>1059.0823680000001</v>
      </c>
      <c r="E366" s="6">
        <f t="shared" si="40"/>
        <v>-229.209734</v>
      </c>
      <c r="F366" s="6">
        <f t="shared" si="41"/>
        <v>-4.048250000000031E-3</v>
      </c>
      <c r="G366" s="6">
        <f t="shared" si="37"/>
        <v>736.69371671182716</v>
      </c>
      <c r="H366" s="7">
        <f t="shared" si="38"/>
        <v>3.3256271152099756E-13</v>
      </c>
      <c r="I366" s="8">
        <f t="shared" si="39"/>
        <v>3.3256271152099756E-13</v>
      </c>
    </row>
    <row r="367" spans="1:9" x14ac:dyDescent="0.2">
      <c r="A367" s="5">
        <v>870</v>
      </c>
      <c r="B367" s="6">
        <v>1.2584740000000001</v>
      </c>
      <c r="C367" s="6">
        <f t="shared" si="35"/>
        <v>1.2244740000000001</v>
      </c>
      <c r="D367" s="6">
        <f t="shared" si="36"/>
        <v>1065.2923800000001</v>
      </c>
      <c r="E367" s="6">
        <f t="shared" si="40"/>
        <v>-231.648752</v>
      </c>
      <c r="F367" s="6">
        <f t="shared" si="41"/>
        <v>-4.6842500000000009E-3</v>
      </c>
      <c r="G367" s="6">
        <f t="shared" si="37"/>
        <v>740.8329290634656</v>
      </c>
      <c r="H367" s="7">
        <f t="shared" si="38"/>
        <v>2.8902414409408283E-13</v>
      </c>
      <c r="I367" s="8">
        <f t="shared" si="39"/>
        <v>2.8902414409408283E-13</v>
      </c>
    </row>
    <row r="368" spans="1:9" x14ac:dyDescent="0.2">
      <c r="A368" s="5">
        <v>868</v>
      </c>
      <c r="B368" s="6">
        <v>1.2672810000000001</v>
      </c>
      <c r="C368" s="6">
        <f t="shared" si="35"/>
        <v>1.2332810000000001</v>
      </c>
      <c r="D368" s="6">
        <f t="shared" si="36"/>
        <v>1070.4879080000001</v>
      </c>
      <c r="E368" s="6">
        <f t="shared" si="40"/>
        <v>-234.10650699999999</v>
      </c>
      <c r="F368" s="6">
        <f t="shared" si="41"/>
        <v>-4.9647499999999622E-3</v>
      </c>
      <c r="G368" s="6">
        <f t="shared" si="37"/>
        <v>744.48641709577987</v>
      </c>
      <c r="H368" s="7">
        <f t="shared" si="38"/>
        <v>2.7403958768079049E-13</v>
      </c>
      <c r="I368" s="8">
        <f t="shared" si="39"/>
        <v>2.7403958768079049E-13</v>
      </c>
    </row>
    <row r="369" spans="1:9" x14ac:dyDescent="0.2">
      <c r="A369" s="5">
        <v>866</v>
      </c>
      <c r="B369" s="6">
        <v>1.2783329999999999</v>
      </c>
      <c r="C369" s="6">
        <f t="shared" si="35"/>
        <v>1.2443329999999999</v>
      </c>
      <c r="D369" s="6">
        <f t="shared" si="36"/>
        <v>1077.5923779999998</v>
      </c>
      <c r="E369" s="6">
        <f t="shared" si="40"/>
        <v>-236.58412099999998</v>
      </c>
      <c r="F369" s="6">
        <f t="shared" si="41"/>
        <v>-4.2807499999999998E-3</v>
      </c>
      <c r="G369" s="6">
        <f t="shared" si="37"/>
        <v>749.0491149276337</v>
      </c>
      <c r="H369" s="7">
        <f t="shared" si="38"/>
        <v>3.197748774209656E-13</v>
      </c>
      <c r="I369" s="8">
        <f t="shared" si="39"/>
        <v>3.197748774209656E-13</v>
      </c>
    </row>
    <row r="370" spans="1:9" x14ac:dyDescent="0.2">
      <c r="A370" s="5">
        <v>864</v>
      </c>
      <c r="B370" s="6">
        <v>1.2844040000000001</v>
      </c>
      <c r="C370" s="6">
        <f t="shared" si="35"/>
        <v>1.2504040000000001</v>
      </c>
      <c r="D370" s="6">
        <f t="shared" si="36"/>
        <v>1080.349056</v>
      </c>
      <c r="E370" s="6">
        <f t="shared" si="40"/>
        <v>-239.07885799999997</v>
      </c>
      <c r="F370" s="6">
        <f t="shared" si="41"/>
        <v>-3.4474999999999922E-3</v>
      </c>
      <c r="G370" s="6">
        <f t="shared" si="37"/>
        <v>751.54331915792557</v>
      </c>
      <c r="H370" s="7">
        <f t="shared" si="38"/>
        <v>3.9838562096756659E-13</v>
      </c>
      <c r="I370" s="8">
        <f t="shared" si="39"/>
        <v>3.9838562096756659E-13</v>
      </c>
    </row>
    <row r="371" spans="1:9" x14ac:dyDescent="0.2">
      <c r="A371" s="5">
        <v>862</v>
      </c>
      <c r="B371" s="6">
        <v>1.2921229999999999</v>
      </c>
      <c r="C371" s="6">
        <f t="shared" si="35"/>
        <v>1.2581229999999999</v>
      </c>
      <c r="D371" s="6">
        <f t="shared" si="36"/>
        <v>1084.5020259999999</v>
      </c>
      <c r="E371" s="6">
        <f t="shared" si="40"/>
        <v>-241.58738499999995</v>
      </c>
      <c r="F371" s="6">
        <f t="shared" si="41"/>
        <v>-3.2937499999999842E-3</v>
      </c>
      <c r="G371" s="6">
        <f t="shared" si="37"/>
        <v>754.69914823972783</v>
      </c>
      <c r="H371" s="7">
        <f t="shared" si="38"/>
        <v>4.1873295174036611E-13</v>
      </c>
      <c r="I371" s="8">
        <f t="shared" si="39"/>
        <v>4.1873295174036611E-13</v>
      </c>
    </row>
    <row r="372" spans="1:9" x14ac:dyDescent="0.2">
      <c r="A372" s="5">
        <v>860</v>
      </c>
      <c r="B372" s="6">
        <v>1.297579</v>
      </c>
      <c r="C372" s="6">
        <f t="shared" si="35"/>
        <v>1.263579</v>
      </c>
      <c r="D372" s="6">
        <f t="shared" si="36"/>
        <v>1086.67794</v>
      </c>
      <c r="E372" s="6">
        <f t="shared" si="40"/>
        <v>-244.10908699999996</v>
      </c>
      <c r="F372" s="6">
        <f t="shared" si="41"/>
        <v>-2.3025000000000406E-3</v>
      </c>
      <c r="G372" s="6">
        <f t="shared" si="37"/>
        <v>756.9188624180299</v>
      </c>
      <c r="H372" s="7">
        <f t="shared" si="38"/>
        <v>6.0076358523504247E-13</v>
      </c>
      <c r="I372" s="8">
        <f t="shared" si="39"/>
        <v>6.0076358523504247E-13</v>
      </c>
    </row>
    <row r="373" spans="1:9" x14ac:dyDescent="0.2">
      <c r="A373" s="5">
        <v>858</v>
      </c>
      <c r="B373" s="6">
        <v>1.3013330000000001</v>
      </c>
      <c r="C373" s="6">
        <f t="shared" si="35"/>
        <v>1.267333</v>
      </c>
      <c r="D373" s="6">
        <f t="shared" si="36"/>
        <v>1087.3717140000001</v>
      </c>
      <c r="E373" s="6">
        <f t="shared" si="40"/>
        <v>-246.63999899999996</v>
      </c>
      <c r="F373" s="6">
        <f t="shared" si="41"/>
        <v>-1.8639999999999768E-3</v>
      </c>
      <c r="G373" s="6">
        <f t="shared" si="37"/>
        <v>758.43862843293948</v>
      </c>
      <c r="H373" s="7">
        <f t="shared" si="38"/>
        <v>7.4358127960148758E-13</v>
      </c>
      <c r="I373" s="8">
        <f t="shared" si="39"/>
        <v>7.4358127960148758E-13</v>
      </c>
    </row>
    <row r="374" spans="1:9" x14ac:dyDescent="0.2">
      <c r="A374" s="5">
        <v>856</v>
      </c>
      <c r="B374" s="6">
        <v>1.3050349999999999</v>
      </c>
      <c r="C374" s="6">
        <f t="shared" si="35"/>
        <v>1.2710349999999999</v>
      </c>
      <c r="D374" s="6">
        <f t="shared" si="36"/>
        <v>1088.00596</v>
      </c>
      <c r="E374" s="6">
        <f t="shared" si="40"/>
        <v>-249.17836699999995</v>
      </c>
      <c r="F374" s="6">
        <f t="shared" si="41"/>
        <v>-1.7587499999999756E-3</v>
      </c>
      <c r="G374" s="6">
        <f t="shared" si="37"/>
        <v>759.92993881418465</v>
      </c>
      <c r="H374" s="7">
        <f t="shared" si="38"/>
        <v>7.8962948292600822E-13</v>
      </c>
      <c r="I374" s="8">
        <f t="shared" si="39"/>
        <v>7.8962948292600822E-13</v>
      </c>
    </row>
    <row r="375" spans="1:9" x14ac:dyDescent="0.2">
      <c r="A375" s="5">
        <v>854</v>
      </c>
      <c r="B375" s="6">
        <v>1.308368</v>
      </c>
      <c r="C375" s="6">
        <f t="shared" si="35"/>
        <v>1.2743679999999999</v>
      </c>
      <c r="D375" s="6">
        <f t="shared" si="36"/>
        <v>1088.3102719999999</v>
      </c>
      <c r="E375" s="6">
        <f t="shared" si="40"/>
        <v>-251.72376999999994</v>
      </c>
      <c r="F375" s="6">
        <f t="shared" si="41"/>
        <v>-2.5395000000000278E-3</v>
      </c>
      <c r="G375" s="6">
        <f t="shared" si="37"/>
        <v>761.26593556423609</v>
      </c>
      <c r="H375" s="7">
        <f t="shared" si="38"/>
        <v>5.4782530719617448E-13</v>
      </c>
      <c r="I375" s="8">
        <f t="shared" si="39"/>
        <v>5.4782530719617448E-13</v>
      </c>
    </row>
    <row r="376" spans="1:9" x14ac:dyDescent="0.2">
      <c r="A376" s="5">
        <v>852</v>
      </c>
      <c r="B376" s="6">
        <v>1.3151930000000001</v>
      </c>
      <c r="C376" s="6">
        <f t="shared" si="35"/>
        <v>1.281193</v>
      </c>
      <c r="D376" s="6">
        <f t="shared" si="36"/>
        <v>1091.5764360000001</v>
      </c>
      <c r="E376" s="6">
        <f t="shared" si="40"/>
        <v>-254.27933099999996</v>
      </c>
      <c r="F376" s="6">
        <f t="shared" si="41"/>
        <v>-2.2150000000000225E-3</v>
      </c>
      <c r="G376" s="6">
        <f t="shared" si="37"/>
        <v>763.98801248265841</v>
      </c>
      <c r="H376" s="7">
        <f t="shared" si="38"/>
        <v>6.3032818212038683E-13</v>
      </c>
      <c r="I376" s="8">
        <f t="shared" si="39"/>
        <v>6.3032818212038683E-13</v>
      </c>
    </row>
    <row r="377" spans="1:9" x14ac:dyDescent="0.2">
      <c r="A377" s="5">
        <v>850</v>
      </c>
      <c r="B377" s="6">
        <v>1.3172280000000001</v>
      </c>
      <c r="C377" s="6">
        <f t="shared" si="35"/>
        <v>1.283228</v>
      </c>
      <c r="D377" s="6">
        <f t="shared" si="36"/>
        <v>1090.7438</v>
      </c>
      <c r="E377" s="6">
        <f t="shared" si="40"/>
        <v>-256.84375199999994</v>
      </c>
      <c r="F377" s="6">
        <f t="shared" si="41"/>
        <v>-1.1667499999999942E-3</v>
      </c>
      <c r="G377" s="6">
        <f t="shared" si="37"/>
        <v>764.79558006932348</v>
      </c>
      <c r="H377" s="7">
        <f t="shared" si="38"/>
        <v>1.1979024995541159E-12</v>
      </c>
      <c r="I377" s="8">
        <f t="shared" si="39"/>
        <v>1.1979024995541159E-12</v>
      </c>
    </row>
    <row r="378" spans="1:9" x14ac:dyDescent="0.2">
      <c r="A378" s="5">
        <v>848</v>
      </c>
      <c r="B378" s="6">
        <v>1.31986</v>
      </c>
      <c r="C378" s="6">
        <f t="shared" si="35"/>
        <v>1.28586</v>
      </c>
      <c r="D378" s="6">
        <f t="shared" si="36"/>
        <v>1090.4092800000001</v>
      </c>
      <c r="E378" s="6">
        <f t="shared" si="40"/>
        <v>-259.41283999999996</v>
      </c>
      <c r="F378" s="6">
        <f t="shared" si="41"/>
        <v>-1.6709999999999781E-3</v>
      </c>
      <c r="G378" s="6">
        <f t="shared" si="37"/>
        <v>765.83479660401758</v>
      </c>
      <c r="H378" s="7">
        <f t="shared" si="38"/>
        <v>8.375534975336358E-13</v>
      </c>
      <c r="I378" s="8">
        <f t="shared" si="39"/>
        <v>8.375534975336358E-13</v>
      </c>
    </row>
    <row r="379" spans="1:9" x14ac:dyDescent="0.2">
      <c r="A379" s="5">
        <v>846</v>
      </c>
      <c r="B379" s="6">
        <v>1.323912</v>
      </c>
      <c r="C379" s="6">
        <f t="shared" si="35"/>
        <v>1.2899119999999999</v>
      </c>
      <c r="D379" s="6">
        <f t="shared" si="36"/>
        <v>1091.2655519999998</v>
      </c>
      <c r="E379" s="6">
        <f t="shared" si="40"/>
        <v>-261.98861199999993</v>
      </c>
      <c r="F379" s="6">
        <f t="shared" si="41"/>
        <v>-1.3199999999999878E-3</v>
      </c>
      <c r="G379" s="6">
        <f t="shared" si="37"/>
        <v>767.42658067338709</v>
      </c>
      <c r="H379" s="7">
        <f t="shared" si="38"/>
        <v>1.0624703458286181E-12</v>
      </c>
      <c r="I379" s="8">
        <f t="shared" si="39"/>
        <v>1.0624703458286181E-12</v>
      </c>
    </row>
    <row r="380" spans="1:9" x14ac:dyDescent="0.2">
      <c r="A380" s="5">
        <v>844</v>
      </c>
      <c r="B380" s="6">
        <v>1.32514</v>
      </c>
      <c r="C380" s="6">
        <f t="shared" si="35"/>
        <v>1.29114</v>
      </c>
      <c r="D380" s="6">
        <f t="shared" si="36"/>
        <v>1089.72216</v>
      </c>
      <c r="E380" s="6">
        <f t="shared" si="40"/>
        <v>-264.56966399999993</v>
      </c>
      <c r="F380" s="6">
        <f t="shared" si="41"/>
        <v>-9.1225000000000334E-4</v>
      </c>
      <c r="G380" s="6">
        <f t="shared" si="37"/>
        <v>767.90653109914865</v>
      </c>
      <c r="H380" s="7">
        <f t="shared" si="38"/>
        <v>1.5383260716689701E-12</v>
      </c>
      <c r="I380" s="8">
        <f t="shared" si="39"/>
        <v>1.5383260716689701E-12</v>
      </c>
    </row>
    <row r="381" spans="1:9" x14ac:dyDescent="0.2">
      <c r="A381" s="5">
        <v>842</v>
      </c>
      <c r="B381" s="6">
        <v>1.327561</v>
      </c>
      <c r="C381" s="6">
        <f t="shared" si="35"/>
        <v>1.293561</v>
      </c>
      <c r="D381" s="6">
        <f t="shared" si="36"/>
        <v>1089.1783619999999</v>
      </c>
      <c r="E381" s="6">
        <f t="shared" si="40"/>
        <v>-267.15436499999993</v>
      </c>
      <c r="F381" s="6">
        <f t="shared" si="41"/>
        <v>-1.4912499999999995E-3</v>
      </c>
      <c r="G381" s="6">
        <f t="shared" si="37"/>
        <v>768.84791058185931</v>
      </c>
      <c r="H381" s="7">
        <f t="shared" si="38"/>
        <v>9.4220172078579685E-13</v>
      </c>
      <c r="I381" s="8">
        <f t="shared" si="39"/>
        <v>9.4220172078579685E-13</v>
      </c>
    </row>
    <row r="382" spans="1:9" x14ac:dyDescent="0.2">
      <c r="A382" s="5">
        <v>840</v>
      </c>
      <c r="B382" s="6">
        <v>1.331105</v>
      </c>
      <c r="C382" s="6">
        <f t="shared" si="35"/>
        <v>1.297105</v>
      </c>
      <c r="D382" s="6">
        <f t="shared" si="36"/>
        <v>1089.5681999999999</v>
      </c>
      <c r="E382" s="6">
        <f t="shared" si="40"/>
        <v>-269.74503099999993</v>
      </c>
      <c r="F382" s="6">
        <f t="shared" si="41"/>
        <v>-1.0789999999999966E-3</v>
      </c>
      <c r="G382" s="6">
        <f t="shared" si="37"/>
        <v>770.21886838389423</v>
      </c>
      <c r="H382" s="7">
        <f t="shared" si="38"/>
        <v>1.3045076195197397E-12</v>
      </c>
      <c r="I382" s="8">
        <f t="shared" si="39"/>
        <v>1.3045076195197397E-12</v>
      </c>
    </row>
    <row r="383" spans="1:9" x14ac:dyDescent="0.2">
      <c r="A383" s="5">
        <v>838</v>
      </c>
      <c r="B383" s="6">
        <v>1.331877</v>
      </c>
      <c r="C383" s="6">
        <f t="shared" si="35"/>
        <v>1.2978769999999999</v>
      </c>
      <c r="D383" s="6">
        <f t="shared" si="36"/>
        <v>1087.6209260000001</v>
      </c>
      <c r="E383" s="6">
        <f t="shared" si="40"/>
        <v>-272.34001299999994</v>
      </c>
      <c r="F383" s="6">
        <f t="shared" si="41"/>
        <v>-1.4080000000000203E-3</v>
      </c>
      <c r="G383" s="6">
        <f t="shared" si="37"/>
        <v>770.51596417598535</v>
      </c>
      <c r="H383" s="7">
        <f t="shared" si="38"/>
        <v>1.00007575261244E-12</v>
      </c>
      <c r="I383" s="8">
        <f t="shared" si="39"/>
        <v>1.00007575261244E-12</v>
      </c>
    </row>
    <row r="384" spans="1:9" x14ac:dyDescent="0.2">
      <c r="A384" s="5">
        <v>836</v>
      </c>
      <c r="B384" s="6">
        <v>1.3367370000000001</v>
      </c>
      <c r="C384" s="6">
        <f t="shared" si="35"/>
        <v>1.302737</v>
      </c>
      <c r="D384" s="6">
        <f t="shared" si="36"/>
        <v>1089.0881320000001</v>
      </c>
      <c r="E384" s="6">
        <f t="shared" si="40"/>
        <v>-274.94062699999995</v>
      </c>
      <c r="F384" s="6">
        <f t="shared" si="41"/>
        <v>-2.7674999999999783E-3</v>
      </c>
      <c r="G384" s="6">
        <f t="shared" si="37"/>
        <v>772.37656224536738</v>
      </c>
      <c r="H384" s="7">
        <f t="shared" si="38"/>
        <v>5.1002958462454072E-13</v>
      </c>
      <c r="I384" s="8">
        <f t="shared" si="39"/>
        <v>5.1002958462454072E-13</v>
      </c>
    </row>
    <row r="385" spans="1:9" x14ac:dyDescent="0.2">
      <c r="A385" s="5">
        <v>834</v>
      </c>
      <c r="B385" s="6">
        <v>1.3429469999999999</v>
      </c>
      <c r="C385" s="6">
        <f t="shared" si="35"/>
        <v>1.3089469999999999</v>
      </c>
      <c r="D385" s="6">
        <f t="shared" si="36"/>
        <v>1091.6617979999999</v>
      </c>
      <c r="E385" s="6">
        <f t="shared" si="40"/>
        <v>-277.55231099999997</v>
      </c>
      <c r="F385" s="6">
        <f t="shared" si="41"/>
        <v>-3.2280000000000086E-3</v>
      </c>
      <c r="G385" s="6">
        <f t="shared" si="37"/>
        <v>774.74157311179988</v>
      </c>
      <c r="H385" s="7">
        <f t="shared" si="38"/>
        <v>4.3860870453241156E-13</v>
      </c>
      <c r="I385" s="8">
        <f t="shared" si="39"/>
        <v>4.3860870453241156E-13</v>
      </c>
    </row>
    <row r="386" spans="1:9" x14ac:dyDescent="0.2">
      <c r="A386" s="5">
        <v>832</v>
      </c>
      <c r="B386" s="6">
        <v>1.3496490000000001</v>
      </c>
      <c r="C386" s="6">
        <f t="shared" ref="C386:C449" si="42">B386-$B$2</f>
        <v>1.3156490000000001</v>
      </c>
      <c r="D386" s="6">
        <f t="shared" ref="D386:D449" si="43">A386*C386</f>
        <v>1094.619968</v>
      </c>
      <c r="E386" s="6">
        <f t="shared" si="40"/>
        <v>-280.17690699999997</v>
      </c>
      <c r="F386" s="6">
        <f t="shared" si="41"/>
        <v>-2.7852500000000169E-3</v>
      </c>
      <c r="G386" s="6">
        <f t="shared" ref="G386:G449" si="44">(A386-$L$5)*C386-E386</f>
        <v>777.28055281982427</v>
      </c>
      <c r="H386" s="7">
        <f t="shared" ref="H386:H449" si="45">IF(ABS(F386)&lt;0.000000001,"",-(G386)/(2*$L$4*F386)*0.000000000001)</f>
        <v>5.099968931074222E-13</v>
      </c>
      <c r="I386" s="8">
        <f t="shared" ref="I386:I449" si="46">IF(AND(B386&gt;=0.5,B386&lt;=2.5,ISNUMBER(H386),H386&gt;0),H386,"")</f>
        <v>5.099968931074222E-13</v>
      </c>
    </row>
    <row r="387" spans="1:9" x14ac:dyDescent="0.2">
      <c r="A387" s="5">
        <v>830</v>
      </c>
      <c r="B387" s="6">
        <v>1.354088</v>
      </c>
      <c r="C387" s="6">
        <f t="shared" si="42"/>
        <v>1.3200879999999999</v>
      </c>
      <c r="D387" s="6">
        <f t="shared" si="43"/>
        <v>1095.6730399999999</v>
      </c>
      <c r="E387" s="6">
        <f t="shared" ref="E387:E450" si="47">E386+(C386+C387)/2*(A387-A386)</f>
        <v>-282.81264399999998</v>
      </c>
      <c r="F387" s="6">
        <f t="shared" ref="F387:F450" si="48">(B388-B386)/(A388-A386)</f>
        <v>-2.578999999999998E-3</v>
      </c>
      <c r="G387" s="6">
        <f t="shared" si="44"/>
        <v>778.95334162434824</v>
      </c>
      <c r="H387" s="7">
        <f t="shared" si="45"/>
        <v>5.5196814409141078E-13</v>
      </c>
      <c r="I387" s="8">
        <f t="shared" si="46"/>
        <v>5.5196814409141078E-13</v>
      </c>
    </row>
    <row r="388" spans="1:9" x14ac:dyDescent="0.2">
      <c r="A388" s="5">
        <v>828</v>
      </c>
      <c r="B388" s="6">
        <v>1.3599650000000001</v>
      </c>
      <c r="C388" s="6">
        <f t="shared" si="42"/>
        <v>1.3259650000000001</v>
      </c>
      <c r="D388" s="6">
        <f t="shared" si="43"/>
        <v>1097.8990200000001</v>
      </c>
      <c r="E388" s="6">
        <f t="shared" si="47"/>
        <v>-285.45869699999997</v>
      </c>
      <c r="F388" s="6">
        <f t="shared" si="48"/>
        <v>-3.2455000000000123E-3</v>
      </c>
      <c r="G388" s="6">
        <f t="shared" si="44"/>
        <v>781.15627106750833</v>
      </c>
      <c r="H388" s="7">
        <f t="shared" si="45"/>
        <v>4.3985569710754781E-13</v>
      </c>
      <c r="I388" s="8">
        <f t="shared" si="46"/>
        <v>4.3985569710754781E-13</v>
      </c>
    </row>
    <row r="389" spans="1:9" x14ac:dyDescent="0.2">
      <c r="A389" s="5">
        <v>826</v>
      </c>
      <c r="B389" s="6">
        <v>1.36707</v>
      </c>
      <c r="C389" s="6">
        <f t="shared" si="42"/>
        <v>1.33307</v>
      </c>
      <c r="D389" s="6">
        <f t="shared" si="43"/>
        <v>1101.11582</v>
      </c>
      <c r="E389" s="6">
        <f t="shared" si="47"/>
        <v>-288.11773199999999</v>
      </c>
      <c r="F389" s="6">
        <f t="shared" si="48"/>
        <v>-3.8244999999999529E-3</v>
      </c>
      <c r="G389" s="6">
        <f t="shared" si="44"/>
        <v>783.80529293642996</v>
      </c>
      <c r="H389" s="7">
        <f t="shared" si="45"/>
        <v>3.7453071347879042E-13</v>
      </c>
      <c r="I389" s="8">
        <f t="shared" si="46"/>
        <v>3.7453071347879042E-13</v>
      </c>
    </row>
    <row r="390" spans="1:9" x14ac:dyDescent="0.2">
      <c r="A390" s="5">
        <v>824</v>
      </c>
      <c r="B390" s="6">
        <v>1.3752629999999999</v>
      </c>
      <c r="C390" s="6">
        <f t="shared" si="42"/>
        <v>1.3412629999999999</v>
      </c>
      <c r="D390" s="6">
        <f t="shared" si="43"/>
        <v>1105.2007119999998</v>
      </c>
      <c r="E390" s="6">
        <f t="shared" si="47"/>
        <v>-290.79206499999998</v>
      </c>
      <c r="F390" s="6">
        <f t="shared" si="48"/>
        <v>-3.4779999999999811E-3</v>
      </c>
      <c r="G390" s="6">
        <f t="shared" si="44"/>
        <v>786.84357775586341</v>
      </c>
      <c r="H390" s="7">
        <f t="shared" si="45"/>
        <v>4.1344023426905402E-13</v>
      </c>
      <c r="I390" s="8">
        <f t="shared" si="46"/>
        <v>4.1344023426905402E-13</v>
      </c>
    </row>
    <row r="391" spans="1:9" x14ac:dyDescent="0.2">
      <c r="A391" s="5">
        <v>822</v>
      </c>
      <c r="B391" s="6">
        <v>1.3809819999999999</v>
      </c>
      <c r="C391" s="6">
        <f t="shared" si="42"/>
        <v>1.3469819999999999</v>
      </c>
      <c r="D391" s="6">
        <f t="shared" si="43"/>
        <v>1107.219204</v>
      </c>
      <c r="E391" s="6">
        <f t="shared" si="47"/>
        <v>-293.48030999999997</v>
      </c>
      <c r="F391" s="6">
        <f t="shared" si="48"/>
        <v>-2.4517500000000303E-3</v>
      </c>
      <c r="G391" s="6">
        <f t="shared" si="44"/>
        <v>788.95296861981308</v>
      </c>
      <c r="H391" s="7">
        <f t="shared" si="45"/>
        <v>5.8806975252475354E-13</v>
      </c>
      <c r="I391" s="8">
        <f t="shared" si="46"/>
        <v>5.8806975252475354E-13</v>
      </c>
    </row>
    <row r="392" spans="1:9" x14ac:dyDescent="0.2">
      <c r="A392" s="5">
        <v>820</v>
      </c>
      <c r="B392" s="6">
        <v>1.38507</v>
      </c>
      <c r="C392" s="6">
        <f t="shared" si="42"/>
        <v>1.35107</v>
      </c>
      <c r="D392" s="6">
        <f t="shared" si="43"/>
        <v>1107.8774000000001</v>
      </c>
      <c r="E392" s="6">
        <f t="shared" si="47"/>
        <v>-296.17836199999999</v>
      </c>
      <c r="F392" s="6">
        <f t="shared" si="48"/>
        <v>-2.5045000000000206E-3</v>
      </c>
      <c r="G392" s="6">
        <f t="shared" si="44"/>
        <v>790.45260689710403</v>
      </c>
      <c r="H392" s="7">
        <f t="shared" si="45"/>
        <v>5.767780326531378E-13</v>
      </c>
      <c r="I392" s="8">
        <f t="shared" si="46"/>
        <v>5.767780326531378E-13</v>
      </c>
    </row>
    <row r="393" spans="1:9" x14ac:dyDescent="0.2">
      <c r="A393" s="5">
        <v>818</v>
      </c>
      <c r="B393" s="6">
        <v>1.391</v>
      </c>
      <c r="C393" s="6">
        <f t="shared" si="42"/>
        <v>1.357</v>
      </c>
      <c r="D393" s="6">
        <f t="shared" si="43"/>
        <v>1110.0260000000001</v>
      </c>
      <c r="E393" s="6">
        <f t="shared" si="47"/>
        <v>-298.88643200000001</v>
      </c>
      <c r="F393" s="6">
        <f t="shared" si="48"/>
        <v>-2.4210000000000065E-3</v>
      </c>
      <c r="G393" s="6">
        <f t="shared" si="44"/>
        <v>792.61610281303717</v>
      </c>
      <c r="H393" s="7">
        <f t="shared" si="45"/>
        <v>5.9830414702028173E-13</v>
      </c>
      <c r="I393" s="8">
        <f t="shared" si="46"/>
        <v>5.9830414702028173E-13</v>
      </c>
    </row>
    <row r="394" spans="1:9" x14ac:dyDescent="0.2">
      <c r="A394" s="5">
        <v>816</v>
      </c>
      <c r="B394" s="6">
        <v>1.394754</v>
      </c>
      <c r="C394" s="6">
        <f t="shared" si="42"/>
        <v>1.360754</v>
      </c>
      <c r="D394" s="6">
        <f t="shared" si="43"/>
        <v>1110.375264</v>
      </c>
      <c r="E394" s="6">
        <f t="shared" si="47"/>
        <v>-301.60418600000003</v>
      </c>
      <c r="F394" s="6">
        <f t="shared" si="48"/>
        <v>-2.3115000000000219E-3</v>
      </c>
      <c r="G394" s="6">
        <f t="shared" si="44"/>
        <v>793.97820082794669</v>
      </c>
      <c r="H394" s="7">
        <f t="shared" si="45"/>
        <v>6.2772379586615868E-13</v>
      </c>
      <c r="I394" s="8">
        <f t="shared" si="46"/>
        <v>6.2772379586615868E-13</v>
      </c>
    </row>
    <row r="395" spans="1:9" x14ac:dyDescent="0.2">
      <c r="A395" s="5">
        <v>814</v>
      </c>
      <c r="B395" s="6">
        <v>1.4002460000000001</v>
      </c>
      <c r="C395" s="6">
        <f t="shared" si="42"/>
        <v>1.3662460000000001</v>
      </c>
      <c r="D395" s="6">
        <f t="shared" si="43"/>
        <v>1112.1242440000001</v>
      </c>
      <c r="E395" s="6">
        <f t="shared" si="47"/>
        <v>-304.331186</v>
      </c>
      <c r="F395" s="6">
        <f t="shared" si="48"/>
        <v>-3.096500000000002E-3</v>
      </c>
      <c r="G395" s="6">
        <f t="shared" si="44"/>
        <v>795.95992921417007</v>
      </c>
      <c r="H395" s="7">
        <f t="shared" si="45"/>
        <v>4.6975783426378962E-13</v>
      </c>
      <c r="I395" s="8">
        <f t="shared" si="46"/>
        <v>4.6975783426378962E-13</v>
      </c>
    </row>
    <row r="396" spans="1:9" x14ac:dyDescent="0.2">
      <c r="A396" s="5">
        <v>812</v>
      </c>
      <c r="B396" s="6">
        <v>1.4071400000000001</v>
      </c>
      <c r="C396" s="6">
        <f t="shared" si="42"/>
        <v>1.37314</v>
      </c>
      <c r="D396" s="6">
        <f t="shared" si="43"/>
        <v>1114.9896800000001</v>
      </c>
      <c r="E396" s="6">
        <f t="shared" si="47"/>
        <v>-307.07057200000003</v>
      </c>
      <c r="F396" s="6">
        <f t="shared" si="48"/>
        <v>-2.8552499999999759E-3</v>
      </c>
      <c r="G396" s="6">
        <f t="shared" si="44"/>
        <v>798.43376603110823</v>
      </c>
      <c r="H396" s="7">
        <f t="shared" si="45"/>
        <v>5.1103267118941855E-13</v>
      </c>
      <c r="I396" s="8">
        <f t="shared" si="46"/>
        <v>5.1103267118941855E-13</v>
      </c>
    </row>
    <row r="397" spans="1:9" x14ac:dyDescent="0.2">
      <c r="A397" s="5">
        <v>810</v>
      </c>
      <c r="B397" s="6">
        <v>1.411667</v>
      </c>
      <c r="C397" s="6">
        <f t="shared" si="42"/>
        <v>1.377667</v>
      </c>
      <c r="D397" s="6">
        <f t="shared" si="43"/>
        <v>1115.9102700000001</v>
      </c>
      <c r="E397" s="6">
        <f t="shared" si="47"/>
        <v>-309.82137900000004</v>
      </c>
      <c r="F397" s="6">
        <f t="shared" si="48"/>
        <v>-2.5000000000000022E-3</v>
      </c>
      <c r="G397" s="6">
        <f t="shared" si="44"/>
        <v>800.0491766772177</v>
      </c>
      <c r="H397" s="7">
        <f t="shared" si="45"/>
        <v>5.8483126950088963E-13</v>
      </c>
      <c r="I397" s="8">
        <f t="shared" si="46"/>
        <v>5.8483126950088963E-13</v>
      </c>
    </row>
    <row r="398" spans="1:9" x14ac:dyDescent="0.2">
      <c r="A398" s="5">
        <v>808</v>
      </c>
      <c r="B398" s="6">
        <v>1.4171400000000001</v>
      </c>
      <c r="C398" s="6">
        <f t="shared" si="42"/>
        <v>1.38314</v>
      </c>
      <c r="D398" s="6">
        <f t="shared" si="43"/>
        <v>1117.5771199999999</v>
      </c>
      <c r="E398" s="6">
        <f t="shared" si="47"/>
        <v>-312.58218600000004</v>
      </c>
      <c r="F398" s="6">
        <f t="shared" si="48"/>
        <v>-1.7280000000000073E-3</v>
      </c>
      <c r="G398" s="6">
        <f t="shared" si="44"/>
        <v>801.99121112037164</v>
      </c>
      <c r="H398" s="7">
        <f t="shared" si="45"/>
        <v>8.4816389658840658E-13</v>
      </c>
      <c r="I398" s="8">
        <f t="shared" si="46"/>
        <v>8.4816389658840658E-13</v>
      </c>
    </row>
    <row r="399" spans="1:9" x14ac:dyDescent="0.2">
      <c r="A399" s="5">
        <v>806</v>
      </c>
      <c r="B399" s="6">
        <v>1.418579</v>
      </c>
      <c r="C399" s="6">
        <f t="shared" si="42"/>
        <v>1.384579</v>
      </c>
      <c r="D399" s="6">
        <f t="shared" si="43"/>
        <v>1115.9706739999999</v>
      </c>
      <c r="E399" s="6">
        <f t="shared" si="47"/>
        <v>-315.34990500000004</v>
      </c>
      <c r="F399" s="6">
        <f t="shared" si="48"/>
        <v>-1.3552499999999745E-3</v>
      </c>
      <c r="G399" s="6">
        <f t="shared" si="44"/>
        <v>802.49894659811662</v>
      </c>
      <c r="H399" s="7">
        <f t="shared" si="45"/>
        <v>1.0821288267606316E-12</v>
      </c>
      <c r="I399" s="8">
        <f t="shared" si="46"/>
        <v>1.0821288267606316E-12</v>
      </c>
    </row>
    <row r="400" spans="1:9" x14ac:dyDescent="0.2">
      <c r="A400" s="5">
        <v>804</v>
      </c>
      <c r="B400" s="6">
        <v>1.422561</v>
      </c>
      <c r="C400" s="6">
        <f t="shared" si="42"/>
        <v>1.3885609999999999</v>
      </c>
      <c r="D400" s="6">
        <f t="shared" si="43"/>
        <v>1116.4030439999999</v>
      </c>
      <c r="E400" s="6">
        <f t="shared" si="47"/>
        <v>-318.12304500000005</v>
      </c>
      <c r="F400" s="6">
        <f t="shared" si="48"/>
        <v>-2.4604999999999766E-3</v>
      </c>
      <c r="G400" s="6">
        <f t="shared" si="44"/>
        <v>803.89598792986135</v>
      </c>
      <c r="H400" s="7">
        <f t="shared" si="45"/>
        <v>5.9707708395712864E-13</v>
      </c>
      <c r="I400" s="8">
        <f t="shared" si="46"/>
        <v>5.9707708395712864E-13</v>
      </c>
    </row>
    <row r="401" spans="1:9" x14ac:dyDescent="0.2">
      <c r="A401" s="5">
        <v>802</v>
      </c>
      <c r="B401" s="6">
        <v>1.4284209999999999</v>
      </c>
      <c r="C401" s="6">
        <f t="shared" si="42"/>
        <v>1.3944209999999999</v>
      </c>
      <c r="D401" s="6">
        <f t="shared" si="43"/>
        <v>1118.325642</v>
      </c>
      <c r="E401" s="6">
        <f t="shared" si="47"/>
        <v>-320.90602700000005</v>
      </c>
      <c r="F401" s="6">
        <f t="shared" si="48"/>
        <v>-3.1625000000000125E-3</v>
      </c>
      <c r="G401" s="6">
        <f t="shared" si="44"/>
        <v>805.94018510816954</v>
      </c>
      <c r="H401" s="7">
        <f t="shared" si="45"/>
        <v>4.6572139305420707E-13</v>
      </c>
      <c r="I401" s="8">
        <f t="shared" si="46"/>
        <v>4.6572139305420707E-13</v>
      </c>
    </row>
    <row r="402" spans="1:9" x14ac:dyDescent="0.2">
      <c r="A402" s="5">
        <v>800</v>
      </c>
      <c r="B402" s="6">
        <v>1.435211</v>
      </c>
      <c r="C402" s="6">
        <f t="shared" si="42"/>
        <v>1.401211</v>
      </c>
      <c r="D402" s="6">
        <f t="shared" si="43"/>
        <v>1120.9688000000001</v>
      </c>
      <c r="E402" s="6">
        <f t="shared" si="47"/>
        <v>-323.70165900000006</v>
      </c>
      <c r="F402" s="6">
        <f t="shared" si="48"/>
        <v>-3.5220000000000251E-3</v>
      </c>
      <c r="G402" s="6">
        <f t="shared" si="44"/>
        <v>808.2952226577795</v>
      </c>
      <c r="H402" s="7">
        <f t="shared" si="45"/>
        <v>4.1940593476021116E-13</v>
      </c>
      <c r="I402" s="8">
        <f t="shared" si="46"/>
        <v>4.1940593476021116E-13</v>
      </c>
    </row>
    <row r="403" spans="1:9" x14ac:dyDescent="0.2">
      <c r="A403" s="5">
        <v>798</v>
      </c>
      <c r="B403" s="6">
        <v>1.442509</v>
      </c>
      <c r="C403" s="6">
        <f t="shared" si="42"/>
        <v>1.408509</v>
      </c>
      <c r="D403" s="6">
        <f t="shared" si="43"/>
        <v>1123.990182</v>
      </c>
      <c r="E403" s="6">
        <f t="shared" si="47"/>
        <v>-326.51137900000009</v>
      </c>
      <c r="F403" s="6">
        <f t="shared" si="48"/>
        <v>-3.7499999999999756E-3</v>
      </c>
      <c r="G403" s="6">
        <f t="shared" si="44"/>
        <v>810.81185847472386</v>
      </c>
      <c r="H403" s="7">
        <f t="shared" si="45"/>
        <v>3.9513248463680753E-13</v>
      </c>
      <c r="I403" s="8">
        <f t="shared" si="46"/>
        <v>3.9513248463680753E-13</v>
      </c>
    </row>
    <row r="404" spans="1:9" x14ac:dyDescent="0.2">
      <c r="A404" s="5">
        <v>796</v>
      </c>
      <c r="B404" s="6">
        <v>1.4502109999999999</v>
      </c>
      <c r="C404" s="6">
        <f t="shared" si="42"/>
        <v>1.4162109999999999</v>
      </c>
      <c r="D404" s="6">
        <f t="shared" si="43"/>
        <v>1127.303956</v>
      </c>
      <c r="E404" s="6">
        <f t="shared" si="47"/>
        <v>-329.3360990000001</v>
      </c>
      <c r="F404" s="6">
        <f t="shared" si="48"/>
        <v>-3.7147499999999889E-3</v>
      </c>
      <c r="G404" s="6">
        <f t="shared" si="44"/>
        <v>813.45240529167449</v>
      </c>
      <c r="H404" s="7">
        <f t="shared" si="45"/>
        <v>4.0018100224551177E-13</v>
      </c>
      <c r="I404" s="8">
        <f t="shared" si="46"/>
        <v>4.0018100224551177E-13</v>
      </c>
    </row>
    <row r="405" spans="1:9" x14ac:dyDescent="0.2">
      <c r="A405" s="5">
        <v>794</v>
      </c>
      <c r="B405" s="6">
        <v>1.457368</v>
      </c>
      <c r="C405" s="6">
        <f t="shared" si="42"/>
        <v>1.423368</v>
      </c>
      <c r="D405" s="6">
        <f t="shared" si="43"/>
        <v>1130.154192</v>
      </c>
      <c r="E405" s="6">
        <f t="shared" si="47"/>
        <v>-332.17567800000012</v>
      </c>
      <c r="F405" s="6">
        <f t="shared" si="48"/>
        <v>-3.3332500000000098E-3</v>
      </c>
      <c r="G405" s="6">
        <f t="shared" si="44"/>
        <v>815.89179079426026</v>
      </c>
      <c r="H405" s="7">
        <f t="shared" si="45"/>
        <v>4.4732027883715618E-13</v>
      </c>
      <c r="I405" s="8">
        <f t="shared" si="46"/>
        <v>4.4732027883715618E-13</v>
      </c>
    </row>
    <row r="406" spans="1:9" x14ac:dyDescent="0.2">
      <c r="A406" s="5">
        <v>792</v>
      </c>
      <c r="B406" s="6">
        <v>1.463544</v>
      </c>
      <c r="C406" s="6">
        <f t="shared" si="42"/>
        <v>1.4295439999999999</v>
      </c>
      <c r="D406" s="6">
        <f t="shared" si="43"/>
        <v>1132.198848</v>
      </c>
      <c r="E406" s="6">
        <f t="shared" si="47"/>
        <v>-335.02859000000012</v>
      </c>
      <c r="F406" s="6">
        <f t="shared" si="48"/>
        <v>-3.1625000000000125E-3</v>
      </c>
      <c r="G406" s="6">
        <f t="shared" si="44"/>
        <v>817.9844611309893</v>
      </c>
      <c r="H406" s="7">
        <f t="shared" si="45"/>
        <v>4.7268131031769995E-13</v>
      </c>
      <c r="I406" s="8">
        <f t="shared" si="46"/>
        <v>4.7268131031769995E-13</v>
      </c>
    </row>
    <row r="407" spans="1:9" x14ac:dyDescent="0.2">
      <c r="A407" s="5">
        <v>790</v>
      </c>
      <c r="B407" s="6">
        <v>1.470018</v>
      </c>
      <c r="C407" s="6">
        <f t="shared" si="42"/>
        <v>1.436018</v>
      </c>
      <c r="D407" s="6">
        <f t="shared" si="43"/>
        <v>1134.4542200000001</v>
      </c>
      <c r="E407" s="6">
        <f t="shared" si="47"/>
        <v>-337.89415200000013</v>
      </c>
      <c r="F407" s="6">
        <f t="shared" si="48"/>
        <v>-3.1842499999999996E-3</v>
      </c>
      <c r="G407" s="6">
        <f t="shared" si="44"/>
        <v>820.16515752217856</v>
      </c>
      <c r="H407" s="7">
        <f t="shared" si="45"/>
        <v>4.7070419554152609E-13</v>
      </c>
      <c r="I407" s="8">
        <f t="shared" si="46"/>
        <v>4.7070419554152609E-13</v>
      </c>
    </row>
    <row r="408" spans="1:9" x14ac:dyDescent="0.2">
      <c r="A408" s="5">
        <v>788</v>
      </c>
      <c r="B408" s="6">
        <v>1.476281</v>
      </c>
      <c r="C408" s="6">
        <f t="shared" si="42"/>
        <v>1.4422809999999999</v>
      </c>
      <c r="D408" s="6">
        <f t="shared" si="43"/>
        <v>1136.5174279999999</v>
      </c>
      <c r="E408" s="6">
        <f t="shared" si="47"/>
        <v>-340.77245100000016</v>
      </c>
      <c r="F408" s="6">
        <f t="shared" si="48"/>
        <v>-2.8944999999999665E-3</v>
      </c>
      <c r="G408" s="6">
        <f t="shared" si="44"/>
        <v>822.26225486138412</v>
      </c>
      <c r="H408" s="7">
        <f t="shared" si="45"/>
        <v>5.1914743457633507E-13</v>
      </c>
      <c r="I408" s="8">
        <f t="shared" si="46"/>
        <v>5.1914743457633507E-13</v>
      </c>
    </row>
    <row r="409" spans="1:9" x14ac:dyDescent="0.2">
      <c r="A409" s="5">
        <v>786</v>
      </c>
      <c r="B409" s="6">
        <v>1.4815959999999999</v>
      </c>
      <c r="C409" s="6">
        <f t="shared" si="42"/>
        <v>1.4475959999999999</v>
      </c>
      <c r="D409" s="6">
        <f t="shared" si="43"/>
        <v>1137.8104559999999</v>
      </c>
      <c r="E409" s="6">
        <f t="shared" si="47"/>
        <v>-343.66232800000017</v>
      </c>
      <c r="F409" s="6">
        <f t="shared" si="48"/>
        <v>-3.2059999999999866E-3</v>
      </c>
      <c r="G409" s="6">
        <f t="shared" si="44"/>
        <v>824.0312947253276</v>
      </c>
      <c r="H409" s="7">
        <f t="shared" si="45"/>
        <v>4.6971464250448893E-13</v>
      </c>
      <c r="I409" s="8">
        <f t="shared" si="46"/>
        <v>4.6971464250448893E-13</v>
      </c>
    </row>
    <row r="410" spans="1:9" x14ac:dyDescent="0.2">
      <c r="A410" s="5">
        <v>784</v>
      </c>
      <c r="B410" s="6">
        <v>1.4891049999999999</v>
      </c>
      <c r="C410" s="6">
        <f t="shared" si="42"/>
        <v>1.4551049999999999</v>
      </c>
      <c r="D410" s="6">
        <f t="shared" si="43"/>
        <v>1140.80232</v>
      </c>
      <c r="E410" s="6">
        <f t="shared" si="47"/>
        <v>-346.56502900000015</v>
      </c>
      <c r="F410" s="6">
        <f t="shared" si="48"/>
        <v>-3.140500000000046E-3</v>
      </c>
      <c r="G410" s="6">
        <f t="shared" si="44"/>
        <v>826.51556559425535</v>
      </c>
      <c r="H410" s="7">
        <f t="shared" si="45"/>
        <v>4.8095688984638719E-13</v>
      </c>
      <c r="I410" s="8">
        <f t="shared" si="46"/>
        <v>4.8095688984638719E-13</v>
      </c>
    </row>
    <row r="411" spans="1:9" x14ac:dyDescent="0.2">
      <c r="A411" s="5">
        <v>782</v>
      </c>
      <c r="B411" s="6">
        <v>1.4941580000000001</v>
      </c>
      <c r="C411" s="6">
        <f t="shared" si="42"/>
        <v>1.4601580000000001</v>
      </c>
      <c r="D411" s="6">
        <f t="shared" si="43"/>
        <v>1141.843556</v>
      </c>
      <c r="E411" s="6">
        <f t="shared" si="47"/>
        <v>-349.48029200000013</v>
      </c>
      <c r="F411" s="6">
        <f t="shared" si="48"/>
        <v>-2.4562500000000487E-3</v>
      </c>
      <c r="G411" s="6">
        <f t="shared" si="44"/>
        <v>828.1771896116602</v>
      </c>
      <c r="H411" s="7">
        <f t="shared" si="45"/>
        <v>6.1617575823374236E-13</v>
      </c>
      <c r="I411" s="8">
        <f t="shared" si="46"/>
        <v>6.1617575823374236E-13</v>
      </c>
    </row>
    <row r="412" spans="1:9" x14ac:dyDescent="0.2">
      <c r="A412" s="5">
        <v>780</v>
      </c>
      <c r="B412" s="6">
        <v>1.4989300000000001</v>
      </c>
      <c r="C412" s="6">
        <f t="shared" si="42"/>
        <v>1.4649300000000001</v>
      </c>
      <c r="D412" s="6">
        <f t="shared" si="43"/>
        <v>1142.6454000000001</v>
      </c>
      <c r="E412" s="6">
        <f t="shared" si="47"/>
        <v>-352.40538000000015</v>
      </c>
      <c r="F412" s="6">
        <f t="shared" si="48"/>
        <v>-3.1052499999999483E-3</v>
      </c>
      <c r="G412" s="6">
        <f t="shared" si="44"/>
        <v>829.73686583945675</v>
      </c>
      <c r="H412" s="7">
        <f t="shared" si="45"/>
        <v>4.883123715210367E-13</v>
      </c>
      <c r="I412" s="8">
        <f t="shared" si="46"/>
        <v>4.883123715210367E-13</v>
      </c>
    </row>
    <row r="413" spans="1:9" x14ac:dyDescent="0.2">
      <c r="A413" s="5">
        <v>778</v>
      </c>
      <c r="B413" s="6">
        <v>1.5065789999999999</v>
      </c>
      <c r="C413" s="6">
        <f t="shared" si="42"/>
        <v>1.4725789999999999</v>
      </c>
      <c r="D413" s="6">
        <f t="shared" si="43"/>
        <v>1145.6664619999999</v>
      </c>
      <c r="E413" s="6">
        <f t="shared" si="47"/>
        <v>-355.34288900000013</v>
      </c>
      <c r="F413" s="6">
        <f t="shared" si="48"/>
        <v>-3.6489999999999578E-3</v>
      </c>
      <c r="G413" s="6">
        <f t="shared" si="44"/>
        <v>832.22156018363421</v>
      </c>
      <c r="H413" s="7">
        <f t="shared" si="45"/>
        <v>4.1679165093278566E-13</v>
      </c>
      <c r="I413" s="8">
        <f t="shared" si="46"/>
        <v>4.1679165093278566E-13</v>
      </c>
    </row>
    <row r="414" spans="1:9" x14ac:dyDescent="0.2">
      <c r="A414" s="5">
        <v>776</v>
      </c>
      <c r="B414" s="6">
        <v>1.5135259999999999</v>
      </c>
      <c r="C414" s="6">
        <f t="shared" si="42"/>
        <v>1.4795259999999999</v>
      </c>
      <c r="D414" s="6">
        <f t="shared" si="43"/>
        <v>1148.1121759999999</v>
      </c>
      <c r="E414" s="6">
        <f t="shared" si="47"/>
        <v>-358.29499400000014</v>
      </c>
      <c r="F414" s="6">
        <f t="shared" si="48"/>
        <v>-3.5877500000000007E-3</v>
      </c>
      <c r="G414" s="6">
        <f t="shared" si="44"/>
        <v>834.46432347334553</v>
      </c>
      <c r="H414" s="7">
        <f t="shared" si="45"/>
        <v>4.2504950216060975E-13</v>
      </c>
      <c r="I414" s="8">
        <f t="shared" si="46"/>
        <v>4.2504950216060975E-13</v>
      </c>
    </row>
    <row r="415" spans="1:9" x14ac:dyDescent="0.2">
      <c r="A415" s="5">
        <v>774</v>
      </c>
      <c r="B415" s="6">
        <v>1.5209299999999999</v>
      </c>
      <c r="C415" s="6">
        <f t="shared" si="42"/>
        <v>1.4869299999999999</v>
      </c>
      <c r="D415" s="6">
        <f t="shared" si="43"/>
        <v>1150.8838199999998</v>
      </c>
      <c r="E415" s="6">
        <f t="shared" si="47"/>
        <v>-361.26145000000014</v>
      </c>
      <c r="F415" s="6">
        <f t="shared" si="48"/>
        <v>-3.4517500000000312E-3</v>
      </c>
      <c r="G415" s="6">
        <f t="shared" si="44"/>
        <v>836.839816235836</v>
      </c>
      <c r="H415" s="7">
        <f t="shared" si="45"/>
        <v>4.4305425644114986E-13</v>
      </c>
      <c r="I415" s="8">
        <f t="shared" si="46"/>
        <v>4.4305425644114986E-13</v>
      </c>
    </row>
    <row r="416" spans="1:9" x14ac:dyDescent="0.2">
      <c r="A416" s="5">
        <v>772</v>
      </c>
      <c r="B416" s="6">
        <v>1.5273330000000001</v>
      </c>
      <c r="C416" s="6">
        <f t="shared" si="42"/>
        <v>1.493333</v>
      </c>
      <c r="D416" s="6">
        <f t="shared" si="43"/>
        <v>1152.8530760000001</v>
      </c>
      <c r="E416" s="6">
        <f t="shared" si="47"/>
        <v>-364.24171300000012</v>
      </c>
      <c r="F416" s="6">
        <f t="shared" si="48"/>
        <v>-2.8332500000000094E-3</v>
      </c>
      <c r="G416" s="6">
        <f t="shared" si="44"/>
        <v>838.88134305029143</v>
      </c>
      <c r="H416" s="7">
        <f t="shared" si="45"/>
        <v>5.410900520876315E-13</v>
      </c>
      <c r="I416" s="8">
        <f t="shared" si="46"/>
        <v>5.410900520876315E-13</v>
      </c>
    </row>
    <row r="417" spans="1:9" x14ac:dyDescent="0.2">
      <c r="A417" s="5">
        <v>770</v>
      </c>
      <c r="B417" s="6">
        <v>1.5322629999999999</v>
      </c>
      <c r="C417" s="6">
        <f t="shared" si="42"/>
        <v>1.4982629999999999</v>
      </c>
      <c r="D417" s="6">
        <f t="shared" si="43"/>
        <v>1153.6625099999999</v>
      </c>
      <c r="E417" s="6">
        <f t="shared" si="47"/>
        <v>-367.23330900000013</v>
      </c>
      <c r="F417" s="6">
        <f t="shared" si="48"/>
        <v>-2.4782499999999597E-3</v>
      </c>
      <c r="G417" s="6">
        <f t="shared" si="44"/>
        <v>840.44335985729822</v>
      </c>
      <c r="H417" s="7">
        <f t="shared" si="45"/>
        <v>6.1975101501285731E-13</v>
      </c>
      <c r="I417" s="8">
        <f t="shared" si="46"/>
        <v>6.1975101501285731E-13</v>
      </c>
    </row>
    <row r="418" spans="1:9" x14ac:dyDescent="0.2">
      <c r="A418" s="5">
        <v>768</v>
      </c>
      <c r="B418" s="6">
        <v>1.5372459999999999</v>
      </c>
      <c r="C418" s="6">
        <f t="shared" si="42"/>
        <v>1.5032459999999999</v>
      </c>
      <c r="D418" s="6">
        <f t="shared" si="43"/>
        <v>1154.4929279999999</v>
      </c>
      <c r="E418" s="6">
        <f t="shared" si="47"/>
        <v>-370.23481800000013</v>
      </c>
      <c r="F418" s="6">
        <f t="shared" si="48"/>
        <v>-2.5877499999999998E-3</v>
      </c>
      <c r="G418" s="6">
        <f t="shared" si="44"/>
        <v>842.01220313707813</v>
      </c>
      <c r="H418" s="7">
        <f t="shared" si="45"/>
        <v>5.9463433141264867E-13</v>
      </c>
      <c r="I418" s="8">
        <f t="shared" si="46"/>
        <v>5.9463433141264867E-13</v>
      </c>
    </row>
    <row r="419" spans="1:9" x14ac:dyDescent="0.2">
      <c r="A419" s="5">
        <v>766</v>
      </c>
      <c r="B419" s="6">
        <v>1.5426139999999999</v>
      </c>
      <c r="C419" s="6">
        <f t="shared" si="42"/>
        <v>1.5086139999999999</v>
      </c>
      <c r="D419" s="6">
        <f t="shared" si="43"/>
        <v>1155.5983239999998</v>
      </c>
      <c r="E419" s="6">
        <f t="shared" si="47"/>
        <v>-373.24667800000014</v>
      </c>
      <c r="F419" s="6">
        <f t="shared" si="48"/>
        <v>-2.4605000000000321E-3</v>
      </c>
      <c r="G419" s="6">
        <f t="shared" si="44"/>
        <v>843.69152347379463</v>
      </c>
      <c r="H419" s="7">
        <f t="shared" si="45"/>
        <v>6.2663439320339107E-13</v>
      </c>
      <c r="I419" s="8">
        <f t="shared" si="46"/>
        <v>6.2663439320339107E-13</v>
      </c>
    </row>
    <row r="420" spans="1:9" x14ac:dyDescent="0.2">
      <c r="A420" s="5">
        <v>764</v>
      </c>
      <c r="B420" s="6">
        <v>1.547088</v>
      </c>
      <c r="C420" s="6">
        <f t="shared" si="42"/>
        <v>1.513088</v>
      </c>
      <c r="D420" s="6">
        <f t="shared" si="43"/>
        <v>1155.9992319999999</v>
      </c>
      <c r="E420" s="6">
        <f t="shared" si="47"/>
        <v>-376.26838000000015</v>
      </c>
      <c r="F420" s="6">
        <f t="shared" si="48"/>
        <v>-2.8552500000000314E-3</v>
      </c>
      <c r="G420" s="6">
        <f t="shared" si="44"/>
        <v>845.08221764713119</v>
      </c>
      <c r="H420" s="7">
        <f t="shared" si="45"/>
        <v>5.4088972865666173E-13</v>
      </c>
      <c r="I420" s="8">
        <f t="shared" si="46"/>
        <v>5.4088972865666173E-13</v>
      </c>
    </row>
    <row r="421" spans="1:9" x14ac:dyDescent="0.2">
      <c r="A421" s="5">
        <v>762</v>
      </c>
      <c r="B421" s="6">
        <v>1.5540350000000001</v>
      </c>
      <c r="C421" s="6">
        <f t="shared" si="42"/>
        <v>1.520035</v>
      </c>
      <c r="D421" s="6">
        <f t="shared" si="43"/>
        <v>1158.26667</v>
      </c>
      <c r="E421" s="6">
        <f t="shared" si="47"/>
        <v>-379.30150300000014</v>
      </c>
      <c r="F421" s="6">
        <f t="shared" si="48"/>
        <v>-3.5262500000000085E-3</v>
      </c>
      <c r="G421" s="6">
        <f t="shared" si="44"/>
        <v>847.22772293684238</v>
      </c>
      <c r="H421" s="7">
        <f t="shared" si="45"/>
        <v>4.3907728530219281E-13</v>
      </c>
      <c r="I421" s="8">
        <f t="shared" si="46"/>
        <v>4.3907728530219281E-13</v>
      </c>
    </row>
    <row r="422" spans="1:9" x14ac:dyDescent="0.2">
      <c r="A422" s="5">
        <v>760</v>
      </c>
      <c r="B422" s="6">
        <v>1.5611930000000001</v>
      </c>
      <c r="C422" s="6">
        <f t="shared" si="42"/>
        <v>1.527193</v>
      </c>
      <c r="D422" s="6">
        <f t="shared" si="43"/>
        <v>1160.66668</v>
      </c>
      <c r="E422" s="6">
        <f t="shared" si="47"/>
        <v>-382.34873100000016</v>
      </c>
      <c r="F422" s="6">
        <f t="shared" si="48"/>
        <v>-3.2367500000000105E-3</v>
      </c>
      <c r="G422" s="6">
        <f t="shared" si="44"/>
        <v>849.4240772785372</v>
      </c>
      <c r="H422" s="7">
        <f t="shared" si="45"/>
        <v>4.7958911956309873E-13</v>
      </c>
      <c r="I422" s="8">
        <f t="shared" si="46"/>
        <v>4.7958911956309873E-13</v>
      </c>
    </row>
    <row r="423" spans="1:9" x14ac:dyDescent="0.2">
      <c r="A423" s="5">
        <v>758</v>
      </c>
      <c r="B423" s="6">
        <v>1.5669820000000001</v>
      </c>
      <c r="C423" s="6">
        <f t="shared" si="42"/>
        <v>1.5329820000000001</v>
      </c>
      <c r="D423" s="6">
        <f t="shared" si="43"/>
        <v>1162.000356</v>
      </c>
      <c r="E423" s="6">
        <f t="shared" si="47"/>
        <v>-385.40890600000017</v>
      </c>
      <c r="F423" s="6">
        <f t="shared" si="48"/>
        <v>-2.7849999999999819E-3</v>
      </c>
      <c r="G423" s="6">
        <f t="shared" si="44"/>
        <v>851.18879088011181</v>
      </c>
      <c r="H423" s="7">
        <f t="shared" si="45"/>
        <v>5.5854042048576157E-13</v>
      </c>
      <c r="I423" s="8">
        <f t="shared" si="46"/>
        <v>5.5854042048576157E-13</v>
      </c>
    </row>
    <row r="424" spans="1:9" x14ac:dyDescent="0.2">
      <c r="A424" s="5">
        <v>756</v>
      </c>
      <c r="B424" s="6">
        <v>1.572333</v>
      </c>
      <c r="C424" s="6">
        <f t="shared" si="42"/>
        <v>1.538333</v>
      </c>
      <c r="D424" s="6">
        <f t="shared" si="43"/>
        <v>1162.979748</v>
      </c>
      <c r="E424" s="6">
        <f t="shared" si="47"/>
        <v>-388.4802210000002</v>
      </c>
      <c r="F424" s="6">
        <f t="shared" si="48"/>
        <v>-2.8992499999999644E-3</v>
      </c>
      <c r="G424" s="6">
        <f t="shared" si="44"/>
        <v>852.80928295197646</v>
      </c>
      <c r="H424" s="7">
        <f t="shared" si="45"/>
        <v>5.3755160700966905E-13</v>
      </c>
      <c r="I424" s="8">
        <f t="shared" si="46"/>
        <v>5.3755160700966905E-13</v>
      </c>
    </row>
    <row r="425" spans="1:9" x14ac:dyDescent="0.2">
      <c r="A425" s="5">
        <v>754</v>
      </c>
      <c r="B425" s="6">
        <v>1.578579</v>
      </c>
      <c r="C425" s="6">
        <f t="shared" si="42"/>
        <v>1.5445789999999999</v>
      </c>
      <c r="D425" s="6">
        <f t="shared" si="43"/>
        <v>1164.612566</v>
      </c>
      <c r="E425" s="6">
        <f t="shared" si="47"/>
        <v>-391.56313300000022</v>
      </c>
      <c r="F425" s="6">
        <f t="shared" si="48"/>
        <v>-3.2194999999999863E-3</v>
      </c>
      <c r="G425" s="6">
        <f t="shared" si="44"/>
        <v>854.68832402633052</v>
      </c>
      <c r="H425" s="7">
        <f t="shared" si="45"/>
        <v>4.8514689135418296E-13</v>
      </c>
      <c r="I425" s="8">
        <f t="shared" si="46"/>
        <v>4.8514689135418296E-13</v>
      </c>
    </row>
    <row r="426" spans="1:9" x14ac:dyDescent="0.2">
      <c r="A426" s="5">
        <v>752</v>
      </c>
      <c r="B426" s="6">
        <v>1.5852109999999999</v>
      </c>
      <c r="C426" s="6">
        <f t="shared" si="42"/>
        <v>1.5512109999999999</v>
      </c>
      <c r="D426" s="6">
        <f t="shared" si="43"/>
        <v>1166.5106719999999</v>
      </c>
      <c r="E426" s="6">
        <f t="shared" si="47"/>
        <v>-394.65892300000024</v>
      </c>
      <c r="F426" s="6">
        <f t="shared" si="48"/>
        <v>-3.6360000000000281E-3</v>
      </c>
      <c r="G426" s="6">
        <f t="shared" si="44"/>
        <v>856.67022499672998</v>
      </c>
      <c r="H426" s="7">
        <f t="shared" si="45"/>
        <v>4.3056994272910279E-13</v>
      </c>
      <c r="I426" s="8">
        <f t="shared" si="46"/>
        <v>4.3056994272910279E-13</v>
      </c>
    </row>
    <row r="427" spans="1:9" x14ac:dyDescent="0.2">
      <c r="A427" s="5">
        <v>750</v>
      </c>
      <c r="B427" s="6">
        <v>1.5931230000000001</v>
      </c>
      <c r="C427" s="6">
        <f t="shared" si="42"/>
        <v>1.559123</v>
      </c>
      <c r="D427" s="6">
        <f t="shared" si="43"/>
        <v>1169.3422499999999</v>
      </c>
      <c r="E427" s="6">
        <f t="shared" si="47"/>
        <v>-397.76925700000027</v>
      </c>
      <c r="F427" s="6">
        <f t="shared" si="48"/>
        <v>-3.6357499999999932E-3</v>
      </c>
      <c r="G427" s="6">
        <f t="shared" si="44"/>
        <v>859.01881602655521</v>
      </c>
      <c r="H427" s="7">
        <f t="shared" si="45"/>
        <v>4.3178005295576213E-13</v>
      </c>
      <c r="I427" s="8">
        <f t="shared" si="46"/>
        <v>4.3178005295576213E-13</v>
      </c>
    </row>
    <row r="428" spans="1:9" x14ac:dyDescent="0.2">
      <c r="A428" s="5">
        <v>748</v>
      </c>
      <c r="B428" s="6">
        <v>1.5997539999999999</v>
      </c>
      <c r="C428" s="6">
        <f t="shared" si="42"/>
        <v>1.5657539999999999</v>
      </c>
      <c r="D428" s="6">
        <f t="shared" si="43"/>
        <v>1171.183992</v>
      </c>
      <c r="E428" s="6">
        <f t="shared" si="47"/>
        <v>-400.89413400000029</v>
      </c>
      <c r="F428" s="6">
        <f t="shared" si="48"/>
        <v>-3.7499999999999756E-3</v>
      </c>
      <c r="G428" s="6">
        <f t="shared" si="44"/>
        <v>860.97389415784573</v>
      </c>
      <c r="H428" s="7">
        <f t="shared" si="45"/>
        <v>4.1957792112955717E-13</v>
      </c>
      <c r="I428" s="8">
        <f t="shared" si="46"/>
        <v>4.1957792112955717E-13</v>
      </c>
    </row>
    <row r="429" spans="1:9" x14ac:dyDescent="0.2">
      <c r="A429" s="5">
        <v>746</v>
      </c>
      <c r="B429" s="6">
        <v>1.608123</v>
      </c>
      <c r="C429" s="6">
        <f t="shared" si="42"/>
        <v>1.5741229999999999</v>
      </c>
      <c r="D429" s="6">
        <f t="shared" si="43"/>
        <v>1174.295758</v>
      </c>
      <c r="E429" s="6">
        <f t="shared" si="47"/>
        <v>-404.03401100000031</v>
      </c>
      <c r="F429" s="6">
        <f t="shared" si="48"/>
        <v>-4.1625000000000134E-3</v>
      </c>
      <c r="G429" s="6">
        <f t="shared" si="44"/>
        <v>863.42466466045016</v>
      </c>
      <c r="H429" s="7">
        <f t="shared" si="45"/>
        <v>3.7907410246230758E-13</v>
      </c>
      <c r="I429" s="8">
        <f t="shared" si="46"/>
        <v>3.7907410246230758E-13</v>
      </c>
    </row>
    <row r="430" spans="1:9" x14ac:dyDescent="0.2">
      <c r="A430" s="5">
        <v>744</v>
      </c>
      <c r="B430" s="6">
        <v>1.616404</v>
      </c>
      <c r="C430" s="6">
        <f t="shared" si="42"/>
        <v>1.5824039999999999</v>
      </c>
      <c r="D430" s="6">
        <f t="shared" si="43"/>
        <v>1177.3085759999999</v>
      </c>
      <c r="E430" s="6">
        <f t="shared" si="47"/>
        <v>-407.19053800000029</v>
      </c>
      <c r="F430" s="6">
        <f t="shared" si="48"/>
        <v>-3.9737499999999981E-3</v>
      </c>
      <c r="G430" s="6">
        <f t="shared" si="44"/>
        <v>865.83310332146914</v>
      </c>
      <c r="H430" s="7">
        <f t="shared" si="45"/>
        <v>3.9818743955741606E-13</v>
      </c>
      <c r="I430" s="8">
        <f t="shared" si="46"/>
        <v>3.9818743955741606E-13</v>
      </c>
    </row>
    <row r="431" spans="1:9" x14ac:dyDescent="0.2">
      <c r="A431" s="5">
        <v>742</v>
      </c>
      <c r="B431" s="6">
        <v>1.624018</v>
      </c>
      <c r="C431" s="6">
        <f t="shared" si="42"/>
        <v>1.5900179999999999</v>
      </c>
      <c r="D431" s="6">
        <f t="shared" si="43"/>
        <v>1179.7933559999999</v>
      </c>
      <c r="E431" s="6">
        <f t="shared" si="47"/>
        <v>-410.36296000000027</v>
      </c>
      <c r="F431" s="6">
        <f t="shared" si="48"/>
        <v>-4.0570000000000328E-3</v>
      </c>
      <c r="G431" s="6">
        <f t="shared" si="44"/>
        <v>868.0323242968343</v>
      </c>
      <c r="H431" s="7">
        <f t="shared" si="45"/>
        <v>3.9100724232718628E-13</v>
      </c>
      <c r="I431" s="8">
        <f t="shared" si="46"/>
        <v>3.9100724232718628E-13</v>
      </c>
    </row>
    <row r="432" spans="1:9" x14ac:dyDescent="0.2">
      <c r="A432" s="5">
        <v>740</v>
      </c>
      <c r="B432" s="6">
        <v>1.6326320000000001</v>
      </c>
      <c r="C432" s="6">
        <f t="shared" si="42"/>
        <v>1.5986320000000001</v>
      </c>
      <c r="D432" s="6">
        <f t="shared" si="43"/>
        <v>1182.98768</v>
      </c>
      <c r="E432" s="6">
        <f t="shared" si="47"/>
        <v>-413.55161000000027</v>
      </c>
      <c r="F432" s="6">
        <f t="shared" si="48"/>
        <v>-3.6752500000000188E-3</v>
      </c>
      <c r="G432" s="6">
        <f t="shared" si="44"/>
        <v>870.50315638112579</v>
      </c>
      <c r="H432" s="7">
        <f t="shared" si="45"/>
        <v>4.3284995350851402E-13</v>
      </c>
      <c r="I432" s="8">
        <f t="shared" si="46"/>
        <v>4.3284995350851402E-13</v>
      </c>
    </row>
    <row r="433" spans="1:9" x14ac:dyDescent="0.2">
      <c r="A433" s="5">
        <v>738</v>
      </c>
      <c r="B433" s="6">
        <v>1.638719</v>
      </c>
      <c r="C433" s="6">
        <f t="shared" si="42"/>
        <v>1.604719</v>
      </c>
      <c r="D433" s="6">
        <f t="shared" si="43"/>
        <v>1184.2826219999999</v>
      </c>
      <c r="E433" s="6">
        <f t="shared" si="47"/>
        <v>-416.75496100000026</v>
      </c>
      <c r="F433" s="6">
        <f t="shared" si="48"/>
        <v>-3.6884999999999835E-3</v>
      </c>
      <c r="G433" s="6">
        <f t="shared" si="44"/>
        <v>872.23697203716029</v>
      </c>
      <c r="H433" s="7">
        <f t="shared" si="45"/>
        <v>4.3215407737438041E-13</v>
      </c>
      <c r="I433" s="8">
        <f t="shared" si="46"/>
        <v>4.3215407737438041E-13</v>
      </c>
    </row>
    <row r="434" spans="1:9" x14ac:dyDescent="0.2">
      <c r="A434" s="5">
        <v>736</v>
      </c>
      <c r="B434" s="6">
        <v>1.647386</v>
      </c>
      <c r="C434" s="6">
        <f t="shared" si="42"/>
        <v>1.613386</v>
      </c>
      <c r="D434" s="6">
        <f t="shared" si="43"/>
        <v>1187.452096</v>
      </c>
      <c r="E434" s="6">
        <f t="shared" si="47"/>
        <v>-419.97306600000024</v>
      </c>
      <c r="F434" s="6">
        <f t="shared" si="48"/>
        <v>-4.5569999999999777E-3</v>
      </c>
      <c r="G434" s="6">
        <f t="shared" si="44"/>
        <v>874.68833859422489</v>
      </c>
      <c r="H434" s="7">
        <f t="shared" si="45"/>
        <v>3.5077466555623137E-13</v>
      </c>
      <c r="I434" s="8">
        <f t="shared" si="46"/>
        <v>3.5077466555623137E-13</v>
      </c>
    </row>
    <row r="435" spans="1:9" x14ac:dyDescent="0.2">
      <c r="A435" s="5">
        <v>734</v>
      </c>
      <c r="B435" s="6">
        <v>1.6569469999999999</v>
      </c>
      <c r="C435" s="6">
        <f t="shared" si="42"/>
        <v>1.6229469999999999</v>
      </c>
      <c r="D435" s="6">
        <f t="shared" si="43"/>
        <v>1191.2430979999999</v>
      </c>
      <c r="E435" s="6">
        <f t="shared" si="47"/>
        <v>-423.20939900000025</v>
      </c>
      <c r="F435" s="6">
        <f t="shared" si="48"/>
        <v>-3.6447499999999744E-3</v>
      </c>
      <c r="G435" s="6">
        <f t="shared" si="44"/>
        <v>877.37344131466955</v>
      </c>
      <c r="H435" s="7">
        <f t="shared" si="45"/>
        <v>4.3991690428849015E-13</v>
      </c>
      <c r="I435" s="8">
        <f t="shared" si="46"/>
        <v>4.3991690428849015E-13</v>
      </c>
    </row>
    <row r="436" spans="1:9" x14ac:dyDescent="0.2">
      <c r="A436" s="5">
        <v>732</v>
      </c>
      <c r="B436" s="6">
        <v>1.6619649999999999</v>
      </c>
      <c r="C436" s="6">
        <f t="shared" si="42"/>
        <v>1.6279649999999999</v>
      </c>
      <c r="D436" s="6">
        <f t="shared" si="43"/>
        <v>1191.67038</v>
      </c>
      <c r="E436" s="6">
        <f t="shared" si="47"/>
        <v>-426.46031100000027</v>
      </c>
      <c r="F436" s="6">
        <f t="shared" si="48"/>
        <v>-3.2369999999999899E-3</v>
      </c>
      <c r="G436" s="6">
        <f t="shared" si="44"/>
        <v>878.77265596326197</v>
      </c>
      <c r="H436" s="7">
        <f t="shared" si="45"/>
        <v>4.9612115576750588E-13</v>
      </c>
      <c r="I436" s="8">
        <f t="shared" si="46"/>
        <v>4.9612115576750588E-13</v>
      </c>
    </row>
    <row r="437" spans="1:9" x14ac:dyDescent="0.2">
      <c r="A437" s="5">
        <v>730</v>
      </c>
      <c r="B437" s="6">
        <v>1.6698949999999999</v>
      </c>
      <c r="C437" s="6">
        <f t="shared" si="42"/>
        <v>1.6358949999999999</v>
      </c>
      <c r="D437" s="6">
        <f t="shared" si="43"/>
        <v>1194.20335</v>
      </c>
      <c r="E437" s="6">
        <f t="shared" si="47"/>
        <v>-429.7241710000003</v>
      </c>
      <c r="F437" s="6">
        <f t="shared" si="48"/>
        <v>-3.7719999999999976E-3</v>
      </c>
      <c r="G437" s="6">
        <f t="shared" si="44"/>
        <v>880.96799009704773</v>
      </c>
      <c r="H437" s="7">
        <f t="shared" si="45"/>
        <v>4.2681763580418285E-13</v>
      </c>
      <c r="I437" s="8">
        <f t="shared" si="46"/>
        <v>4.2681763580418285E-13</v>
      </c>
    </row>
    <row r="438" spans="1:9" x14ac:dyDescent="0.2">
      <c r="A438" s="5">
        <v>728</v>
      </c>
      <c r="B438" s="6">
        <v>1.6770529999999999</v>
      </c>
      <c r="C438" s="6">
        <f t="shared" si="42"/>
        <v>1.6430529999999999</v>
      </c>
      <c r="D438" s="6">
        <f t="shared" si="43"/>
        <v>1196.1425839999999</v>
      </c>
      <c r="E438" s="6">
        <f t="shared" si="47"/>
        <v>-433.00311900000031</v>
      </c>
      <c r="F438" s="6">
        <f t="shared" si="48"/>
        <v>-3.6227500000000079E-3</v>
      </c>
      <c r="G438" s="6">
        <f t="shared" si="44"/>
        <v>882.93528843874242</v>
      </c>
      <c r="H438" s="7">
        <f t="shared" si="45"/>
        <v>4.4539406009554853E-13</v>
      </c>
      <c r="I438" s="8">
        <f t="shared" si="46"/>
        <v>4.4539406009554853E-13</v>
      </c>
    </row>
    <row r="439" spans="1:9" x14ac:dyDescent="0.2">
      <c r="A439" s="5">
        <v>726</v>
      </c>
      <c r="B439" s="6">
        <v>1.6843859999999999</v>
      </c>
      <c r="C439" s="6">
        <f t="shared" si="42"/>
        <v>1.6503859999999999</v>
      </c>
      <c r="D439" s="6">
        <f t="shared" si="43"/>
        <v>1198.1802359999999</v>
      </c>
      <c r="E439" s="6">
        <f t="shared" si="47"/>
        <v>-436.29655800000029</v>
      </c>
      <c r="F439" s="6">
        <f t="shared" si="48"/>
        <v>-3.7412500000000293E-3</v>
      </c>
      <c r="G439" s="6">
        <f t="shared" si="44"/>
        <v>884.9360176244993</v>
      </c>
      <c r="H439" s="7">
        <f t="shared" si="45"/>
        <v>4.3226398517813123E-13</v>
      </c>
      <c r="I439" s="8">
        <f t="shared" si="46"/>
        <v>4.3226398517813123E-13</v>
      </c>
    </row>
    <row r="440" spans="1:9" x14ac:dyDescent="0.2">
      <c r="A440" s="5">
        <v>724</v>
      </c>
      <c r="B440" s="6">
        <v>1.692018</v>
      </c>
      <c r="C440" s="6">
        <f t="shared" si="42"/>
        <v>1.658018</v>
      </c>
      <c r="D440" s="6">
        <f t="shared" si="43"/>
        <v>1200.4050319999999</v>
      </c>
      <c r="E440" s="6">
        <f t="shared" si="47"/>
        <v>-439.60496200000028</v>
      </c>
      <c r="F440" s="6">
        <f t="shared" si="48"/>
        <v>-3.5087500000000049E-3</v>
      </c>
      <c r="G440" s="6">
        <f t="shared" si="44"/>
        <v>887.0030617038251</v>
      </c>
      <c r="H440" s="7">
        <f t="shared" si="45"/>
        <v>4.6198364870187928E-13</v>
      </c>
      <c r="I440" s="8">
        <f t="shared" si="46"/>
        <v>4.6198364870187928E-13</v>
      </c>
    </row>
    <row r="441" spans="1:9" x14ac:dyDescent="0.2">
      <c r="A441" s="5">
        <v>722</v>
      </c>
      <c r="B441" s="6">
        <v>1.698421</v>
      </c>
      <c r="C441" s="6">
        <f t="shared" si="42"/>
        <v>1.6644209999999999</v>
      </c>
      <c r="D441" s="6">
        <f t="shared" si="43"/>
        <v>1201.7119619999999</v>
      </c>
      <c r="E441" s="6">
        <f t="shared" si="47"/>
        <v>-442.92740100000026</v>
      </c>
      <c r="F441" s="6">
        <f t="shared" si="48"/>
        <v>-3.5657499999999787E-3</v>
      </c>
      <c r="G441" s="6">
        <f t="shared" si="44"/>
        <v>888.72443851828029</v>
      </c>
      <c r="H441" s="7">
        <f t="shared" si="45"/>
        <v>4.5548087172258853E-13</v>
      </c>
      <c r="I441" s="8">
        <f t="shared" si="46"/>
        <v>4.5548087172258853E-13</v>
      </c>
    </row>
    <row r="442" spans="1:9" x14ac:dyDescent="0.2">
      <c r="A442" s="5">
        <v>720</v>
      </c>
      <c r="B442" s="6">
        <v>1.7062809999999999</v>
      </c>
      <c r="C442" s="6">
        <f t="shared" si="42"/>
        <v>1.6722809999999999</v>
      </c>
      <c r="D442" s="6">
        <f t="shared" si="43"/>
        <v>1204.04232</v>
      </c>
      <c r="E442" s="6">
        <f t="shared" si="47"/>
        <v>-446.26410300000026</v>
      </c>
      <c r="F442" s="6">
        <f t="shared" si="48"/>
        <v>-4.3772499999999992E-3</v>
      </c>
      <c r="G442" s="6">
        <f t="shared" si="44"/>
        <v>890.82179391444129</v>
      </c>
      <c r="H442" s="7">
        <f t="shared" si="45"/>
        <v>3.7191474205681747E-13</v>
      </c>
      <c r="I442" s="8">
        <f t="shared" si="46"/>
        <v>3.7191474205681747E-13</v>
      </c>
    </row>
    <row r="443" spans="1:9" x14ac:dyDescent="0.2">
      <c r="A443" s="5">
        <v>718</v>
      </c>
      <c r="B443" s="6">
        <v>1.71593</v>
      </c>
      <c r="C443" s="6">
        <f t="shared" si="42"/>
        <v>1.6819299999999999</v>
      </c>
      <c r="D443" s="6">
        <f t="shared" si="43"/>
        <v>1207.62574</v>
      </c>
      <c r="E443" s="6">
        <f t="shared" si="47"/>
        <v>-449.61831400000028</v>
      </c>
      <c r="F443" s="6">
        <f t="shared" si="48"/>
        <v>-4.4692500000000357E-3</v>
      </c>
      <c r="G443" s="6">
        <f t="shared" si="44"/>
        <v>893.37722647647161</v>
      </c>
      <c r="H443" s="7">
        <f t="shared" si="45"/>
        <v>3.6530375797173486E-13</v>
      </c>
      <c r="I443" s="8">
        <f t="shared" si="46"/>
        <v>3.6530375797173486E-13</v>
      </c>
    </row>
    <row r="444" spans="1:9" x14ac:dyDescent="0.2">
      <c r="A444" s="5">
        <v>716</v>
      </c>
      <c r="B444" s="6">
        <v>1.7241580000000001</v>
      </c>
      <c r="C444" s="6">
        <f t="shared" si="42"/>
        <v>1.690158</v>
      </c>
      <c r="D444" s="6">
        <f t="shared" si="43"/>
        <v>1210.1531279999999</v>
      </c>
      <c r="E444" s="6">
        <f t="shared" si="47"/>
        <v>-452.9904020000003</v>
      </c>
      <c r="F444" s="6">
        <f t="shared" si="48"/>
        <v>-4.2807499999999998E-3</v>
      </c>
      <c r="G444" s="6">
        <f t="shared" si="44"/>
        <v>895.53986666471747</v>
      </c>
      <c r="H444" s="7">
        <f t="shared" si="45"/>
        <v>3.8231291564367506E-13</v>
      </c>
      <c r="I444" s="8">
        <f t="shared" si="46"/>
        <v>3.8231291564367506E-13</v>
      </c>
    </row>
    <row r="445" spans="1:9" x14ac:dyDescent="0.2">
      <c r="A445" s="5">
        <v>714</v>
      </c>
      <c r="B445" s="6">
        <v>1.733053</v>
      </c>
      <c r="C445" s="6">
        <f t="shared" si="42"/>
        <v>1.6990529999999999</v>
      </c>
      <c r="D445" s="6">
        <f t="shared" si="43"/>
        <v>1213.123842</v>
      </c>
      <c r="E445" s="6">
        <f t="shared" si="47"/>
        <v>-456.37961300000029</v>
      </c>
      <c r="F445" s="6">
        <f t="shared" si="48"/>
        <v>-4.0789999999999993E-3</v>
      </c>
      <c r="G445" s="6">
        <f t="shared" si="44"/>
        <v>897.86003053861725</v>
      </c>
      <c r="H445" s="7">
        <f t="shared" si="45"/>
        <v>4.022618482963201E-13</v>
      </c>
      <c r="I445" s="8">
        <f t="shared" si="46"/>
        <v>4.022618482963201E-13</v>
      </c>
    </row>
    <row r="446" spans="1:9" x14ac:dyDescent="0.2">
      <c r="A446" s="5">
        <v>712</v>
      </c>
      <c r="B446" s="6">
        <v>1.7404740000000001</v>
      </c>
      <c r="C446" s="6">
        <f t="shared" si="42"/>
        <v>1.706474</v>
      </c>
      <c r="D446" s="6">
        <f t="shared" si="43"/>
        <v>1215.0094880000001</v>
      </c>
      <c r="E446" s="6">
        <f t="shared" si="47"/>
        <v>-459.7851400000003</v>
      </c>
      <c r="F446" s="6">
        <f t="shared" si="48"/>
        <v>-3.9035000000000042E-3</v>
      </c>
      <c r="G446" s="6">
        <f t="shared" si="44"/>
        <v>899.7808755659596</v>
      </c>
      <c r="H446" s="7">
        <f t="shared" si="45"/>
        <v>4.2124667488295793E-13</v>
      </c>
      <c r="I446" s="8">
        <f t="shared" si="46"/>
        <v>4.2124667488295793E-13</v>
      </c>
    </row>
    <row r="447" spans="1:9" x14ac:dyDescent="0.2">
      <c r="A447" s="5">
        <v>710</v>
      </c>
      <c r="B447" s="6">
        <v>1.748667</v>
      </c>
      <c r="C447" s="6">
        <f t="shared" si="42"/>
        <v>1.7146669999999999</v>
      </c>
      <c r="D447" s="6">
        <f t="shared" si="43"/>
        <v>1217.4135699999999</v>
      </c>
      <c r="E447" s="6">
        <f t="shared" si="47"/>
        <v>-463.20628100000027</v>
      </c>
      <c r="F447" s="6">
        <f t="shared" si="48"/>
        <v>-4.4604999999999784E-3</v>
      </c>
      <c r="G447" s="6">
        <f t="shared" si="44"/>
        <v>901.88515838539297</v>
      </c>
      <c r="H447" s="7">
        <f t="shared" si="45"/>
        <v>3.6950609606406939E-13</v>
      </c>
      <c r="I447" s="8">
        <f t="shared" si="46"/>
        <v>3.6950609606406939E-13</v>
      </c>
    </row>
    <row r="448" spans="1:9" x14ac:dyDescent="0.2">
      <c r="A448" s="5">
        <v>708</v>
      </c>
      <c r="B448" s="6">
        <v>1.758316</v>
      </c>
      <c r="C448" s="6">
        <f t="shared" si="42"/>
        <v>1.724316</v>
      </c>
      <c r="D448" s="6">
        <f t="shared" si="43"/>
        <v>1220.815728</v>
      </c>
      <c r="E448" s="6">
        <f t="shared" si="47"/>
        <v>-466.64526400000028</v>
      </c>
      <c r="F448" s="6">
        <f t="shared" si="48"/>
        <v>-4.4164999999999899E-3</v>
      </c>
      <c r="G448" s="6">
        <f t="shared" si="44"/>
        <v>904.34410094742327</v>
      </c>
      <c r="H448" s="7">
        <f t="shared" si="45"/>
        <v>3.7420482804855321E-13</v>
      </c>
      <c r="I448" s="8">
        <f t="shared" si="46"/>
        <v>3.7420482804855321E-13</v>
      </c>
    </row>
    <row r="449" spans="1:9" x14ac:dyDescent="0.2">
      <c r="A449" s="5">
        <v>706</v>
      </c>
      <c r="B449" s="6">
        <v>1.7663329999999999</v>
      </c>
      <c r="C449" s="6">
        <f t="shared" si="42"/>
        <v>1.7323329999999999</v>
      </c>
      <c r="D449" s="6">
        <f t="shared" si="43"/>
        <v>1223.027098</v>
      </c>
      <c r="E449" s="6">
        <f t="shared" si="47"/>
        <v>-470.10191300000031</v>
      </c>
      <c r="F449" s="6">
        <f t="shared" si="48"/>
        <v>-3.7280000000000091E-3</v>
      </c>
      <c r="G449" s="6">
        <f t="shared" si="44"/>
        <v>906.37111208368572</v>
      </c>
      <c r="H449" s="7">
        <f t="shared" si="45"/>
        <v>4.4430792819025787E-13</v>
      </c>
      <c r="I449" s="8">
        <f t="shared" si="46"/>
        <v>4.4430792819025787E-13</v>
      </c>
    </row>
    <row r="450" spans="1:9" x14ac:dyDescent="0.2">
      <c r="A450" s="5">
        <v>704</v>
      </c>
      <c r="B450" s="6">
        <v>1.773228</v>
      </c>
      <c r="C450" s="6">
        <f t="shared" ref="C450:C513" si="49">B450-$B$2</f>
        <v>1.739228</v>
      </c>
      <c r="D450" s="6">
        <f t="shared" ref="D450:D513" si="50">A450*C450</f>
        <v>1224.416512</v>
      </c>
      <c r="E450" s="6">
        <f t="shared" si="47"/>
        <v>-473.57347400000032</v>
      </c>
      <c r="F450" s="6">
        <f t="shared" si="48"/>
        <v>-3.8157500000000066E-3</v>
      </c>
      <c r="G450" s="6">
        <f t="shared" ref="G450:G513" si="51">(A450-$L$5)*C450-E450</f>
        <v>908.10064773973284</v>
      </c>
      <c r="H450" s="7">
        <f t="shared" ref="H450:H513" si="52">IF(ABS(F450)&lt;0.000000001,"",-(G450)/(2*$L$4*F450)*0.000000000001)</f>
        <v>4.3491860248158281E-13</v>
      </c>
      <c r="I450" s="8">
        <f t="shared" ref="I450:I513" si="53">IF(AND(B450&gt;=0.5,B450&lt;=2.5,ISNUMBER(H450),H450&gt;0),H450,"")</f>
        <v>4.3491860248158281E-13</v>
      </c>
    </row>
    <row r="451" spans="1:9" x14ac:dyDescent="0.2">
      <c r="A451" s="5">
        <v>702</v>
      </c>
      <c r="B451" s="6">
        <v>1.781596</v>
      </c>
      <c r="C451" s="6">
        <f t="shared" si="49"/>
        <v>1.7475959999999999</v>
      </c>
      <c r="D451" s="6">
        <f t="shared" si="50"/>
        <v>1226.812392</v>
      </c>
      <c r="E451" s="6">
        <f t="shared" ref="E451:E514" si="54">E450+(C450+C451)/2*(A451-A450)</f>
        <v>-477.06029800000033</v>
      </c>
      <c r="F451" s="6">
        <f t="shared" ref="F451:F514" si="55">(B452-B450)/(A452-A450)</f>
        <v>-3.9779999999999816E-3</v>
      </c>
      <c r="G451" s="6">
        <f t="shared" si="51"/>
        <v>910.18293340322839</v>
      </c>
      <c r="H451" s="7">
        <f t="shared" si="52"/>
        <v>4.181362503837042E-13</v>
      </c>
      <c r="I451" s="8">
        <f t="shared" si="53"/>
        <v>4.181362503837042E-13</v>
      </c>
    </row>
    <row r="452" spans="1:9" x14ac:dyDescent="0.2">
      <c r="A452" s="5">
        <v>700</v>
      </c>
      <c r="B452" s="6">
        <v>1.78914</v>
      </c>
      <c r="C452" s="6">
        <f t="shared" si="49"/>
        <v>1.7551399999999999</v>
      </c>
      <c r="D452" s="6">
        <f t="shared" si="50"/>
        <v>1228.598</v>
      </c>
      <c r="E452" s="6">
        <f t="shared" si="54"/>
        <v>-480.56303400000036</v>
      </c>
      <c r="F452" s="6">
        <f t="shared" si="55"/>
        <v>-3.8465000000000305E-3</v>
      </c>
      <c r="G452" s="6">
        <f t="shared" si="51"/>
        <v>912.04508764096863</v>
      </c>
      <c r="H452" s="7">
        <f t="shared" si="52"/>
        <v>4.3331575813631813E-13</v>
      </c>
      <c r="I452" s="8">
        <f t="shared" si="53"/>
        <v>4.3331575813631813E-13</v>
      </c>
    </row>
    <row r="453" spans="1:9" x14ac:dyDescent="0.2">
      <c r="A453" s="5">
        <v>698</v>
      </c>
      <c r="B453" s="6">
        <v>1.7969820000000001</v>
      </c>
      <c r="C453" s="6">
        <f t="shared" si="49"/>
        <v>1.762982</v>
      </c>
      <c r="D453" s="6">
        <f t="shared" si="50"/>
        <v>1230.561436</v>
      </c>
      <c r="E453" s="6">
        <f t="shared" si="54"/>
        <v>-484.08115600000036</v>
      </c>
      <c r="F453" s="6">
        <f t="shared" si="55"/>
        <v>-3.9824999999999999E-3</v>
      </c>
      <c r="G453" s="6">
        <f t="shared" si="51"/>
        <v>913.96511593316905</v>
      </c>
      <c r="H453" s="7">
        <f t="shared" si="52"/>
        <v>4.1939934395599946E-13</v>
      </c>
      <c r="I453" s="8">
        <f t="shared" si="53"/>
        <v>4.1939934395599946E-13</v>
      </c>
    </row>
    <row r="454" spans="1:9" x14ac:dyDescent="0.2">
      <c r="A454" s="5">
        <v>696</v>
      </c>
      <c r="B454" s="6">
        <v>1.80507</v>
      </c>
      <c r="C454" s="6">
        <f t="shared" si="49"/>
        <v>1.7710699999999999</v>
      </c>
      <c r="D454" s="6">
        <f t="shared" si="50"/>
        <v>1232.66472</v>
      </c>
      <c r="E454" s="6">
        <f t="shared" si="54"/>
        <v>-487.61520800000034</v>
      </c>
      <c r="F454" s="6">
        <f t="shared" si="55"/>
        <v>-4.6930000000000027E-3</v>
      </c>
      <c r="G454" s="6">
        <f t="shared" si="51"/>
        <v>915.92919864616522</v>
      </c>
      <c r="H454" s="7">
        <f t="shared" si="52"/>
        <v>3.5666891535224968E-13</v>
      </c>
      <c r="I454" s="8">
        <f t="shared" si="53"/>
        <v>3.5666891535224968E-13</v>
      </c>
    </row>
    <row r="455" spans="1:9" x14ac:dyDescent="0.2">
      <c r="A455" s="5">
        <v>694</v>
      </c>
      <c r="B455" s="6">
        <v>1.8157540000000001</v>
      </c>
      <c r="C455" s="6">
        <f t="shared" si="49"/>
        <v>1.7817540000000001</v>
      </c>
      <c r="D455" s="6">
        <f t="shared" si="50"/>
        <v>1236.537276</v>
      </c>
      <c r="E455" s="6">
        <f t="shared" si="54"/>
        <v>-491.16803200000032</v>
      </c>
      <c r="F455" s="6">
        <f t="shared" si="55"/>
        <v>-5.0482500000000319E-3</v>
      </c>
      <c r="G455" s="6">
        <f t="shared" si="51"/>
        <v>918.50232368593424</v>
      </c>
      <c r="H455" s="7">
        <f t="shared" si="52"/>
        <v>3.3250127631149196E-13</v>
      </c>
      <c r="I455" s="8">
        <f t="shared" si="53"/>
        <v>3.3250127631149196E-13</v>
      </c>
    </row>
    <row r="456" spans="1:9" x14ac:dyDescent="0.2">
      <c r="A456" s="5">
        <v>692</v>
      </c>
      <c r="B456" s="6">
        <v>1.8252630000000001</v>
      </c>
      <c r="C456" s="6">
        <f t="shared" si="49"/>
        <v>1.791263</v>
      </c>
      <c r="D456" s="6">
        <f t="shared" si="50"/>
        <v>1239.5539960000001</v>
      </c>
      <c r="E456" s="6">
        <f t="shared" si="54"/>
        <v>-494.74104900000032</v>
      </c>
      <c r="F456" s="6">
        <f t="shared" si="55"/>
        <v>-3.978249999999961E-3</v>
      </c>
      <c r="G456" s="6">
        <f t="shared" si="51"/>
        <v>920.7734447727147</v>
      </c>
      <c r="H456" s="7">
        <f t="shared" si="52"/>
        <v>4.2297492835344254E-13</v>
      </c>
      <c r="I456" s="8">
        <f t="shared" si="53"/>
        <v>4.2297492835344254E-13</v>
      </c>
    </row>
    <row r="457" spans="1:9" x14ac:dyDescent="0.2">
      <c r="A457" s="5">
        <v>690</v>
      </c>
      <c r="B457" s="6">
        <v>1.8316669999999999</v>
      </c>
      <c r="C457" s="6">
        <f t="shared" si="49"/>
        <v>1.7976669999999999</v>
      </c>
      <c r="D457" s="6">
        <f t="shared" si="50"/>
        <v>1240.39023</v>
      </c>
      <c r="E457" s="6">
        <f t="shared" si="54"/>
        <v>-498.32997900000032</v>
      </c>
      <c r="F457" s="6">
        <f t="shared" si="55"/>
        <v>-3.8814999999999822E-3</v>
      </c>
      <c r="G457" s="6">
        <f t="shared" si="51"/>
        <v>922.29016242627893</v>
      </c>
      <c r="H457" s="7">
        <f t="shared" si="52"/>
        <v>4.3423207215244826E-13</v>
      </c>
      <c r="I457" s="8">
        <f t="shared" si="53"/>
        <v>4.3423207215244826E-13</v>
      </c>
    </row>
    <row r="458" spans="1:9" x14ac:dyDescent="0.2">
      <c r="A458" s="5">
        <v>688</v>
      </c>
      <c r="B458" s="6">
        <v>1.840789</v>
      </c>
      <c r="C458" s="6">
        <f t="shared" si="49"/>
        <v>1.806789</v>
      </c>
      <c r="D458" s="6">
        <f t="shared" si="50"/>
        <v>1243.0708319999999</v>
      </c>
      <c r="E458" s="6">
        <f t="shared" si="54"/>
        <v>-501.93443500000035</v>
      </c>
      <c r="F458" s="6">
        <f t="shared" si="55"/>
        <v>-4.0570000000000328E-3</v>
      </c>
      <c r="G458" s="6">
        <f t="shared" si="51"/>
        <v>924.43236477790492</v>
      </c>
      <c r="H458" s="7">
        <f t="shared" si="52"/>
        <v>4.1641277582907451E-13</v>
      </c>
      <c r="I458" s="8">
        <f t="shared" si="53"/>
        <v>4.1641277582907451E-13</v>
      </c>
    </row>
    <row r="459" spans="1:9" x14ac:dyDescent="0.2">
      <c r="A459" s="5">
        <v>686</v>
      </c>
      <c r="B459" s="6">
        <v>1.8478950000000001</v>
      </c>
      <c r="C459" s="6">
        <f t="shared" si="49"/>
        <v>1.813895</v>
      </c>
      <c r="D459" s="6">
        <f t="shared" si="50"/>
        <v>1244.33197</v>
      </c>
      <c r="E459" s="6">
        <f t="shared" si="54"/>
        <v>-505.55511900000033</v>
      </c>
      <c r="F459" s="6">
        <f t="shared" si="55"/>
        <v>-3.7807499999999994E-3</v>
      </c>
      <c r="G459" s="6">
        <f t="shared" si="51"/>
        <v>926.0869194859356</v>
      </c>
      <c r="H459" s="7">
        <f t="shared" si="52"/>
        <v>4.4763877698290001E-13</v>
      </c>
      <c r="I459" s="8">
        <f t="shared" si="53"/>
        <v>4.4763877698290001E-13</v>
      </c>
    </row>
    <row r="460" spans="1:9" x14ac:dyDescent="0.2">
      <c r="A460" s="5">
        <v>684</v>
      </c>
      <c r="B460" s="6">
        <v>1.855912</v>
      </c>
      <c r="C460" s="6">
        <f t="shared" si="49"/>
        <v>1.821912</v>
      </c>
      <c r="D460" s="6">
        <f t="shared" si="50"/>
        <v>1246.1878079999999</v>
      </c>
      <c r="E460" s="6">
        <f t="shared" si="54"/>
        <v>-509.19092600000033</v>
      </c>
      <c r="F460" s="6">
        <f t="shared" si="55"/>
        <v>-3.3727499999999799E-3</v>
      </c>
      <c r="G460" s="6">
        <f t="shared" si="51"/>
        <v>927.93755662219792</v>
      </c>
      <c r="H460" s="7">
        <f t="shared" si="52"/>
        <v>5.0279217801157202E-13</v>
      </c>
      <c r="I460" s="8">
        <f t="shared" si="53"/>
        <v>5.0279217801157202E-13</v>
      </c>
    </row>
    <row r="461" spans="1:9" x14ac:dyDescent="0.2">
      <c r="A461" s="5">
        <v>682</v>
      </c>
      <c r="B461" s="6">
        <v>1.861386</v>
      </c>
      <c r="C461" s="6">
        <f t="shared" si="49"/>
        <v>1.827386</v>
      </c>
      <c r="D461" s="6">
        <f t="shared" si="50"/>
        <v>1246.2772519999999</v>
      </c>
      <c r="E461" s="6">
        <f t="shared" si="54"/>
        <v>-512.84022400000038</v>
      </c>
      <c r="F461" s="6">
        <f t="shared" si="55"/>
        <v>-2.9080000000000217E-3</v>
      </c>
      <c r="G461" s="6">
        <f t="shared" si="51"/>
        <v>929.19022190446071</v>
      </c>
      <c r="H461" s="7">
        <f t="shared" si="52"/>
        <v>5.8393450683563347E-13</v>
      </c>
      <c r="I461" s="8">
        <f t="shared" si="53"/>
        <v>5.8393450683563347E-13</v>
      </c>
    </row>
    <row r="462" spans="1:9" x14ac:dyDescent="0.2">
      <c r="A462" s="5">
        <v>680</v>
      </c>
      <c r="B462" s="6">
        <v>1.8675440000000001</v>
      </c>
      <c r="C462" s="6">
        <f t="shared" si="49"/>
        <v>1.8335440000000001</v>
      </c>
      <c r="D462" s="6">
        <f t="shared" si="50"/>
        <v>1246.8099200000001</v>
      </c>
      <c r="E462" s="6">
        <f t="shared" si="54"/>
        <v>-516.50115400000038</v>
      </c>
      <c r="F462" s="6">
        <f t="shared" si="55"/>
        <v>-3.2017500000000032E-3</v>
      </c>
      <c r="G462" s="6">
        <f t="shared" si="51"/>
        <v>930.58709713722919</v>
      </c>
      <c r="H462" s="7">
        <f t="shared" si="52"/>
        <v>5.3115774652729449E-13</v>
      </c>
      <c r="I462" s="8">
        <f t="shared" si="53"/>
        <v>5.3115774652729449E-13</v>
      </c>
    </row>
    <row r="463" spans="1:9" x14ac:dyDescent="0.2">
      <c r="A463" s="5">
        <v>678</v>
      </c>
      <c r="B463" s="6">
        <v>1.874193</v>
      </c>
      <c r="C463" s="6">
        <f t="shared" si="49"/>
        <v>1.840193</v>
      </c>
      <c r="D463" s="6">
        <f t="shared" si="50"/>
        <v>1247.650854</v>
      </c>
      <c r="E463" s="6">
        <f t="shared" si="54"/>
        <v>-520.17489100000034</v>
      </c>
      <c r="F463" s="6">
        <f t="shared" si="55"/>
        <v>-3.2895000000000008E-3</v>
      </c>
      <c r="G463" s="6">
        <f t="shared" si="51"/>
        <v>932.08205237248035</v>
      </c>
      <c r="H463" s="7">
        <f t="shared" si="52"/>
        <v>5.1781921987539655E-13</v>
      </c>
      <c r="I463" s="8">
        <f t="shared" si="53"/>
        <v>5.1781921987539655E-13</v>
      </c>
    </row>
    <row r="464" spans="1:9" x14ac:dyDescent="0.2">
      <c r="A464" s="5">
        <v>676</v>
      </c>
      <c r="B464" s="6">
        <v>1.8807020000000001</v>
      </c>
      <c r="C464" s="6">
        <f t="shared" si="49"/>
        <v>1.8467020000000001</v>
      </c>
      <c r="D464" s="6">
        <f t="shared" si="50"/>
        <v>1248.3705520000001</v>
      </c>
      <c r="E464" s="6">
        <f t="shared" si="54"/>
        <v>-523.86178600000039</v>
      </c>
      <c r="F464" s="6">
        <f t="shared" si="55"/>
        <v>-3.2719999999999971E-3</v>
      </c>
      <c r="G464" s="6">
        <f t="shared" si="51"/>
        <v>933.53251213248188</v>
      </c>
      <c r="H464" s="7">
        <f t="shared" si="52"/>
        <v>5.2139884406661673E-13</v>
      </c>
      <c r="I464" s="8">
        <f t="shared" si="53"/>
        <v>5.2139884406661673E-13</v>
      </c>
    </row>
    <row r="465" spans="1:9" x14ac:dyDescent="0.2">
      <c r="A465" s="5">
        <v>674</v>
      </c>
      <c r="B465" s="6">
        <v>1.887281</v>
      </c>
      <c r="C465" s="6">
        <f t="shared" si="49"/>
        <v>1.853281</v>
      </c>
      <c r="D465" s="6">
        <f t="shared" si="50"/>
        <v>1249.111394</v>
      </c>
      <c r="E465" s="6">
        <f t="shared" si="54"/>
        <v>-527.56176900000037</v>
      </c>
      <c r="F465" s="6">
        <f t="shared" si="55"/>
        <v>-3.6577499999999596E-3</v>
      </c>
      <c r="G465" s="6">
        <f t="shared" si="51"/>
        <v>934.98541263010816</v>
      </c>
      <c r="H465" s="7">
        <f t="shared" si="52"/>
        <v>4.6713749496388869E-13</v>
      </c>
      <c r="I465" s="8">
        <f t="shared" si="53"/>
        <v>4.6713749496388869E-13</v>
      </c>
    </row>
    <row r="466" spans="1:9" x14ac:dyDescent="0.2">
      <c r="A466" s="5">
        <v>672</v>
      </c>
      <c r="B466" s="6">
        <v>1.8953329999999999</v>
      </c>
      <c r="C466" s="6">
        <f t="shared" si="49"/>
        <v>1.8613329999999999</v>
      </c>
      <c r="D466" s="6">
        <f t="shared" si="50"/>
        <v>1250.8157759999999</v>
      </c>
      <c r="E466" s="6">
        <f t="shared" si="54"/>
        <v>-531.27638300000035</v>
      </c>
      <c r="F466" s="6">
        <f t="shared" si="55"/>
        <v>-3.4824999999999995E-3</v>
      </c>
      <c r="G466" s="6">
        <f t="shared" si="51"/>
        <v>936.74750513518302</v>
      </c>
      <c r="H466" s="7">
        <f t="shared" si="52"/>
        <v>4.9156995563405111E-13</v>
      </c>
      <c r="I466" s="8">
        <f t="shared" si="53"/>
        <v>4.9156995563405111E-13</v>
      </c>
    </row>
    <row r="467" spans="1:9" x14ac:dyDescent="0.2">
      <c r="A467" s="5">
        <v>670</v>
      </c>
      <c r="B467" s="6">
        <v>1.901211</v>
      </c>
      <c r="C467" s="6">
        <f t="shared" si="49"/>
        <v>1.867211</v>
      </c>
      <c r="D467" s="6">
        <f t="shared" si="50"/>
        <v>1251.0313699999999</v>
      </c>
      <c r="E467" s="6">
        <f t="shared" si="54"/>
        <v>-535.00492700000041</v>
      </c>
      <c r="F467" s="6">
        <f t="shared" si="55"/>
        <v>-3.7677500000000141E-3</v>
      </c>
      <c r="G467" s="6">
        <f t="shared" si="51"/>
        <v>938.0220854174521</v>
      </c>
      <c r="H467" s="7">
        <f t="shared" si="52"/>
        <v>4.5497223736373402E-13</v>
      </c>
      <c r="I467" s="8">
        <f t="shared" si="53"/>
        <v>4.5497223736373402E-13</v>
      </c>
    </row>
    <row r="468" spans="1:9" x14ac:dyDescent="0.2">
      <c r="A468" s="5">
        <v>668</v>
      </c>
      <c r="B468" s="6">
        <v>1.910404</v>
      </c>
      <c r="C468" s="6">
        <f t="shared" si="49"/>
        <v>1.876404</v>
      </c>
      <c r="D468" s="6">
        <f t="shared" si="50"/>
        <v>1253.437872</v>
      </c>
      <c r="E468" s="6">
        <f t="shared" si="54"/>
        <v>-538.74854200000038</v>
      </c>
      <c r="F468" s="6">
        <f t="shared" si="55"/>
        <v>-3.8727499999999804E-3</v>
      </c>
      <c r="G468" s="6">
        <f t="shared" si="51"/>
        <v>939.99710134581187</v>
      </c>
      <c r="H468" s="7">
        <f t="shared" si="52"/>
        <v>4.4356877156072538E-13</v>
      </c>
      <c r="I468" s="8">
        <f t="shared" si="53"/>
        <v>4.4356877156072538E-13</v>
      </c>
    </row>
    <row r="469" spans="1:9" x14ac:dyDescent="0.2">
      <c r="A469" s="5">
        <v>666</v>
      </c>
      <c r="B469" s="6">
        <v>1.9167019999999999</v>
      </c>
      <c r="C469" s="6">
        <f t="shared" si="49"/>
        <v>1.8827019999999999</v>
      </c>
      <c r="D469" s="6">
        <f t="shared" si="50"/>
        <v>1253.8795319999999</v>
      </c>
      <c r="E469" s="6">
        <f t="shared" si="54"/>
        <v>-542.50764800000036</v>
      </c>
      <c r="F469" s="6">
        <f t="shared" si="55"/>
        <v>-2.8945000000000221E-3</v>
      </c>
      <c r="G469" s="6">
        <f t="shared" si="51"/>
        <v>941.33756205382997</v>
      </c>
      <c r="H469" s="7">
        <f t="shared" si="52"/>
        <v>5.9432739070938056E-13</v>
      </c>
      <c r="I469" s="8">
        <f t="shared" si="53"/>
        <v>5.9432739070938056E-13</v>
      </c>
    </row>
    <row r="470" spans="1:9" x14ac:dyDescent="0.2">
      <c r="A470" s="5">
        <v>664</v>
      </c>
      <c r="B470" s="6">
        <v>1.9219820000000001</v>
      </c>
      <c r="C470" s="6">
        <f t="shared" si="49"/>
        <v>1.887982</v>
      </c>
      <c r="D470" s="6">
        <f t="shared" si="50"/>
        <v>1253.620048</v>
      </c>
      <c r="E470" s="6">
        <f t="shared" si="54"/>
        <v>-546.27833200000032</v>
      </c>
      <c r="F470" s="6">
        <f t="shared" si="55"/>
        <v>-3.214750000000044E-3</v>
      </c>
      <c r="G470" s="6">
        <f t="shared" si="51"/>
        <v>942.45079254896086</v>
      </c>
      <c r="H470" s="7">
        <f t="shared" si="52"/>
        <v>5.3575396060746345E-13</v>
      </c>
      <c r="I470" s="8">
        <f t="shared" si="53"/>
        <v>5.3575396060746345E-13</v>
      </c>
    </row>
    <row r="471" spans="1:9" x14ac:dyDescent="0.2">
      <c r="A471" s="5">
        <v>662</v>
      </c>
      <c r="B471" s="6">
        <v>1.9295610000000001</v>
      </c>
      <c r="C471" s="6">
        <f t="shared" si="49"/>
        <v>1.8955610000000001</v>
      </c>
      <c r="D471" s="6">
        <f t="shared" si="50"/>
        <v>1254.861382</v>
      </c>
      <c r="E471" s="6">
        <f t="shared" si="54"/>
        <v>-550.06187500000033</v>
      </c>
      <c r="F471" s="6">
        <f t="shared" si="55"/>
        <v>-3.864249999999958E-3</v>
      </c>
      <c r="G471" s="6">
        <f t="shared" si="51"/>
        <v>944.03358415551361</v>
      </c>
      <c r="H471" s="7">
        <f t="shared" si="52"/>
        <v>4.4645340580542998E-13</v>
      </c>
      <c r="I471" s="8">
        <f t="shared" si="53"/>
        <v>4.4645340580542998E-13</v>
      </c>
    </row>
    <row r="472" spans="1:9" x14ac:dyDescent="0.2">
      <c r="A472" s="5">
        <v>660</v>
      </c>
      <c r="B472" s="6">
        <v>1.9374389999999999</v>
      </c>
      <c r="C472" s="6">
        <f t="shared" si="49"/>
        <v>1.9034389999999999</v>
      </c>
      <c r="D472" s="6">
        <f t="shared" si="50"/>
        <v>1256.26974</v>
      </c>
      <c r="E472" s="6">
        <f t="shared" si="54"/>
        <v>-553.86087500000031</v>
      </c>
      <c r="F472" s="6">
        <f t="shared" si="55"/>
        <v>-4.0702499999999975E-3</v>
      </c>
      <c r="G472" s="6">
        <f t="shared" si="51"/>
        <v>945.66306265563526</v>
      </c>
      <c r="H472" s="7">
        <f t="shared" si="52"/>
        <v>4.2458950224674217E-13</v>
      </c>
      <c r="I472" s="8">
        <f t="shared" si="53"/>
        <v>4.2458950224674217E-13</v>
      </c>
    </row>
    <row r="473" spans="1:9" x14ac:dyDescent="0.2">
      <c r="A473" s="5">
        <v>658</v>
      </c>
      <c r="B473" s="6">
        <v>1.9458420000000001</v>
      </c>
      <c r="C473" s="6">
        <f t="shared" si="49"/>
        <v>1.911842</v>
      </c>
      <c r="D473" s="6">
        <f t="shared" si="50"/>
        <v>1257.9920360000001</v>
      </c>
      <c r="E473" s="6">
        <f t="shared" si="54"/>
        <v>-557.67615600000033</v>
      </c>
      <c r="F473" s="6">
        <f t="shared" si="55"/>
        <v>-4.0437500000000126E-3</v>
      </c>
      <c r="G473" s="6">
        <f t="shared" si="51"/>
        <v>947.38432568794337</v>
      </c>
      <c r="H473" s="7">
        <f t="shared" si="52"/>
        <v>4.2814986202081602E-13</v>
      </c>
      <c r="I473" s="8">
        <f t="shared" si="53"/>
        <v>4.2814986202081602E-13</v>
      </c>
    </row>
    <row r="474" spans="1:9" x14ac:dyDescent="0.2">
      <c r="A474" s="5">
        <v>656</v>
      </c>
      <c r="B474" s="6">
        <v>1.953614</v>
      </c>
      <c r="C474" s="6">
        <f t="shared" si="49"/>
        <v>1.9196139999999999</v>
      </c>
      <c r="D474" s="6">
        <f t="shared" si="50"/>
        <v>1259.2667839999999</v>
      </c>
      <c r="E474" s="6">
        <f t="shared" si="54"/>
        <v>-561.50761200000034</v>
      </c>
      <c r="F474" s="6">
        <f t="shared" si="55"/>
        <v>-3.7105000000000055E-3</v>
      </c>
      <c r="G474" s="6">
        <f t="shared" si="51"/>
        <v>948.96079124251878</v>
      </c>
      <c r="H474" s="7">
        <f t="shared" si="52"/>
        <v>4.6737959097154621E-13</v>
      </c>
      <c r="I474" s="8">
        <f t="shared" si="53"/>
        <v>4.6737959097154621E-13</v>
      </c>
    </row>
    <row r="475" spans="1:9" x14ac:dyDescent="0.2">
      <c r="A475" s="5">
        <v>654</v>
      </c>
      <c r="B475" s="6">
        <v>1.9606840000000001</v>
      </c>
      <c r="C475" s="6">
        <f t="shared" si="49"/>
        <v>1.9266840000000001</v>
      </c>
      <c r="D475" s="6">
        <f t="shared" si="50"/>
        <v>1260.051336</v>
      </c>
      <c r="E475" s="6">
        <f t="shared" si="54"/>
        <v>-565.35391000000038</v>
      </c>
      <c r="F475" s="6">
        <f t="shared" si="55"/>
        <v>-3.324500000000008E-3</v>
      </c>
      <c r="G475" s="6">
        <f t="shared" si="51"/>
        <v>950.38072374262811</v>
      </c>
      <c r="H475" s="7">
        <f t="shared" si="52"/>
        <v>5.2242649366359549E-13</v>
      </c>
      <c r="I475" s="8">
        <f t="shared" si="53"/>
        <v>5.2242649366359549E-13</v>
      </c>
    </row>
    <row r="476" spans="1:9" x14ac:dyDescent="0.2">
      <c r="A476" s="5">
        <v>652</v>
      </c>
      <c r="B476" s="6">
        <v>1.966912</v>
      </c>
      <c r="C476" s="6">
        <f t="shared" si="49"/>
        <v>1.932912</v>
      </c>
      <c r="D476" s="6">
        <f t="shared" si="50"/>
        <v>1260.2586240000001</v>
      </c>
      <c r="E476" s="6">
        <f t="shared" si="54"/>
        <v>-569.21350600000039</v>
      </c>
      <c r="F476" s="6">
        <f t="shared" si="55"/>
        <v>-3.1579999999999941E-3</v>
      </c>
      <c r="G476" s="6">
        <f t="shared" si="51"/>
        <v>951.61909371302124</v>
      </c>
      <c r="H476" s="7">
        <f t="shared" si="52"/>
        <v>5.5068713780896126E-13</v>
      </c>
      <c r="I476" s="8">
        <f t="shared" si="53"/>
        <v>5.5068713780896126E-13</v>
      </c>
    </row>
    <row r="477" spans="1:9" x14ac:dyDescent="0.2">
      <c r="A477" s="5">
        <v>650</v>
      </c>
      <c r="B477" s="6">
        <v>1.9733160000000001</v>
      </c>
      <c r="C477" s="6">
        <f t="shared" si="49"/>
        <v>1.939316</v>
      </c>
      <c r="D477" s="6">
        <f t="shared" si="50"/>
        <v>1260.5554</v>
      </c>
      <c r="E477" s="6">
        <f t="shared" si="54"/>
        <v>-573.08573400000034</v>
      </c>
      <c r="F477" s="6">
        <f t="shared" si="55"/>
        <v>-3.0087500000000045E-3</v>
      </c>
      <c r="G477" s="6">
        <f t="shared" si="51"/>
        <v>952.87965136658545</v>
      </c>
      <c r="H477" s="7">
        <f t="shared" si="52"/>
        <v>5.78769798714874E-13</v>
      </c>
      <c r="I477" s="8">
        <f t="shared" si="53"/>
        <v>5.78769798714874E-13</v>
      </c>
    </row>
    <row r="478" spans="1:9" x14ac:dyDescent="0.2">
      <c r="A478" s="5">
        <v>648</v>
      </c>
      <c r="B478" s="6">
        <v>1.978947</v>
      </c>
      <c r="C478" s="6">
        <f t="shared" si="49"/>
        <v>1.944947</v>
      </c>
      <c r="D478" s="6">
        <f t="shared" si="50"/>
        <v>1260.325656</v>
      </c>
      <c r="E478" s="6">
        <f t="shared" si="54"/>
        <v>-576.96999700000038</v>
      </c>
      <c r="F478" s="6">
        <f t="shared" si="55"/>
        <v>-3.2147499999999885E-3</v>
      </c>
      <c r="G478" s="6">
        <f t="shared" si="51"/>
        <v>953.97679038894967</v>
      </c>
      <c r="H478" s="7">
        <f t="shared" si="52"/>
        <v>5.4230613186304143E-13</v>
      </c>
      <c r="I478" s="8">
        <f t="shared" si="53"/>
        <v>5.4230613186304143E-13</v>
      </c>
    </row>
    <row r="479" spans="1:9" x14ac:dyDescent="0.2">
      <c r="A479" s="5">
        <v>646</v>
      </c>
      <c r="B479" s="6">
        <v>1.986175</v>
      </c>
      <c r="C479" s="6">
        <f t="shared" si="49"/>
        <v>1.952175</v>
      </c>
      <c r="D479" s="6">
        <f t="shared" si="50"/>
        <v>1261.1050499999999</v>
      </c>
      <c r="E479" s="6">
        <f t="shared" si="54"/>
        <v>-580.86711900000034</v>
      </c>
      <c r="F479" s="6">
        <f t="shared" si="55"/>
        <v>-3.7017500000000036E-3</v>
      </c>
      <c r="G479" s="6">
        <f t="shared" si="51"/>
        <v>955.37063146826927</v>
      </c>
      <c r="H479" s="7">
        <f t="shared" si="52"/>
        <v>4.7164877736242784E-13</v>
      </c>
      <c r="I479" s="8">
        <f t="shared" si="53"/>
        <v>4.7164877736242784E-13</v>
      </c>
    </row>
    <row r="480" spans="1:9" x14ac:dyDescent="0.2">
      <c r="A480" s="5">
        <v>644</v>
      </c>
      <c r="B480" s="6">
        <v>1.993754</v>
      </c>
      <c r="C480" s="6">
        <f t="shared" si="49"/>
        <v>1.959754</v>
      </c>
      <c r="D480" s="6">
        <f t="shared" si="50"/>
        <v>1262.081576</v>
      </c>
      <c r="E480" s="6">
        <f t="shared" si="54"/>
        <v>-584.77904800000033</v>
      </c>
      <c r="F480" s="6">
        <f t="shared" si="55"/>
        <v>-3.6754999999999982E-3</v>
      </c>
      <c r="G480" s="6">
        <f t="shared" si="51"/>
        <v>956.81700107482186</v>
      </c>
      <c r="H480" s="7">
        <f t="shared" si="52"/>
        <v>4.7573638441343773E-13</v>
      </c>
      <c r="I480" s="8">
        <f t="shared" si="53"/>
        <v>4.7573638441343773E-13</v>
      </c>
    </row>
    <row r="481" spans="1:9" x14ac:dyDescent="0.2">
      <c r="A481" s="5">
        <v>642</v>
      </c>
      <c r="B481" s="6">
        <v>2.000877</v>
      </c>
      <c r="C481" s="6">
        <f t="shared" si="49"/>
        <v>1.966877</v>
      </c>
      <c r="D481" s="6">
        <f t="shared" si="50"/>
        <v>1262.735034</v>
      </c>
      <c r="E481" s="6">
        <f t="shared" si="54"/>
        <v>-588.70567900000037</v>
      </c>
      <c r="F481" s="6">
        <f t="shared" si="55"/>
        <v>-3.390499999999963E-3</v>
      </c>
      <c r="G481" s="6">
        <f t="shared" si="51"/>
        <v>958.16210204770414</v>
      </c>
      <c r="H481" s="7">
        <f t="shared" si="52"/>
        <v>5.1645103473656747E-13</v>
      </c>
      <c r="I481" s="8">
        <f t="shared" si="53"/>
        <v>5.1645103473656747E-13</v>
      </c>
    </row>
    <row r="482" spans="1:9" x14ac:dyDescent="0.2">
      <c r="A482" s="5">
        <v>640</v>
      </c>
      <c r="B482" s="6">
        <v>2.0073159999999999</v>
      </c>
      <c r="C482" s="6">
        <f t="shared" si="49"/>
        <v>1.9733159999999998</v>
      </c>
      <c r="D482" s="6">
        <f t="shared" si="50"/>
        <v>1262.9222399999999</v>
      </c>
      <c r="E482" s="6">
        <f t="shared" si="54"/>
        <v>-592.6458720000004</v>
      </c>
      <c r="F482" s="6">
        <f t="shared" si="55"/>
        <v>-3.2412499999999733E-3</v>
      </c>
      <c r="G482" s="6">
        <f t="shared" si="51"/>
        <v>959.36515907008084</v>
      </c>
      <c r="H482" s="7">
        <f t="shared" si="52"/>
        <v>5.4091039024887565E-13</v>
      </c>
      <c r="I482" s="8">
        <f t="shared" si="53"/>
        <v>5.4091039024887565E-13</v>
      </c>
    </row>
    <row r="483" spans="1:9" x14ac:dyDescent="0.2">
      <c r="A483" s="5">
        <v>638</v>
      </c>
      <c r="B483" s="6">
        <v>2.0138419999999999</v>
      </c>
      <c r="C483" s="6">
        <f t="shared" si="49"/>
        <v>1.9798419999999999</v>
      </c>
      <c r="D483" s="6">
        <f t="shared" si="50"/>
        <v>1263.1391959999999</v>
      </c>
      <c r="E483" s="6">
        <f t="shared" si="54"/>
        <v>-596.59903000000043</v>
      </c>
      <c r="F483" s="6">
        <f t="shared" si="55"/>
        <v>-3.4604999999999775E-3</v>
      </c>
      <c r="G483" s="6">
        <f t="shared" si="51"/>
        <v>960.57141909493419</v>
      </c>
      <c r="H483" s="7">
        <f t="shared" si="52"/>
        <v>5.0727647015003733E-13</v>
      </c>
      <c r="I483" s="8">
        <f t="shared" si="53"/>
        <v>5.0727647015003733E-13</v>
      </c>
    </row>
    <row r="484" spans="1:9" x14ac:dyDescent="0.2">
      <c r="A484" s="5">
        <v>636</v>
      </c>
      <c r="B484" s="6">
        <v>2.0211579999999998</v>
      </c>
      <c r="C484" s="6">
        <f t="shared" si="49"/>
        <v>1.9871579999999998</v>
      </c>
      <c r="D484" s="6">
        <f t="shared" si="50"/>
        <v>1263.8324879999998</v>
      </c>
      <c r="E484" s="6">
        <f t="shared" si="54"/>
        <v>-600.56603000000041</v>
      </c>
      <c r="F484" s="6">
        <f t="shared" si="55"/>
        <v>-3.6052500000000043E-3</v>
      </c>
      <c r="G484" s="6">
        <f t="shared" si="51"/>
        <v>961.90907001583923</v>
      </c>
      <c r="H484" s="7">
        <f t="shared" si="52"/>
        <v>4.8758748005154828E-13</v>
      </c>
      <c r="I484" s="8">
        <f t="shared" si="53"/>
        <v>4.8758748005154828E-13</v>
      </c>
    </row>
    <row r="485" spans="1:9" x14ac:dyDescent="0.2">
      <c r="A485" s="5">
        <v>634</v>
      </c>
      <c r="B485" s="6">
        <v>2.0282629999999999</v>
      </c>
      <c r="C485" s="6">
        <f t="shared" si="49"/>
        <v>1.9942629999999999</v>
      </c>
      <c r="D485" s="6">
        <f t="shared" si="50"/>
        <v>1264.362742</v>
      </c>
      <c r="E485" s="6">
        <f t="shared" si="54"/>
        <v>-604.54745100000036</v>
      </c>
      <c r="F485" s="6">
        <f t="shared" si="55"/>
        <v>-3.0087500000000045E-3</v>
      </c>
      <c r="G485" s="6">
        <f t="shared" si="51"/>
        <v>963.19393188476079</v>
      </c>
      <c r="H485" s="7">
        <f t="shared" si="52"/>
        <v>5.850345920188675E-13</v>
      </c>
      <c r="I485" s="8">
        <f t="shared" si="53"/>
        <v>5.850345920188675E-13</v>
      </c>
    </row>
    <row r="486" spans="1:9" x14ac:dyDescent="0.2">
      <c r="A486" s="5">
        <v>632</v>
      </c>
      <c r="B486" s="6">
        <v>2.0331929999999998</v>
      </c>
      <c r="C486" s="6">
        <f t="shared" si="49"/>
        <v>1.9991929999999998</v>
      </c>
      <c r="D486" s="6">
        <f t="shared" si="50"/>
        <v>1263.4899759999998</v>
      </c>
      <c r="E486" s="6">
        <f t="shared" si="54"/>
        <v>-608.5409070000004</v>
      </c>
      <c r="F486" s="6">
        <f t="shared" si="55"/>
        <v>-3.0922500000000186E-3</v>
      </c>
      <c r="G486" s="6">
        <f t="shared" si="51"/>
        <v>964.07560869176768</v>
      </c>
      <c r="H486" s="7">
        <f t="shared" si="52"/>
        <v>5.6975796918475321E-13</v>
      </c>
      <c r="I486" s="8">
        <f t="shared" si="53"/>
        <v>5.6975796918475321E-13</v>
      </c>
    </row>
    <row r="487" spans="1:9" x14ac:dyDescent="0.2">
      <c r="A487" s="5">
        <v>630</v>
      </c>
      <c r="B487" s="6">
        <v>2.040632</v>
      </c>
      <c r="C487" s="6">
        <f t="shared" si="49"/>
        <v>2.0066320000000002</v>
      </c>
      <c r="D487" s="6">
        <f t="shared" si="50"/>
        <v>1264.1781600000002</v>
      </c>
      <c r="E487" s="6">
        <f t="shared" si="54"/>
        <v>-612.54673200000036</v>
      </c>
      <c r="F487" s="6">
        <f t="shared" si="55"/>
        <v>-3.6052500000000043E-3</v>
      </c>
      <c r="G487" s="6">
        <f t="shared" si="51"/>
        <v>965.39111482307067</v>
      </c>
      <c r="H487" s="7">
        <f t="shared" si="52"/>
        <v>4.8935251326093111E-13</v>
      </c>
      <c r="I487" s="8">
        <f t="shared" si="53"/>
        <v>4.8935251326093111E-13</v>
      </c>
    </row>
    <row r="488" spans="1:9" x14ac:dyDescent="0.2">
      <c r="A488" s="5">
        <v>628</v>
      </c>
      <c r="B488" s="6">
        <v>2.0476139999999998</v>
      </c>
      <c r="C488" s="6">
        <f t="shared" si="49"/>
        <v>2.013614</v>
      </c>
      <c r="D488" s="6">
        <f t="shared" si="50"/>
        <v>1264.5495920000001</v>
      </c>
      <c r="E488" s="6">
        <f t="shared" si="54"/>
        <v>-616.5669780000004</v>
      </c>
      <c r="F488" s="6">
        <f t="shared" si="55"/>
        <v>-3.3947500000000019E-3</v>
      </c>
      <c r="G488" s="6">
        <f t="shared" si="51"/>
        <v>966.61184148159441</v>
      </c>
      <c r="H488" s="7">
        <f t="shared" si="52"/>
        <v>5.2035319494971474E-13</v>
      </c>
      <c r="I488" s="8">
        <f t="shared" si="53"/>
        <v>5.2035319494971474E-13</v>
      </c>
    </row>
    <row r="489" spans="1:9" x14ac:dyDescent="0.2">
      <c r="A489" s="5">
        <v>626</v>
      </c>
      <c r="B489" s="6">
        <v>2.054211</v>
      </c>
      <c r="C489" s="6">
        <f t="shared" si="49"/>
        <v>2.0202110000000002</v>
      </c>
      <c r="D489" s="6">
        <f t="shared" si="50"/>
        <v>1264.6520860000001</v>
      </c>
      <c r="E489" s="6">
        <f t="shared" si="54"/>
        <v>-620.60080300000038</v>
      </c>
      <c r="F489" s="6">
        <f t="shared" si="55"/>
        <v>-3.6667500000000519E-3</v>
      </c>
      <c r="G489" s="6">
        <f t="shared" si="51"/>
        <v>967.75206108318139</v>
      </c>
      <c r="H489" s="7">
        <f t="shared" si="52"/>
        <v>4.8232160447468282E-13</v>
      </c>
      <c r="I489" s="8">
        <f t="shared" si="53"/>
        <v>4.8232160447468282E-13</v>
      </c>
    </row>
    <row r="490" spans="1:9" x14ac:dyDescent="0.2">
      <c r="A490" s="5">
        <v>624</v>
      </c>
      <c r="B490" s="6">
        <v>2.062281</v>
      </c>
      <c r="C490" s="6">
        <f t="shared" si="49"/>
        <v>2.0282810000000002</v>
      </c>
      <c r="D490" s="6">
        <f t="shared" si="50"/>
        <v>1265.6473440000002</v>
      </c>
      <c r="E490" s="6">
        <f t="shared" si="54"/>
        <v>-624.64929500000039</v>
      </c>
      <c r="F490" s="6">
        <f t="shared" si="55"/>
        <v>-4.0962500000000235E-3</v>
      </c>
      <c r="G490" s="6">
        <f t="shared" si="51"/>
        <v>969.13073269221695</v>
      </c>
      <c r="H490" s="7">
        <f t="shared" si="52"/>
        <v>4.3236429549394027E-13</v>
      </c>
      <c r="I490" s="8">
        <f t="shared" si="53"/>
        <v>4.3236429549394027E-13</v>
      </c>
    </row>
    <row r="491" spans="1:9" x14ac:dyDescent="0.2">
      <c r="A491" s="5">
        <v>622</v>
      </c>
      <c r="B491" s="6">
        <v>2.0705960000000001</v>
      </c>
      <c r="C491" s="6">
        <f t="shared" si="49"/>
        <v>2.0365960000000003</v>
      </c>
      <c r="D491" s="6">
        <f t="shared" si="50"/>
        <v>1266.7627120000002</v>
      </c>
      <c r="E491" s="6">
        <f t="shared" si="54"/>
        <v>-628.71417200000042</v>
      </c>
      <c r="F491" s="6">
        <f t="shared" si="55"/>
        <v>-3.6490000000000133E-3</v>
      </c>
      <c r="G491" s="6">
        <f t="shared" si="51"/>
        <v>970.5346298829395</v>
      </c>
      <c r="H491" s="7">
        <f t="shared" si="52"/>
        <v>4.8606134475425857E-13</v>
      </c>
      <c r="I491" s="8">
        <f t="shared" si="53"/>
        <v>4.8606134475425857E-13</v>
      </c>
    </row>
    <row r="492" spans="1:9" x14ac:dyDescent="0.2">
      <c r="A492" s="5">
        <v>620</v>
      </c>
      <c r="B492" s="6">
        <v>2.0768770000000001</v>
      </c>
      <c r="C492" s="6">
        <f t="shared" si="49"/>
        <v>2.0428770000000003</v>
      </c>
      <c r="D492" s="6">
        <f t="shared" si="50"/>
        <v>1266.5837400000003</v>
      </c>
      <c r="E492" s="6">
        <f t="shared" si="54"/>
        <v>-632.79364500000042</v>
      </c>
      <c r="F492" s="6">
        <f t="shared" si="55"/>
        <v>-3.0789999999999429E-3</v>
      </c>
      <c r="G492" s="6">
        <f t="shared" si="51"/>
        <v>971.58254632610578</v>
      </c>
      <c r="H492" s="7">
        <f t="shared" si="52"/>
        <v>5.7666544299701169E-13</v>
      </c>
      <c r="I492" s="8">
        <f t="shared" si="53"/>
        <v>5.7666544299701169E-13</v>
      </c>
    </row>
    <row r="493" spans="1:9" x14ac:dyDescent="0.2">
      <c r="A493" s="5">
        <v>618</v>
      </c>
      <c r="B493" s="6">
        <v>2.0829119999999999</v>
      </c>
      <c r="C493" s="6">
        <f t="shared" si="49"/>
        <v>2.0489120000000001</v>
      </c>
      <c r="D493" s="6">
        <f t="shared" si="50"/>
        <v>1266.2276160000001</v>
      </c>
      <c r="E493" s="6">
        <f t="shared" si="54"/>
        <v>-636.88543400000037</v>
      </c>
      <c r="F493" s="6">
        <f t="shared" si="55"/>
        <v>-2.9034999999999478E-3</v>
      </c>
      <c r="G493" s="6">
        <f t="shared" si="51"/>
        <v>972.5773503484761</v>
      </c>
      <c r="H493" s="7">
        <f t="shared" si="52"/>
        <v>6.1214771441183458E-13</v>
      </c>
      <c r="I493" s="8">
        <f t="shared" si="53"/>
        <v>6.1214771441183458E-13</v>
      </c>
    </row>
    <row r="494" spans="1:9" x14ac:dyDescent="0.2">
      <c r="A494" s="5">
        <v>616</v>
      </c>
      <c r="B494" s="6">
        <v>2.0884909999999999</v>
      </c>
      <c r="C494" s="6">
        <f t="shared" si="49"/>
        <v>2.0544910000000001</v>
      </c>
      <c r="D494" s="6">
        <f t="shared" si="50"/>
        <v>1265.566456</v>
      </c>
      <c r="E494" s="6">
        <f t="shared" si="54"/>
        <v>-640.98883700000033</v>
      </c>
      <c r="F494" s="6">
        <f t="shared" si="55"/>
        <v>-3.2807500000000545E-3</v>
      </c>
      <c r="G494" s="6">
        <f t="shared" si="51"/>
        <v>973.48582973717612</v>
      </c>
      <c r="H494" s="7">
        <f t="shared" si="52"/>
        <v>5.4226354388346787E-13</v>
      </c>
      <c r="I494" s="8">
        <f t="shared" si="53"/>
        <v>5.4226354388346787E-13</v>
      </c>
    </row>
    <row r="495" spans="1:9" x14ac:dyDescent="0.2">
      <c r="A495" s="5">
        <v>614</v>
      </c>
      <c r="B495" s="6">
        <v>2.0960350000000001</v>
      </c>
      <c r="C495" s="6">
        <f t="shared" si="49"/>
        <v>2.0620350000000003</v>
      </c>
      <c r="D495" s="6">
        <f t="shared" si="50"/>
        <v>1266.0894900000001</v>
      </c>
      <c r="E495" s="6">
        <f t="shared" si="54"/>
        <v>-645.10536300000035</v>
      </c>
      <c r="F495" s="6">
        <f t="shared" si="55"/>
        <v>-3.7457499999999921E-3</v>
      </c>
      <c r="G495" s="6">
        <f t="shared" si="51"/>
        <v>974.6991999749165</v>
      </c>
      <c r="H495" s="7">
        <f t="shared" si="52"/>
        <v>4.75538553818557E-13</v>
      </c>
      <c r="I495" s="8">
        <f t="shared" si="53"/>
        <v>4.75538553818557E-13</v>
      </c>
    </row>
    <row r="496" spans="1:9" x14ac:dyDescent="0.2">
      <c r="A496" s="5">
        <v>612</v>
      </c>
      <c r="B496" s="6">
        <v>2.1034739999999998</v>
      </c>
      <c r="C496" s="6">
        <f t="shared" si="49"/>
        <v>2.069474</v>
      </c>
      <c r="D496" s="6">
        <f t="shared" si="50"/>
        <v>1266.518088</v>
      </c>
      <c r="E496" s="6">
        <f t="shared" si="54"/>
        <v>-649.2368720000004</v>
      </c>
      <c r="F496" s="6">
        <f t="shared" si="55"/>
        <v>-3.8509999999999378E-3</v>
      </c>
      <c r="G496" s="6">
        <f t="shared" si="51"/>
        <v>975.88080410621956</v>
      </c>
      <c r="H496" s="7">
        <f t="shared" si="52"/>
        <v>4.6310254537546793E-13</v>
      </c>
      <c r="I496" s="8">
        <f t="shared" si="53"/>
        <v>4.6310254537546793E-13</v>
      </c>
    </row>
    <row r="497" spans="1:9" x14ac:dyDescent="0.2">
      <c r="A497" s="5">
        <v>610</v>
      </c>
      <c r="B497" s="6">
        <v>2.1114389999999998</v>
      </c>
      <c r="C497" s="6">
        <f t="shared" si="49"/>
        <v>2.077439</v>
      </c>
      <c r="D497" s="6">
        <f t="shared" si="50"/>
        <v>1267.2377900000001</v>
      </c>
      <c r="E497" s="6">
        <f t="shared" si="54"/>
        <v>-653.38378500000044</v>
      </c>
      <c r="F497" s="6">
        <f t="shared" si="55"/>
        <v>-3.9605000000000334E-3</v>
      </c>
      <c r="G497" s="6">
        <f t="shared" si="51"/>
        <v>977.13002760881773</v>
      </c>
      <c r="H497" s="7">
        <f t="shared" si="52"/>
        <v>4.5087510161049858E-13</v>
      </c>
      <c r="I497" s="8">
        <f t="shared" si="53"/>
        <v>4.5087510161049858E-13</v>
      </c>
    </row>
    <row r="498" spans="1:9" x14ac:dyDescent="0.2">
      <c r="A498" s="5">
        <v>608</v>
      </c>
      <c r="B498" s="6">
        <v>2.119316</v>
      </c>
      <c r="C498" s="6">
        <f t="shared" si="49"/>
        <v>2.0853160000000002</v>
      </c>
      <c r="D498" s="6">
        <f t="shared" si="50"/>
        <v>1267.8721280000002</v>
      </c>
      <c r="E498" s="6">
        <f t="shared" si="54"/>
        <v>-657.54654000000039</v>
      </c>
      <c r="F498" s="6">
        <f t="shared" si="55"/>
        <v>-3.8595000000000157E-3</v>
      </c>
      <c r="G498" s="6">
        <f t="shared" si="51"/>
        <v>978.34969526983059</v>
      </c>
      <c r="H498" s="7">
        <f t="shared" si="52"/>
        <v>4.6325165558945197E-13</v>
      </c>
      <c r="I498" s="8">
        <f t="shared" si="53"/>
        <v>4.6325165558945197E-13</v>
      </c>
    </row>
    <row r="499" spans="1:9" x14ac:dyDescent="0.2">
      <c r="A499" s="5">
        <v>606</v>
      </c>
      <c r="B499" s="6">
        <v>2.1268769999999999</v>
      </c>
      <c r="C499" s="6">
        <f t="shared" si="49"/>
        <v>2.0928770000000001</v>
      </c>
      <c r="D499" s="6">
        <f t="shared" si="50"/>
        <v>1268.2834620000001</v>
      </c>
      <c r="E499" s="6">
        <f t="shared" si="54"/>
        <v>-661.72473300000036</v>
      </c>
      <c r="F499" s="6">
        <f t="shared" si="55"/>
        <v>-2.8377499999999722E-3</v>
      </c>
      <c r="G499" s="6">
        <f t="shared" si="51"/>
        <v>979.50531177242249</v>
      </c>
      <c r="H499" s="7">
        <f t="shared" si="52"/>
        <v>6.307925775741427E-13</v>
      </c>
      <c r="I499" s="8">
        <f t="shared" si="53"/>
        <v>6.307925775741427E-13</v>
      </c>
    </row>
    <row r="500" spans="1:9" x14ac:dyDescent="0.2">
      <c r="A500" s="5">
        <v>604</v>
      </c>
      <c r="B500" s="6">
        <v>2.1306669999999999</v>
      </c>
      <c r="C500" s="6">
        <f t="shared" si="49"/>
        <v>2.0966670000000001</v>
      </c>
      <c r="D500" s="6">
        <f t="shared" si="50"/>
        <v>1266.386868</v>
      </c>
      <c r="E500" s="6">
        <f t="shared" si="54"/>
        <v>-665.91427700000031</v>
      </c>
      <c r="F500" s="6">
        <f t="shared" si="55"/>
        <v>-2.3377500000000273E-3</v>
      </c>
      <c r="G500" s="6">
        <f t="shared" si="51"/>
        <v>980.07699199525325</v>
      </c>
      <c r="H500" s="7">
        <f t="shared" si="52"/>
        <v>7.6615394043858848E-13</v>
      </c>
      <c r="I500" s="8">
        <f t="shared" si="53"/>
        <v>7.6615394043858848E-13</v>
      </c>
    </row>
    <row r="501" spans="1:9" x14ac:dyDescent="0.2">
      <c r="A501" s="5">
        <v>602</v>
      </c>
      <c r="B501" s="6">
        <v>2.136228</v>
      </c>
      <c r="C501" s="6">
        <f t="shared" si="49"/>
        <v>2.1022280000000002</v>
      </c>
      <c r="D501" s="6">
        <f t="shared" si="50"/>
        <v>1265.5412560000002</v>
      </c>
      <c r="E501" s="6">
        <f t="shared" si="54"/>
        <v>-670.1131720000003</v>
      </c>
      <c r="F501" s="6">
        <f t="shared" si="55"/>
        <v>-2.5217499999999893E-3</v>
      </c>
      <c r="G501" s="6">
        <f t="shared" si="51"/>
        <v>980.90468627999257</v>
      </c>
      <c r="H501" s="7">
        <f t="shared" si="52"/>
        <v>7.1085118408442789E-13</v>
      </c>
      <c r="I501" s="8">
        <f t="shared" si="53"/>
        <v>7.1085118408442789E-13</v>
      </c>
    </row>
    <row r="502" spans="1:9" x14ac:dyDescent="0.2">
      <c r="A502" s="5">
        <v>600</v>
      </c>
      <c r="B502" s="6">
        <v>2.1407539999999998</v>
      </c>
      <c r="C502" s="6">
        <f t="shared" si="49"/>
        <v>2.106754</v>
      </c>
      <c r="D502" s="6">
        <f t="shared" si="50"/>
        <v>1264.0524</v>
      </c>
      <c r="E502" s="6">
        <f t="shared" si="54"/>
        <v>-674.3221540000003</v>
      </c>
      <c r="F502" s="6">
        <f t="shared" si="55"/>
        <v>-2.7719999999999967E-3</v>
      </c>
      <c r="G502" s="6">
        <f t="shared" si="51"/>
        <v>981.5692800869931</v>
      </c>
      <c r="H502" s="7">
        <f t="shared" si="52"/>
        <v>6.4711526296208888E-13</v>
      </c>
      <c r="I502" s="8">
        <f t="shared" si="53"/>
        <v>6.4711526296208888E-13</v>
      </c>
    </row>
    <row r="503" spans="1:9" x14ac:dyDescent="0.2">
      <c r="A503" s="5">
        <v>598</v>
      </c>
      <c r="B503" s="6">
        <v>2.147316</v>
      </c>
      <c r="C503" s="6">
        <f t="shared" si="49"/>
        <v>2.1133160000000002</v>
      </c>
      <c r="D503" s="6">
        <f t="shared" si="50"/>
        <v>1263.7629680000002</v>
      </c>
      <c r="E503" s="6">
        <f t="shared" si="54"/>
        <v>-678.54222400000026</v>
      </c>
      <c r="F503" s="6">
        <f t="shared" si="55"/>
        <v>-3.4562500000000496E-3</v>
      </c>
      <c r="G503" s="6">
        <f t="shared" si="51"/>
        <v>982.51971431976779</v>
      </c>
      <c r="H503" s="7">
        <f t="shared" si="52"/>
        <v>5.1950536378908962E-13</v>
      </c>
      <c r="I503" s="8">
        <f t="shared" si="53"/>
        <v>5.1950536378908962E-13</v>
      </c>
    </row>
    <row r="504" spans="1:9" x14ac:dyDescent="0.2">
      <c r="A504" s="5">
        <v>596</v>
      </c>
      <c r="B504" s="6">
        <v>2.154579</v>
      </c>
      <c r="C504" s="6">
        <f t="shared" si="49"/>
        <v>2.1205790000000002</v>
      </c>
      <c r="D504" s="6">
        <f t="shared" si="50"/>
        <v>1263.865084</v>
      </c>
      <c r="E504" s="6">
        <f t="shared" si="54"/>
        <v>-682.77611900000022</v>
      </c>
      <c r="F504" s="6">
        <f t="shared" si="55"/>
        <v>-3.2280000000000086E-3</v>
      </c>
      <c r="G504" s="6">
        <f t="shared" si="51"/>
        <v>983.55715476789965</v>
      </c>
      <c r="H504" s="7">
        <f t="shared" si="52"/>
        <v>5.568266173630003E-13</v>
      </c>
      <c r="I504" s="8">
        <f t="shared" si="53"/>
        <v>5.568266173630003E-13</v>
      </c>
    </row>
    <row r="505" spans="1:9" x14ac:dyDescent="0.2">
      <c r="A505" s="5">
        <v>594</v>
      </c>
      <c r="B505" s="6">
        <v>2.160228</v>
      </c>
      <c r="C505" s="6">
        <f t="shared" si="49"/>
        <v>2.1262280000000002</v>
      </c>
      <c r="D505" s="6">
        <f t="shared" si="50"/>
        <v>1262.9794320000001</v>
      </c>
      <c r="E505" s="6">
        <f t="shared" si="54"/>
        <v>-687.02292600000021</v>
      </c>
      <c r="F505" s="6">
        <f t="shared" si="55"/>
        <v>-3.0702499999999411E-3</v>
      </c>
      <c r="G505" s="6">
        <f t="shared" si="51"/>
        <v>984.35275489422452</v>
      </c>
      <c r="H505" s="7">
        <f t="shared" si="52"/>
        <v>5.8591002962204453E-13</v>
      </c>
      <c r="I505" s="8">
        <f t="shared" si="53"/>
        <v>5.8591002962204453E-13</v>
      </c>
    </row>
    <row r="506" spans="1:9" x14ac:dyDescent="0.2">
      <c r="A506" s="5">
        <v>592</v>
      </c>
      <c r="B506" s="6">
        <v>2.1668599999999998</v>
      </c>
      <c r="C506" s="6">
        <f t="shared" si="49"/>
        <v>2.13286</v>
      </c>
      <c r="D506" s="6">
        <f t="shared" si="50"/>
        <v>1262.6531199999999</v>
      </c>
      <c r="E506" s="6">
        <f t="shared" si="54"/>
        <v>-691.28201400000023</v>
      </c>
      <c r="F506" s="6">
        <f t="shared" si="55"/>
        <v>-3.3902500000000391E-3</v>
      </c>
      <c r="G506" s="6">
        <f t="shared" si="51"/>
        <v>985.27353586462402</v>
      </c>
      <c r="H506" s="7">
        <f t="shared" si="52"/>
        <v>5.3110330571749038E-13</v>
      </c>
      <c r="I506" s="8">
        <f t="shared" si="53"/>
        <v>5.3110330571749038E-13</v>
      </c>
    </row>
    <row r="507" spans="1:9" x14ac:dyDescent="0.2">
      <c r="A507" s="5">
        <v>590</v>
      </c>
      <c r="B507" s="6">
        <v>2.1737890000000002</v>
      </c>
      <c r="C507" s="6">
        <f t="shared" si="49"/>
        <v>2.1397890000000004</v>
      </c>
      <c r="D507" s="6">
        <f t="shared" si="50"/>
        <v>1262.4755100000002</v>
      </c>
      <c r="E507" s="6">
        <f t="shared" si="54"/>
        <v>-695.55466300000023</v>
      </c>
      <c r="F507" s="6">
        <f t="shared" si="55"/>
        <v>-2.9165000000000996E-3</v>
      </c>
      <c r="G507" s="6">
        <f t="shared" si="51"/>
        <v>986.22169405037471</v>
      </c>
      <c r="H507" s="7">
        <f t="shared" si="52"/>
        <v>6.1796870475953322E-13</v>
      </c>
      <c r="I507" s="8">
        <f t="shared" si="53"/>
        <v>6.1796870475953322E-13</v>
      </c>
    </row>
    <row r="508" spans="1:9" x14ac:dyDescent="0.2">
      <c r="A508" s="5">
        <v>588</v>
      </c>
      <c r="B508" s="6">
        <v>2.1785260000000002</v>
      </c>
      <c r="C508" s="6">
        <f t="shared" si="49"/>
        <v>2.1445260000000004</v>
      </c>
      <c r="D508" s="6">
        <f t="shared" si="50"/>
        <v>1260.9812880000002</v>
      </c>
      <c r="E508" s="6">
        <f t="shared" si="54"/>
        <v>-699.83897800000022</v>
      </c>
      <c r="F508" s="6">
        <f t="shared" si="55"/>
        <v>-1.7982500000000012E-3</v>
      </c>
      <c r="G508" s="6">
        <f t="shared" si="51"/>
        <v>986.86042690935869</v>
      </c>
      <c r="H508" s="7">
        <f t="shared" si="52"/>
        <v>1.0029044918074977E-12</v>
      </c>
      <c r="I508" s="8">
        <f t="shared" si="53"/>
        <v>1.0029044918074977E-12</v>
      </c>
    </row>
    <row r="509" spans="1:9" x14ac:dyDescent="0.2">
      <c r="A509" s="5">
        <v>586</v>
      </c>
      <c r="B509" s="6">
        <v>2.1809820000000002</v>
      </c>
      <c r="C509" s="6">
        <f t="shared" si="49"/>
        <v>2.1469820000000004</v>
      </c>
      <c r="D509" s="6">
        <f t="shared" si="50"/>
        <v>1258.1314520000003</v>
      </c>
      <c r="E509" s="6">
        <f t="shared" si="54"/>
        <v>-704.13048600000025</v>
      </c>
      <c r="F509" s="6">
        <f t="shared" si="55"/>
        <v>-2.0922499999999067E-3</v>
      </c>
      <c r="G509" s="6">
        <f t="shared" si="51"/>
        <v>987.18667976088182</v>
      </c>
      <c r="H509" s="7">
        <f t="shared" si="52"/>
        <v>8.6226274331905574E-13</v>
      </c>
      <c r="I509" s="8">
        <f t="shared" si="53"/>
        <v>8.6226274331905574E-13</v>
      </c>
    </row>
    <row r="510" spans="1:9" x14ac:dyDescent="0.2">
      <c r="A510" s="5">
        <v>584</v>
      </c>
      <c r="B510" s="6">
        <v>2.1868949999999998</v>
      </c>
      <c r="C510" s="6">
        <f t="shared" si="49"/>
        <v>2.152895</v>
      </c>
      <c r="D510" s="6">
        <f t="shared" si="50"/>
        <v>1257.2906800000001</v>
      </c>
      <c r="E510" s="6">
        <f t="shared" si="54"/>
        <v>-708.43036300000028</v>
      </c>
      <c r="F510" s="6">
        <f t="shared" si="55"/>
        <v>-3.0702499999999411E-3</v>
      </c>
      <c r="G510" s="6">
        <f t="shared" si="51"/>
        <v>987.96033141196312</v>
      </c>
      <c r="H510" s="7">
        <f t="shared" si="52"/>
        <v>5.880573444478146E-13</v>
      </c>
      <c r="I510" s="8">
        <f t="shared" si="53"/>
        <v>5.880573444478146E-13</v>
      </c>
    </row>
    <row r="511" spans="1:9" x14ac:dyDescent="0.2">
      <c r="A511" s="5">
        <v>582</v>
      </c>
      <c r="B511" s="6">
        <v>2.193263</v>
      </c>
      <c r="C511" s="6">
        <f t="shared" si="49"/>
        <v>2.1592630000000002</v>
      </c>
      <c r="D511" s="6">
        <f t="shared" si="50"/>
        <v>1256.6910660000001</v>
      </c>
      <c r="E511" s="6">
        <f t="shared" si="54"/>
        <v>-712.74252100000024</v>
      </c>
      <c r="F511" s="6">
        <f t="shared" si="55"/>
        <v>-2.6052500000000034E-3</v>
      </c>
      <c r="G511" s="6">
        <f t="shared" si="51"/>
        <v>988.78077885760604</v>
      </c>
      <c r="H511" s="7">
        <f t="shared" si="52"/>
        <v>6.9359271375220516E-13</v>
      </c>
      <c r="I511" s="8">
        <f t="shared" si="53"/>
        <v>6.9359271375220516E-13</v>
      </c>
    </row>
    <row r="512" spans="1:9" x14ac:dyDescent="0.2">
      <c r="A512" s="5">
        <v>580</v>
      </c>
      <c r="B512" s="6">
        <v>2.1973159999999998</v>
      </c>
      <c r="C512" s="6">
        <f t="shared" si="49"/>
        <v>2.163316</v>
      </c>
      <c r="D512" s="6">
        <f t="shared" si="50"/>
        <v>1254.7232799999999</v>
      </c>
      <c r="E512" s="6">
        <f t="shared" si="54"/>
        <v>-717.06510000000026</v>
      </c>
      <c r="F512" s="6">
        <f t="shared" si="55"/>
        <v>-2.5132500000000224E-3</v>
      </c>
      <c r="G512" s="6">
        <f t="shared" si="51"/>
        <v>989.29485776608453</v>
      </c>
      <c r="H512" s="7">
        <f t="shared" si="52"/>
        <v>7.1935616798662679E-13</v>
      </c>
      <c r="I512" s="8">
        <f t="shared" si="53"/>
        <v>7.1935616798662679E-13</v>
      </c>
    </row>
    <row r="513" spans="1:9" x14ac:dyDescent="0.2">
      <c r="A513" s="5">
        <v>578</v>
      </c>
      <c r="B513" s="6">
        <v>2.2033160000000001</v>
      </c>
      <c r="C513" s="6">
        <f t="shared" si="49"/>
        <v>2.1693160000000002</v>
      </c>
      <c r="D513" s="6">
        <f t="shared" si="50"/>
        <v>1253.8646480000002</v>
      </c>
      <c r="E513" s="6">
        <f t="shared" si="54"/>
        <v>-721.39773200000025</v>
      </c>
      <c r="F513" s="6">
        <f t="shared" si="55"/>
        <v>-2.8552500000000869E-3</v>
      </c>
      <c r="G513" s="6">
        <f t="shared" si="51"/>
        <v>990.04389241964259</v>
      </c>
      <c r="H513" s="7">
        <f t="shared" si="52"/>
        <v>6.3367156608735808E-13</v>
      </c>
      <c r="I513" s="8">
        <f t="shared" si="53"/>
        <v>6.3367156608735808E-13</v>
      </c>
    </row>
    <row r="514" spans="1:9" x14ac:dyDescent="0.2">
      <c r="A514" s="5">
        <v>576</v>
      </c>
      <c r="B514" s="6">
        <v>2.2087370000000002</v>
      </c>
      <c r="C514" s="6">
        <f t="shared" ref="C514:C577" si="56">B514-$B$2</f>
        <v>2.1747370000000004</v>
      </c>
      <c r="D514" s="6">
        <f t="shared" ref="D514:D577" si="57">A514*C514</f>
        <v>1252.6485120000002</v>
      </c>
      <c r="E514" s="6">
        <f t="shared" si="54"/>
        <v>-725.74178500000028</v>
      </c>
      <c r="F514" s="6">
        <f t="shared" si="55"/>
        <v>-2.6884999999999826E-3</v>
      </c>
      <c r="G514" s="6">
        <f t="shared" ref="G514:G577" si="58">(A514-$L$5)*C514-E514</f>
        <v>990.70980322913226</v>
      </c>
      <c r="H514" s="7">
        <f t="shared" ref="H514:H577" si="59">IF(ABS(F514)&lt;0.000000001,"",-(G514)/(2*$L$4*F514)*0.000000000001)</f>
        <v>6.7342669940107863E-13</v>
      </c>
      <c r="I514" s="8">
        <f t="shared" ref="I514:I577" si="60">IF(AND(B514&gt;=0.5,B514&lt;=2.5,ISNUMBER(H514),H514&gt;0),H514,"")</f>
        <v>6.7342669940107863E-13</v>
      </c>
    </row>
    <row r="515" spans="1:9" x14ac:dyDescent="0.2">
      <c r="A515" s="5">
        <v>574</v>
      </c>
      <c r="B515" s="6">
        <v>2.21407</v>
      </c>
      <c r="C515" s="6">
        <f t="shared" si="56"/>
        <v>2.1800700000000002</v>
      </c>
      <c r="D515" s="6">
        <f t="shared" si="57"/>
        <v>1251.3601800000001</v>
      </c>
      <c r="E515" s="6">
        <f t="shared" ref="E515:E578" si="61">E514+(C514+C515)/2*(A515-A514)</f>
        <v>-730.09659200000033</v>
      </c>
      <c r="F515" s="6">
        <f t="shared" ref="F515:F578" si="62">(B516-B514)/(A516-A514)</f>
        <v>-2.8202499999999686E-3</v>
      </c>
      <c r="G515" s="6">
        <f t="shared" si="58"/>
        <v>991.35423819703647</v>
      </c>
      <c r="H515" s="7">
        <f t="shared" si="59"/>
        <v>6.4238467399063549E-13</v>
      </c>
      <c r="I515" s="8">
        <f t="shared" si="60"/>
        <v>6.4238467399063549E-13</v>
      </c>
    </row>
    <row r="516" spans="1:9" x14ac:dyDescent="0.2">
      <c r="A516" s="5">
        <v>572</v>
      </c>
      <c r="B516" s="6">
        <v>2.220018</v>
      </c>
      <c r="C516" s="6">
        <f t="shared" si="56"/>
        <v>2.1860180000000002</v>
      </c>
      <c r="D516" s="6">
        <f t="shared" si="57"/>
        <v>1250.4022960000002</v>
      </c>
      <c r="E516" s="6">
        <f t="shared" si="61"/>
        <v>-734.46268000000032</v>
      </c>
      <c r="F516" s="6">
        <f t="shared" si="62"/>
        <v>-2.578999999999998E-3</v>
      </c>
      <c r="G516" s="6">
        <f t="shared" si="58"/>
        <v>992.0610932169302</v>
      </c>
      <c r="H516" s="7">
        <f t="shared" si="59"/>
        <v>7.0297679101853003E-13</v>
      </c>
      <c r="I516" s="8">
        <f t="shared" si="60"/>
        <v>7.0297679101853003E-13</v>
      </c>
    </row>
    <row r="517" spans="1:9" x14ac:dyDescent="0.2">
      <c r="A517" s="5">
        <v>570</v>
      </c>
      <c r="B517" s="6">
        <v>2.224386</v>
      </c>
      <c r="C517" s="6">
        <f t="shared" si="56"/>
        <v>2.1903860000000002</v>
      </c>
      <c r="D517" s="6">
        <f t="shared" si="57"/>
        <v>1248.5200200000002</v>
      </c>
      <c r="E517" s="6">
        <f t="shared" si="61"/>
        <v>-738.8390840000003</v>
      </c>
      <c r="F517" s="6">
        <f t="shared" si="62"/>
        <v>-2.7234999999999898E-3</v>
      </c>
      <c r="G517" s="6">
        <f t="shared" si="58"/>
        <v>992.57144644472044</v>
      </c>
      <c r="H517" s="7">
        <f t="shared" si="59"/>
        <v>6.6602159247265525E-13</v>
      </c>
      <c r="I517" s="8">
        <f t="shared" si="60"/>
        <v>6.6602159247265525E-13</v>
      </c>
    </row>
    <row r="518" spans="1:9" x14ac:dyDescent="0.2">
      <c r="A518" s="5">
        <v>568</v>
      </c>
      <c r="B518" s="6">
        <v>2.230912</v>
      </c>
      <c r="C518" s="6">
        <f t="shared" si="56"/>
        <v>2.1969120000000002</v>
      </c>
      <c r="D518" s="6">
        <f t="shared" si="57"/>
        <v>1247.8460160000002</v>
      </c>
      <c r="E518" s="6">
        <f t="shared" si="61"/>
        <v>-743.22638200000029</v>
      </c>
      <c r="F518" s="6">
        <f t="shared" si="62"/>
        <v>-3.6315000000000097E-3</v>
      </c>
      <c r="G518" s="6">
        <f t="shared" si="58"/>
        <v>993.32088646957368</v>
      </c>
      <c r="H518" s="7">
        <f t="shared" si="59"/>
        <v>4.9987041106649005E-13</v>
      </c>
      <c r="I518" s="8">
        <f t="shared" si="60"/>
        <v>4.9987041106649005E-13</v>
      </c>
    </row>
    <row r="519" spans="1:9" x14ac:dyDescent="0.2">
      <c r="A519" s="5">
        <v>566</v>
      </c>
      <c r="B519" s="6">
        <v>2.238912</v>
      </c>
      <c r="C519" s="6">
        <f t="shared" si="56"/>
        <v>2.2049120000000002</v>
      </c>
      <c r="D519" s="6">
        <f t="shared" si="57"/>
        <v>1247.9801920000002</v>
      </c>
      <c r="E519" s="6">
        <f t="shared" si="61"/>
        <v>-747.62820600000032</v>
      </c>
      <c r="F519" s="6">
        <f t="shared" si="62"/>
        <v>-3.1579999999999941E-3</v>
      </c>
      <c r="G519" s="6">
        <f t="shared" si="58"/>
        <v>994.22359934098449</v>
      </c>
      <c r="H519" s="7">
        <f t="shared" si="59"/>
        <v>5.7534170119154955E-13</v>
      </c>
      <c r="I519" s="8">
        <f t="shared" si="60"/>
        <v>5.7534170119154955E-13</v>
      </c>
    </row>
    <row r="520" spans="1:9" x14ac:dyDescent="0.2">
      <c r="A520" s="5">
        <v>564</v>
      </c>
      <c r="B520" s="6">
        <v>2.243544</v>
      </c>
      <c r="C520" s="6">
        <f t="shared" si="56"/>
        <v>2.2095440000000002</v>
      </c>
      <c r="D520" s="6">
        <f t="shared" si="57"/>
        <v>1246.182816</v>
      </c>
      <c r="E520" s="6">
        <f t="shared" si="61"/>
        <v>-752.04266200000029</v>
      </c>
      <c r="F520" s="6">
        <f t="shared" si="62"/>
        <v>-2.8817500000000162E-3</v>
      </c>
      <c r="G520" s="6">
        <f t="shared" si="58"/>
        <v>994.73700609353114</v>
      </c>
      <c r="H520" s="7">
        <f t="shared" si="59"/>
        <v>6.3082062486240387E-13</v>
      </c>
      <c r="I520" s="8">
        <f t="shared" si="60"/>
        <v>6.3082062486240387E-13</v>
      </c>
    </row>
    <row r="521" spans="1:9" x14ac:dyDescent="0.2">
      <c r="A521" s="5">
        <v>562</v>
      </c>
      <c r="B521" s="6">
        <v>2.2504390000000001</v>
      </c>
      <c r="C521" s="6">
        <f t="shared" si="56"/>
        <v>2.2164390000000003</v>
      </c>
      <c r="D521" s="6">
        <f t="shared" si="57"/>
        <v>1245.6387180000002</v>
      </c>
      <c r="E521" s="6">
        <f t="shared" si="61"/>
        <v>-756.46864500000027</v>
      </c>
      <c r="F521" s="6">
        <f t="shared" si="62"/>
        <v>-2.9342500000000271E-3</v>
      </c>
      <c r="G521" s="6">
        <f t="shared" si="58"/>
        <v>995.48745174957821</v>
      </c>
      <c r="H521" s="7">
        <f t="shared" si="59"/>
        <v>6.2000128283623547E-13</v>
      </c>
      <c r="I521" s="8">
        <f t="shared" si="60"/>
        <v>6.2000128283623547E-13</v>
      </c>
    </row>
    <row r="522" spans="1:9" x14ac:dyDescent="0.2">
      <c r="A522" s="5">
        <v>560</v>
      </c>
      <c r="B522" s="6">
        <v>2.2552810000000001</v>
      </c>
      <c r="C522" s="6">
        <f t="shared" si="56"/>
        <v>2.2212810000000003</v>
      </c>
      <c r="D522" s="6">
        <f t="shared" si="57"/>
        <v>1243.9173600000001</v>
      </c>
      <c r="E522" s="6">
        <f t="shared" si="61"/>
        <v>-760.90636500000028</v>
      </c>
      <c r="F522" s="6">
        <f t="shared" si="62"/>
        <v>-2.6972499999999844E-3</v>
      </c>
      <c r="G522" s="6">
        <f t="shared" si="58"/>
        <v>996.00476671499962</v>
      </c>
      <c r="H522" s="7">
        <f t="shared" si="59"/>
        <v>6.7482960411473709E-13</v>
      </c>
      <c r="I522" s="8">
        <f t="shared" si="60"/>
        <v>6.7482960411473709E-13</v>
      </c>
    </row>
    <row r="523" spans="1:9" x14ac:dyDescent="0.2">
      <c r="A523" s="5">
        <v>558</v>
      </c>
      <c r="B523" s="6">
        <v>2.261228</v>
      </c>
      <c r="C523" s="6">
        <f t="shared" si="56"/>
        <v>2.2272280000000002</v>
      </c>
      <c r="D523" s="6">
        <f t="shared" si="57"/>
        <v>1242.793224</v>
      </c>
      <c r="E523" s="6">
        <f t="shared" si="61"/>
        <v>-765.35487400000022</v>
      </c>
      <c r="F523" s="6">
        <f t="shared" si="62"/>
        <v>-3.0832499999999818E-3</v>
      </c>
      <c r="G523" s="6">
        <f t="shared" si="58"/>
        <v>996.62824489578441</v>
      </c>
      <c r="H523" s="7">
        <f t="shared" si="59"/>
        <v>5.9071549402697833E-13</v>
      </c>
      <c r="I523" s="8">
        <f t="shared" si="60"/>
        <v>5.9071549402697833E-13</v>
      </c>
    </row>
    <row r="524" spans="1:9" x14ac:dyDescent="0.2">
      <c r="A524" s="5">
        <v>556</v>
      </c>
      <c r="B524" s="6">
        <v>2.267614</v>
      </c>
      <c r="C524" s="6">
        <f t="shared" si="56"/>
        <v>2.2336140000000002</v>
      </c>
      <c r="D524" s="6">
        <f t="shared" si="57"/>
        <v>1241.8893840000001</v>
      </c>
      <c r="E524" s="6">
        <f t="shared" si="61"/>
        <v>-769.81571600000018</v>
      </c>
      <c r="F524" s="6">
        <f t="shared" si="62"/>
        <v>-2.5877499999999998E-3</v>
      </c>
      <c r="G524" s="6">
        <f t="shared" si="58"/>
        <v>997.284975445388</v>
      </c>
      <c r="H524" s="7">
        <f t="shared" si="59"/>
        <v>7.0428894307284212E-13</v>
      </c>
      <c r="I524" s="8">
        <f t="shared" si="60"/>
        <v>7.0428894307284212E-13</v>
      </c>
    </row>
    <row r="525" spans="1:9" x14ac:dyDescent="0.2">
      <c r="A525" s="5">
        <v>554</v>
      </c>
      <c r="B525" s="6">
        <v>2.271579</v>
      </c>
      <c r="C525" s="6">
        <f t="shared" si="56"/>
        <v>2.2375790000000002</v>
      </c>
      <c r="D525" s="6">
        <f t="shared" si="57"/>
        <v>1239.6187660000001</v>
      </c>
      <c r="E525" s="6">
        <f t="shared" si="61"/>
        <v>-774.28690900000015</v>
      </c>
      <c r="F525" s="6">
        <f t="shared" si="62"/>
        <v>-2.2587499999999761E-3</v>
      </c>
      <c r="G525" s="6">
        <f t="shared" si="58"/>
        <v>997.68480251228084</v>
      </c>
      <c r="H525" s="7">
        <f t="shared" si="59"/>
        <v>8.0719618840335944E-13</v>
      </c>
      <c r="I525" s="8">
        <f t="shared" si="60"/>
        <v>8.0719618840335944E-13</v>
      </c>
    </row>
    <row r="526" spans="1:9" x14ac:dyDescent="0.2">
      <c r="A526" s="5">
        <v>552</v>
      </c>
      <c r="B526" s="6">
        <v>2.2766489999999999</v>
      </c>
      <c r="C526" s="6">
        <f t="shared" si="56"/>
        <v>2.2426490000000001</v>
      </c>
      <c r="D526" s="6">
        <f t="shared" si="57"/>
        <v>1237.9422480000001</v>
      </c>
      <c r="E526" s="6">
        <f t="shared" si="61"/>
        <v>-778.76713700000016</v>
      </c>
      <c r="F526" s="6">
        <f t="shared" si="62"/>
        <v>-2.8814999999999813E-3</v>
      </c>
      <c r="G526" s="6">
        <f t="shared" si="58"/>
        <v>998.18591679453743</v>
      </c>
      <c r="H526" s="7">
        <f t="shared" si="59"/>
        <v>6.3306269983712395E-13</v>
      </c>
      <c r="I526" s="8">
        <f t="shared" si="60"/>
        <v>6.3306269983712395E-13</v>
      </c>
    </row>
    <row r="527" spans="1:9" x14ac:dyDescent="0.2">
      <c r="A527" s="5">
        <v>550</v>
      </c>
      <c r="B527" s="6">
        <v>2.2831049999999999</v>
      </c>
      <c r="C527" s="6">
        <f t="shared" si="56"/>
        <v>2.2491050000000001</v>
      </c>
      <c r="D527" s="6">
        <f t="shared" si="57"/>
        <v>1237.00775</v>
      </c>
      <c r="E527" s="6">
        <f t="shared" si="61"/>
        <v>-783.25889100000018</v>
      </c>
      <c r="F527" s="6">
        <f t="shared" si="62"/>
        <v>-2.578999999999998E-3</v>
      </c>
      <c r="G527" s="6">
        <f t="shared" si="58"/>
        <v>998.81111008176583</v>
      </c>
      <c r="H527" s="7">
        <f t="shared" si="59"/>
        <v>7.0775986862071307E-13</v>
      </c>
      <c r="I527" s="8">
        <f t="shared" si="60"/>
        <v>7.0775986862071307E-13</v>
      </c>
    </row>
    <row r="528" spans="1:9" x14ac:dyDescent="0.2">
      <c r="A528" s="5">
        <v>548</v>
      </c>
      <c r="B528" s="6">
        <v>2.2869649999999999</v>
      </c>
      <c r="C528" s="6">
        <f t="shared" si="56"/>
        <v>2.2529650000000001</v>
      </c>
      <c r="D528" s="6">
        <f t="shared" si="57"/>
        <v>1234.62482</v>
      </c>
      <c r="E528" s="6">
        <f t="shared" si="61"/>
        <v>-787.76096100000018</v>
      </c>
      <c r="F528" s="6">
        <f t="shared" si="62"/>
        <v>-2.1010000000000195E-3</v>
      </c>
      <c r="G528" s="6">
        <f t="shared" si="58"/>
        <v>999.17718904222147</v>
      </c>
      <c r="H528" s="7">
        <f t="shared" si="59"/>
        <v>8.6910123994336108E-13</v>
      </c>
      <c r="I528" s="8">
        <f t="shared" si="60"/>
        <v>8.6910123994336108E-13</v>
      </c>
    </row>
    <row r="529" spans="1:9" x14ac:dyDescent="0.2">
      <c r="A529" s="5">
        <v>546</v>
      </c>
      <c r="B529" s="6">
        <v>2.291509</v>
      </c>
      <c r="C529" s="6">
        <f t="shared" si="56"/>
        <v>2.2575090000000002</v>
      </c>
      <c r="D529" s="6">
        <f t="shared" si="57"/>
        <v>1232.5999140000001</v>
      </c>
      <c r="E529" s="6">
        <f t="shared" si="61"/>
        <v>-792.27143500000022</v>
      </c>
      <c r="F529" s="6">
        <f t="shared" si="62"/>
        <v>-1.9867500000000371E-3</v>
      </c>
      <c r="G529" s="6">
        <f t="shared" si="58"/>
        <v>999.59904995318277</v>
      </c>
      <c r="H529" s="7">
        <f t="shared" si="59"/>
        <v>9.1946779905282979E-13</v>
      </c>
      <c r="I529" s="8">
        <f t="shared" si="60"/>
        <v>9.1946779905282979E-13</v>
      </c>
    </row>
    <row r="530" spans="1:9" x14ac:dyDescent="0.2">
      <c r="A530" s="5">
        <v>544</v>
      </c>
      <c r="B530" s="6">
        <v>2.2949120000000001</v>
      </c>
      <c r="C530" s="6">
        <f t="shared" si="56"/>
        <v>2.2609120000000003</v>
      </c>
      <c r="D530" s="6">
        <f t="shared" si="57"/>
        <v>1229.9361280000001</v>
      </c>
      <c r="E530" s="6">
        <f t="shared" si="61"/>
        <v>-796.78985600000021</v>
      </c>
      <c r="F530" s="6">
        <f t="shared" si="62"/>
        <v>-2.3772499999999974E-3</v>
      </c>
      <c r="G530" s="6">
        <f t="shared" si="58"/>
        <v>999.90817544085917</v>
      </c>
      <c r="H530" s="7">
        <f t="shared" si="59"/>
        <v>7.686686600389507E-13</v>
      </c>
      <c r="I530" s="8">
        <f t="shared" si="60"/>
        <v>7.686686600389507E-13</v>
      </c>
    </row>
    <row r="531" spans="1:9" x14ac:dyDescent="0.2">
      <c r="A531" s="5">
        <v>542</v>
      </c>
      <c r="B531" s="6">
        <v>2.301018</v>
      </c>
      <c r="C531" s="6">
        <f t="shared" si="56"/>
        <v>2.2670180000000002</v>
      </c>
      <c r="D531" s="6">
        <f t="shared" si="57"/>
        <v>1228.7237560000001</v>
      </c>
      <c r="E531" s="6">
        <f t="shared" si="61"/>
        <v>-801.31778600000018</v>
      </c>
      <c r="F531" s="6">
        <f t="shared" si="62"/>
        <v>-2.8772499999999424E-3</v>
      </c>
      <c r="G531" s="6">
        <f t="shared" si="58"/>
        <v>1000.4506270399633</v>
      </c>
      <c r="H531" s="7">
        <f t="shared" si="59"/>
        <v>6.3543623058281826E-13</v>
      </c>
      <c r="I531" s="8">
        <f t="shared" si="60"/>
        <v>6.3543623058281826E-13</v>
      </c>
    </row>
    <row r="532" spans="1:9" x14ac:dyDescent="0.2">
      <c r="A532" s="5">
        <v>540</v>
      </c>
      <c r="B532" s="6">
        <v>2.3064209999999998</v>
      </c>
      <c r="C532" s="6">
        <f t="shared" si="56"/>
        <v>2.272421</v>
      </c>
      <c r="D532" s="6">
        <f t="shared" si="57"/>
        <v>1227.10734</v>
      </c>
      <c r="E532" s="6">
        <f t="shared" si="61"/>
        <v>-805.8572250000002</v>
      </c>
      <c r="F532" s="6">
        <f t="shared" si="62"/>
        <v>-2.7454999999999563E-3</v>
      </c>
      <c r="G532" s="6">
        <f t="shared" si="58"/>
        <v>1000.9198187454923</v>
      </c>
      <c r="H532" s="7">
        <f t="shared" si="59"/>
        <v>6.6624160824138877E-13</v>
      </c>
      <c r="I532" s="8">
        <f t="shared" si="60"/>
        <v>6.6624160824138877E-13</v>
      </c>
    </row>
    <row r="533" spans="1:9" x14ac:dyDescent="0.2">
      <c r="A533" s="5">
        <v>538</v>
      </c>
      <c r="B533" s="6">
        <v>2.3119999999999998</v>
      </c>
      <c r="C533" s="6">
        <f t="shared" si="56"/>
        <v>2.278</v>
      </c>
      <c r="D533" s="6">
        <f t="shared" si="57"/>
        <v>1225.5640000000001</v>
      </c>
      <c r="E533" s="6">
        <f t="shared" si="61"/>
        <v>-810.40764600000023</v>
      </c>
      <c r="F533" s="6">
        <f t="shared" si="62"/>
        <v>-2.894750000000057E-3</v>
      </c>
      <c r="G533" s="6">
        <f t="shared" si="58"/>
        <v>1001.3931361341923</v>
      </c>
      <c r="H533" s="7">
        <f t="shared" si="59"/>
        <v>6.3218976285851011E-13</v>
      </c>
      <c r="I533" s="8">
        <f t="shared" si="60"/>
        <v>6.3218976285851011E-13</v>
      </c>
    </row>
    <row r="534" spans="1:9" x14ac:dyDescent="0.2">
      <c r="A534" s="5">
        <v>536</v>
      </c>
      <c r="B534" s="6">
        <v>2.3180000000000001</v>
      </c>
      <c r="C534" s="6">
        <f t="shared" si="56"/>
        <v>2.2840000000000003</v>
      </c>
      <c r="D534" s="6">
        <f t="shared" si="57"/>
        <v>1224.2240000000002</v>
      </c>
      <c r="E534" s="6">
        <f t="shared" si="61"/>
        <v>-814.96964600000024</v>
      </c>
      <c r="F534" s="6">
        <f t="shared" si="62"/>
        <v>-2.802750000000076E-3</v>
      </c>
      <c r="G534" s="6">
        <f t="shared" si="58"/>
        <v>1001.8901707877503</v>
      </c>
      <c r="H534" s="7">
        <f t="shared" si="59"/>
        <v>6.5326541418158859E-13</v>
      </c>
      <c r="I534" s="8">
        <f t="shared" si="60"/>
        <v>6.5326541418158859E-13</v>
      </c>
    </row>
    <row r="535" spans="1:9" x14ac:dyDescent="0.2">
      <c r="A535" s="5">
        <v>534</v>
      </c>
      <c r="B535" s="6">
        <v>2.3232110000000001</v>
      </c>
      <c r="C535" s="6">
        <f t="shared" si="56"/>
        <v>2.2892110000000003</v>
      </c>
      <c r="D535" s="6">
        <f t="shared" si="57"/>
        <v>1222.4386740000002</v>
      </c>
      <c r="E535" s="6">
        <f t="shared" si="61"/>
        <v>-819.54285700000025</v>
      </c>
      <c r="F535" s="6">
        <f t="shared" si="62"/>
        <v>-2.3640000000000327E-3</v>
      </c>
      <c r="G535" s="6">
        <f t="shared" si="58"/>
        <v>1002.3114233843655</v>
      </c>
      <c r="H535" s="7">
        <f t="shared" si="59"/>
        <v>7.7483480226697206E-13</v>
      </c>
      <c r="I535" s="8">
        <f t="shared" si="60"/>
        <v>7.7483480226697206E-13</v>
      </c>
    </row>
    <row r="536" spans="1:9" x14ac:dyDescent="0.2">
      <c r="A536" s="5">
        <v>532</v>
      </c>
      <c r="B536" s="6">
        <v>2.3274560000000002</v>
      </c>
      <c r="C536" s="6">
        <f t="shared" si="56"/>
        <v>2.2934560000000004</v>
      </c>
      <c r="D536" s="6">
        <f t="shared" si="57"/>
        <v>1220.1185920000003</v>
      </c>
      <c r="E536" s="6">
        <f t="shared" si="61"/>
        <v>-824.12552400000027</v>
      </c>
      <c r="F536" s="6">
        <f t="shared" si="62"/>
        <v>-1.9559999999999578E-3</v>
      </c>
      <c r="G536" s="6">
        <f t="shared" si="58"/>
        <v>1002.6460954017579</v>
      </c>
      <c r="H536" s="7">
        <f t="shared" si="59"/>
        <v>9.3676946870046322E-13</v>
      </c>
      <c r="I536" s="8">
        <f t="shared" si="60"/>
        <v>9.3676946870046322E-13</v>
      </c>
    </row>
    <row r="537" spans="1:9" x14ac:dyDescent="0.2">
      <c r="A537" s="5">
        <v>530</v>
      </c>
      <c r="B537" s="6">
        <v>2.331035</v>
      </c>
      <c r="C537" s="6">
        <f t="shared" si="56"/>
        <v>2.2970350000000002</v>
      </c>
      <c r="D537" s="6">
        <f t="shared" si="57"/>
        <v>1217.4285500000001</v>
      </c>
      <c r="E537" s="6">
        <f t="shared" si="61"/>
        <v>-828.71601500000031</v>
      </c>
      <c r="F537" s="6">
        <f t="shared" si="62"/>
        <v>-2.2237499999999688E-3</v>
      </c>
      <c r="G537" s="6">
        <f t="shared" si="58"/>
        <v>1002.9211025726053</v>
      </c>
      <c r="H537" s="7">
        <f t="shared" si="59"/>
        <v>8.242040033107332E-13</v>
      </c>
      <c r="I537" s="8">
        <f t="shared" si="60"/>
        <v>8.242040033107332E-13</v>
      </c>
    </row>
    <row r="538" spans="1:9" x14ac:dyDescent="0.2">
      <c r="A538" s="5">
        <v>528</v>
      </c>
      <c r="B538" s="6">
        <v>2.3363510000000001</v>
      </c>
      <c r="C538" s="6">
        <f t="shared" si="56"/>
        <v>2.3023510000000003</v>
      </c>
      <c r="D538" s="6">
        <f t="shared" si="57"/>
        <v>1215.6413280000002</v>
      </c>
      <c r="E538" s="6">
        <f t="shared" si="61"/>
        <v>-833.31540100000029</v>
      </c>
      <c r="F538" s="6">
        <f t="shared" si="62"/>
        <v>-2.2545000000000481E-3</v>
      </c>
      <c r="G538" s="6">
        <f t="shared" si="58"/>
        <v>1003.3189472756576</v>
      </c>
      <c r="H538" s="7">
        <f t="shared" si="59"/>
        <v>8.1328485595057144E-13</v>
      </c>
      <c r="I538" s="8">
        <f t="shared" si="60"/>
        <v>8.1328485595057144E-13</v>
      </c>
    </row>
    <row r="539" spans="1:9" x14ac:dyDescent="0.2">
      <c r="A539" s="5">
        <v>526</v>
      </c>
      <c r="B539" s="6">
        <v>2.3400530000000002</v>
      </c>
      <c r="C539" s="6">
        <f t="shared" si="56"/>
        <v>2.3060530000000004</v>
      </c>
      <c r="D539" s="6">
        <f t="shared" si="57"/>
        <v>1212.9838780000002</v>
      </c>
      <c r="E539" s="6">
        <f t="shared" si="61"/>
        <v>-837.92380500000024</v>
      </c>
      <c r="F539" s="6">
        <f t="shared" si="62"/>
        <v>-2.1972499999999284E-3</v>
      </c>
      <c r="G539" s="6">
        <f t="shared" si="58"/>
        <v>1003.5885976569028</v>
      </c>
      <c r="H539" s="7">
        <f t="shared" si="59"/>
        <v>8.3469950614182754E-13</v>
      </c>
      <c r="I539" s="8">
        <f t="shared" si="60"/>
        <v>8.3469950614182754E-13</v>
      </c>
    </row>
    <row r="540" spans="1:9" x14ac:dyDescent="0.2">
      <c r="A540" s="5">
        <v>524</v>
      </c>
      <c r="B540" s="6">
        <v>2.3451399999999998</v>
      </c>
      <c r="C540" s="6">
        <f t="shared" si="56"/>
        <v>2.31114</v>
      </c>
      <c r="D540" s="6">
        <f t="shared" si="57"/>
        <v>1211.03736</v>
      </c>
      <c r="E540" s="6">
        <f t="shared" si="61"/>
        <v>-842.54099800000029</v>
      </c>
      <c r="F540" s="6">
        <f t="shared" si="62"/>
        <v>-2.2717499999999058E-3</v>
      </c>
      <c r="G540" s="6">
        <f t="shared" si="58"/>
        <v>1003.9489562040112</v>
      </c>
      <c r="H540" s="7">
        <f t="shared" si="59"/>
        <v>8.0761617248666791E-13</v>
      </c>
      <c r="I540" s="8">
        <f t="shared" si="60"/>
        <v>8.0761617248666791E-13</v>
      </c>
    </row>
    <row r="541" spans="1:9" x14ac:dyDescent="0.2">
      <c r="A541" s="5">
        <v>522</v>
      </c>
      <c r="B541" s="6">
        <v>2.3491399999999998</v>
      </c>
      <c r="C541" s="6">
        <f t="shared" si="56"/>
        <v>2.31514</v>
      </c>
      <c r="D541" s="6">
        <f t="shared" si="57"/>
        <v>1208.50308</v>
      </c>
      <c r="E541" s="6">
        <f t="shared" si="61"/>
        <v>-847.16727800000024</v>
      </c>
      <c r="F541" s="6">
        <f t="shared" si="62"/>
        <v>-2.2545000000000481E-3</v>
      </c>
      <c r="G541" s="6">
        <f t="shared" si="58"/>
        <v>1004.2243126397165</v>
      </c>
      <c r="H541" s="7">
        <f t="shared" si="59"/>
        <v>8.1401874016724103E-13</v>
      </c>
      <c r="I541" s="8">
        <f t="shared" si="60"/>
        <v>8.1401874016724103E-13</v>
      </c>
    </row>
    <row r="542" spans="1:9" x14ac:dyDescent="0.2">
      <c r="A542" s="5">
        <v>520</v>
      </c>
      <c r="B542" s="6">
        <v>2.354158</v>
      </c>
      <c r="C542" s="6">
        <f t="shared" si="56"/>
        <v>2.3201580000000002</v>
      </c>
      <c r="D542" s="6">
        <f t="shared" si="57"/>
        <v>1206.48216</v>
      </c>
      <c r="E542" s="6">
        <f t="shared" si="61"/>
        <v>-851.80257600000027</v>
      </c>
      <c r="F542" s="6">
        <f t="shared" si="62"/>
        <v>-2.5660000000000682E-3</v>
      </c>
      <c r="G542" s="6">
        <f t="shared" si="58"/>
        <v>1004.5597112883088</v>
      </c>
      <c r="H542" s="7">
        <f t="shared" si="59"/>
        <v>7.1543966712153112E-13</v>
      </c>
      <c r="I542" s="8">
        <f t="shared" si="60"/>
        <v>7.1543966712153112E-13</v>
      </c>
    </row>
    <row r="543" spans="1:9" x14ac:dyDescent="0.2">
      <c r="A543" s="5">
        <v>518</v>
      </c>
      <c r="B543" s="6">
        <v>2.3594040000000001</v>
      </c>
      <c r="C543" s="6">
        <f t="shared" si="56"/>
        <v>2.3254040000000002</v>
      </c>
      <c r="D543" s="6">
        <f t="shared" si="57"/>
        <v>1204.5592720000002</v>
      </c>
      <c r="E543" s="6">
        <f t="shared" si="61"/>
        <v>-856.44813800000031</v>
      </c>
      <c r="F543" s="6">
        <f t="shared" si="62"/>
        <v>-2.1052500000000585E-3</v>
      </c>
      <c r="G543" s="6">
        <f t="shared" si="58"/>
        <v>1004.8998572537364</v>
      </c>
      <c r="H543" s="7">
        <f t="shared" si="59"/>
        <v>8.7231435583079031E-13</v>
      </c>
      <c r="I543" s="8">
        <f t="shared" si="60"/>
        <v>8.7231435583079031E-13</v>
      </c>
    </row>
    <row r="544" spans="1:9" x14ac:dyDescent="0.2">
      <c r="A544" s="5">
        <v>516</v>
      </c>
      <c r="B544" s="6">
        <v>2.3625790000000002</v>
      </c>
      <c r="C544" s="6">
        <f t="shared" si="56"/>
        <v>2.3285790000000004</v>
      </c>
      <c r="D544" s="6">
        <f t="shared" si="57"/>
        <v>1201.5467640000002</v>
      </c>
      <c r="E544" s="6">
        <f t="shared" si="61"/>
        <v>-861.10212100000035</v>
      </c>
      <c r="F544" s="6">
        <f t="shared" si="62"/>
        <v>-1.6622499999999762E-3</v>
      </c>
      <c r="G544" s="6">
        <f t="shared" si="58"/>
        <v>1005.0993714245776</v>
      </c>
      <c r="H544" s="7">
        <f t="shared" si="59"/>
        <v>1.1050109230520002E-12</v>
      </c>
      <c r="I544" s="8">
        <f t="shared" si="60"/>
        <v>1.1050109230520002E-12</v>
      </c>
    </row>
    <row r="545" spans="1:9" x14ac:dyDescent="0.2">
      <c r="A545" s="5">
        <v>514</v>
      </c>
      <c r="B545" s="6">
        <v>2.366053</v>
      </c>
      <c r="C545" s="6">
        <f t="shared" si="56"/>
        <v>2.3320530000000002</v>
      </c>
      <c r="D545" s="6">
        <f t="shared" si="57"/>
        <v>1198.675242</v>
      </c>
      <c r="E545" s="6">
        <f t="shared" si="61"/>
        <v>-865.76275300000032</v>
      </c>
      <c r="F545" s="6">
        <f t="shared" si="62"/>
        <v>-1.9779999999999243E-3</v>
      </c>
      <c r="G545" s="6">
        <f t="shared" si="58"/>
        <v>1005.3107264889876</v>
      </c>
      <c r="H545" s="7">
        <f t="shared" si="59"/>
        <v>9.2881226245371792E-13</v>
      </c>
      <c r="I545" s="8">
        <f t="shared" si="60"/>
        <v>9.2881226245371792E-13</v>
      </c>
    </row>
    <row r="546" spans="1:9" x14ac:dyDescent="0.2">
      <c r="A546" s="5">
        <v>512</v>
      </c>
      <c r="B546" s="6">
        <v>2.3704909999999999</v>
      </c>
      <c r="C546" s="6">
        <f t="shared" si="56"/>
        <v>2.3364910000000001</v>
      </c>
      <c r="D546" s="6">
        <f t="shared" si="57"/>
        <v>1196.283392</v>
      </c>
      <c r="E546" s="6">
        <f t="shared" si="61"/>
        <v>-870.43129700000031</v>
      </c>
      <c r="F546" s="6">
        <f t="shared" si="62"/>
        <v>-2.0394999999999719E-3</v>
      </c>
      <c r="G546" s="6">
        <f t="shared" si="58"/>
        <v>1005.5718544544027</v>
      </c>
      <c r="H546" s="7">
        <f t="shared" si="59"/>
        <v>9.0103842249205428E-13</v>
      </c>
      <c r="I546" s="8">
        <f t="shared" si="60"/>
        <v>9.0103842249205428E-13</v>
      </c>
    </row>
    <row r="547" spans="1:9" x14ac:dyDescent="0.2">
      <c r="A547" s="5">
        <v>510</v>
      </c>
      <c r="B547" s="6">
        <v>2.3742109999999998</v>
      </c>
      <c r="C547" s="6">
        <f t="shared" si="56"/>
        <v>2.340211</v>
      </c>
      <c r="D547" s="6">
        <f t="shared" si="57"/>
        <v>1193.5076100000001</v>
      </c>
      <c r="E547" s="6">
        <f t="shared" si="61"/>
        <v>-875.10799900000029</v>
      </c>
      <c r="F547" s="6">
        <f t="shared" si="62"/>
        <v>-1.763249999999994E-3</v>
      </c>
      <c r="G547" s="6">
        <f t="shared" si="58"/>
        <v>1005.7832959396087</v>
      </c>
      <c r="H547" s="7">
        <f t="shared" si="59"/>
        <v>1.0424240855780461E-12</v>
      </c>
      <c r="I547" s="8">
        <f t="shared" si="60"/>
        <v>1.0424240855780461E-12</v>
      </c>
    </row>
    <row r="548" spans="1:9" x14ac:dyDescent="0.2">
      <c r="A548" s="5">
        <v>508</v>
      </c>
      <c r="B548" s="6">
        <v>2.3775439999999999</v>
      </c>
      <c r="C548" s="6">
        <f t="shared" si="56"/>
        <v>2.3435440000000001</v>
      </c>
      <c r="D548" s="6">
        <f t="shared" si="57"/>
        <v>1190.520352</v>
      </c>
      <c r="E548" s="6">
        <f t="shared" si="61"/>
        <v>-879.79175400000031</v>
      </c>
      <c r="F548" s="6">
        <f t="shared" si="62"/>
        <v>-1.9035000000000579E-3</v>
      </c>
      <c r="G548" s="6">
        <f t="shared" si="58"/>
        <v>1005.9660746896601</v>
      </c>
      <c r="H548" s="7">
        <f t="shared" si="59"/>
        <v>9.657936928757252E-13</v>
      </c>
      <c r="I548" s="8">
        <f t="shared" si="60"/>
        <v>9.657936928757252E-13</v>
      </c>
    </row>
    <row r="549" spans="1:9" x14ac:dyDescent="0.2">
      <c r="A549" s="5">
        <v>506</v>
      </c>
      <c r="B549" s="6">
        <v>2.3818250000000001</v>
      </c>
      <c r="C549" s="6">
        <f t="shared" si="56"/>
        <v>2.3478250000000003</v>
      </c>
      <c r="D549" s="6">
        <f t="shared" si="57"/>
        <v>1187.9994500000003</v>
      </c>
      <c r="E549" s="6">
        <f t="shared" si="61"/>
        <v>-884.48312300000032</v>
      </c>
      <c r="F549" s="6">
        <f t="shared" si="62"/>
        <v>-2.2060000000000413E-3</v>
      </c>
      <c r="G549" s="6">
        <f t="shared" si="58"/>
        <v>1006.1922789149738</v>
      </c>
      <c r="H549" s="7">
        <f t="shared" si="59"/>
        <v>8.3354563885024747E-13</v>
      </c>
      <c r="I549" s="8">
        <f t="shared" si="60"/>
        <v>8.3354563885024747E-13</v>
      </c>
    </row>
    <row r="550" spans="1:9" x14ac:dyDescent="0.2">
      <c r="A550" s="5">
        <v>504</v>
      </c>
      <c r="B550" s="6">
        <v>2.386368</v>
      </c>
      <c r="C550" s="6">
        <f t="shared" si="56"/>
        <v>2.3523680000000002</v>
      </c>
      <c r="D550" s="6">
        <f t="shared" si="57"/>
        <v>1185.593472</v>
      </c>
      <c r="E550" s="6">
        <f t="shared" si="61"/>
        <v>-889.18331600000033</v>
      </c>
      <c r="F550" s="6">
        <f t="shared" si="62"/>
        <v>-2.1447500000000286E-3</v>
      </c>
      <c r="G550" s="6">
        <f t="shared" si="58"/>
        <v>1006.4232409868262</v>
      </c>
      <c r="H550" s="7">
        <f t="shared" si="59"/>
        <v>8.5754692113921311E-13</v>
      </c>
      <c r="I550" s="8">
        <f t="shared" si="60"/>
        <v>8.5754692113921311E-13</v>
      </c>
    </row>
    <row r="551" spans="1:9" x14ac:dyDescent="0.2">
      <c r="A551" s="5">
        <v>502</v>
      </c>
      <c r="B551" s="6">
        <v>2.3904040000000002</v>
      </c>
      <c r="C551" s="6">
        <f t="shared" si="56"/>
        <v>2.3564040000000004</v>
      </c>
      <c r="D551" s="6">
        <f t="shared" si="57"/>
        <v>1182.9148080000002</v>
      </c>
      <c r="E551" s="6">
        <f t="shared" si="61"/>
        <v>-893.89208800000029</v>
      </c>
      <c r="F551" s="6">
        <f t="shared" si="62"/>
        <v>-1.6184999999999672E-3</v>
      </c>
      <c r="G551" s="6">
        <f t="shared" si="58"/>
        <v>1006.6203556304528</v>
      </c>
      <c r="H551" s="7">
        <f t="shared" si="59"/>
        <v>1.1365980742927548E-12</v>
      </c>
      <c r="I551" s="8">
        <f t="shared" si="60"/>
        <v>1.1365980742927548E-12</v>
      </c>
    </row>
    <row r="552" spans="1:9" x14ac:dyDescent="0.2">
      <c r="A552" s="5">
        <v>500</v>
      </c>
      <c r="B552" s="6">
        <v>2.3928419999999999</v>
      </c>
      <c r="C552" s="6">
        <f t="shared" si="56"/>
        <v>2.3588420000000001</v>
      </c>
      <c r="D552" s="6">
        <f t="shared" si="57"/>
        <v>1179.421</v>
      </c>
      <c r="E552" s="6">
        <f t="shared" si="61"/>
        <v>-898.60733400000026</v>
      </c>
      <c r="F552" s="6">
        <f t="shared" si="62"/>
        <v>-1.539249999999992E-3</v>
      </c>
      <c r="G552" s="6">
        <f t="shared" si="58"/>
        <v>1006.7345493780152</v>
      </c>
      <c r="H552" s="7">
        <f t="shared" si="59"/>
        <v>1.1952526689277032E-12</v>
      </c>
      <c r="I552" s="8">
        <f t="shared" si="60"/>
        <v>1.1952526689277032E-12</v>
      </c>
    </row>
    <row r="553" spans="1:9" x14ac:dyDescent="0.2">
      <c r="A553" s="5">
        <v>498</v>
      </c>
      <c r="B553" s="6">
        <v>2.3965610000000002</v>
      </c>
      <c r="C553" s="6">
        <f t="shared" si="56"/>
        <v>2.3625610000000004</v>
      </c>
      <c r="D553" s="6">
        <f t="shared" si="57"/>
        <v>1176.5553780000002</v>
      </c>
      <c r="E553" s="6">
        <f t="shared" si="61"/>
        <v>-903.32873700000027</v>
      </c>
      <c r="F553" s="6">
        <f t="shared" si="62"/>
        <v>-1.9167500000000226E-3</v>
      </c>
      <c r="G553" s="6">
        <f t="shared" si="58"/>
        <v>1006.9013060241123</v>
      </c>
      <c r="H553" s="7">
        <f t="shared" si="59"/>
        <v>9.6000908620306011E-13</v>
      </c>
      <c r="I553" s="8">
        <f t="shared" si="60"/>
        <v>9.6000908620306011E-13</v>
      </c>
    </row>
    <row r="554" spans="1:9" x14ac:dyDescent="0.2">
      <c r="A554" s="5">
        <v>496</v>
      </c>
      <c r="B554" s="6">
        <v>2.400509</v>
      </c>
      <c r="C554" s="6">
        <f t="shared" si="56"/>
        <v>2.3665090000000002</v>
      </c>
      <c r="D554" s="6">
        <f t="shared" si="57"/>
        <v>1173.7884640000002</v>
      </c>
      <c r="E554" s="6">
        <f t="shared" si="61"/>
        <v>-908.05780700000025</v>
      </c>
      <c r="F554" s="6">
        <f t="shared" si="62"/>
        <v>-1.8772499999999415E-3</v>
      </c>
      <c r="G554" s="6">
        <f t="shared" si="58"/>
        <v>1007.0704348261534</v>
      </c>
      <c r="H554" s="7">
        <f t="shared" si="59"/>
        <v>9.8037368298994887E-13</v>
      </c>
      <c r="I554" s="8">
        <f t="shared" si="60"/>
        <v>9.8037368298994887E-13</v>
      </c>
    </row>
    <row r="555" spans="1:9" x14ac:dyDescent="0.2">
      <c r="A555" s="5">
        <v>494</v>
      </c>
      <c r="B555" s="6">
        <v>2.4040699999999999</v>
      </c>
      <c r="C555" s="6">
        <f t="shared" si="56"/>
        <v>2.3700700000000001</v>
      </c>
      <c r="D555" s="6">
        <f t="shared" si="57"/>
        <v>1170.81458</v>
      </c>
      <c r="E555" s="6">
        <f t="shared" si="61"/>
        <v>-912.79438600000026</v>
      </c>
      <c r="F555" s="6">
        <f t="shared" si="62"/>
        <v>-2.1314999999999529E-3</v>
      </c>
      <c r="G555" s="6">
        <f t="shared" si="58"/>
        <v>1007.21586289304</v>
      </c>
      <c r="H555" s="7">
        <f t="shared" si="59"/>
        <v>8.6355724328358386E-13</v>
      </c>
      <c r="I555" s="8">
        <f t="shared" si="60"/>
        <v>8.6355724328358386E-13</v>
      </c>
    </row>
    <row r="556" spans="1:9" x14ac:dyDescent="0.2">
      <c r="A556" s="5">
        <v>492</v>
      </c>
      <c r="B556" s="6">
        <v>2.4090349999999998</v>
      </c>
      <c r="C556" s="6">
        <f t="shared" si="56"/>
        <v>2.375035</v>
      </c>
      <c r="D556" s="6">
        <f t="shared" si="57"/>
        <v>1168.51722</v>
      </c>
      <c r="E556" s="6">
        <f t="shared" si="61"/>
        <v>-917.53949100000023</v>
      </c>
      <c r="F556" s="6">
        <f t="shared" si="62"/>
        <v>-2.666750000000051E-3</v>
      </c>
      <c r="G556" s="6">
        <f t="shared" si="58"/>
        <v>1007.4086990688593</v>
      </c>
      <c r="H556" s="7">
        <f t="shared" si="59"/>
        <v>6.9036267717294473E-13</v>
      </c>
      <c r="I556" s="8">
        <f t="shared" si="60"/>
        <v>6.9036267717294473E-13</v>
      </c>
    </row>
    <row r="557" spans="1:9" x14ac:dyDescent="0.2">
      <c r="A557" s="5">
        <v>490</v>
      </c>
      <c r="B557" s="6">
        <v>2.4147370000000001</v>
      </c>
      <c r="C557" s="6">
        <f t="shared" si="56"/>
        <v>2.3807370000000003</v>
      </c>
      <c r="D557" s="6">
        <f t="shared" si="57"/>
        <v>1166.56113</v>
      </c>
      <c r="E557" s="6">
        <f t="shared" si="61"/>
        <v>-922.2952630000002</v>
      </c>
      <c r="F557" s="6">
        <f t="shared" si="62"/>
        <v>-2.4475000000000469E-3</v>
      </c>
      <c r="G557" s="6">
        <f t="shared" si="58"/>
        <v>1007.6187556679572</v>
      </c>
      <c r="H557" s="7">
        <f t="shared" si="59"/>
        <v>7.523630417629413E-13</v>
      </c>
      <c r="I557" s="8">
        <f t="shared" si="60"/>
        <v>7.523630417629413E-13</v>
      </c>
    </row>
    <row r="558" spans="1:9" x14ac:dyDescent="0.2">
      <c r="A558" s="5">
        <v>488</v>
      </c>
      <c r="B558" s="6">
        <v>2.418825</v>
      </c>
      <c r="C558" s="6">
        <f t="shared" si="56"/>
        <v>2.3848250000000002</v>
      </c>
      <c r="D558" s="6">
        <f t="shared" si="57"/>
        <v>1163.7946000000002</v>
      </c>
      <c r="E558" s="6">
        <f t="shared" si="61"/>
        <v>-927.06082500000025</v>
      </c>
      <c r="F558" s="6">
        <f t="shared" si="62"/>
        <v>-2.2894999999999444E-3</v>
      </c>
      <c r="G558" s="6">
        <f t="shared" si="58"/>
        <v>1007.7611779452482</v>
      </c>
      <c r="H558" s="7">
        <f t="shared" si="59"/>
        <v>8.0439782456625074E-13</v>
      </c>
      <c r="I558" s="8">
        <f t="shared" si="60"/>
        <v>8.0439782456625074E-13</v>
      </c>
    </row>
    <row r="559" spans="1:9" x14ac:dyDescent="0.2">
      <c r="A559" s="5">
        <v>486</v>
      </c>
      <c r="B559" s="6">
        <v>2.4238949999999999</v>
      </c>
      <c r="C559" s="6">
        <f t="shared" si="56"/>
        <v>2.3898950000000001</v>
      </c>
      <c r="D559" s="6">
        <f t="shared" si="57"/>
        <v>1161.4889700000001</v>
      </c>
      <c r="E559" s="6">
        <f t="shared" si="61"/>
        <v>-931.83554500000025</v>
      </c>
      <c r="F559" s="6">
        <f t="shared" si="62"/>
        <v>-2.306999999999948E-3</v>
      </c>
      <c r="G559" s="6">
        <f t="shared" si="58"/>
        <v>1007.9276722275047</v>
      </c>
      <c r="H559" s="7">
        <f t="shared" si="59"/>
        <v>7.98427865284406E-13</v>
      </c>
      <c r="I559" s="8">
        <f t="shared" si="60"/>
        <v>7.98427865284406E-13</v>
      </c>
    </row>
    <row r="560" spans="1:9" x14ac:dyDescent="0.2">
      <c r="A560" s="5">
        <v>484</v>
      </c>
      <c r="B560" s="6">
        <v>2.4280529999999998</v>
      </c>
      <c r="C560" s="6">
        <f t="shared" si="56"/>
        <v>2.394053</v>
      </c>
      <c r="D560" s="6">
        <f t="shared" si="57"/>
        <v>1158.7216519999999</v>
      </c>
      <c r="E560" s="6">
        <f t="shared" si="61"/>
        <v>-936.61949300000026</v>
      </c>
      <c r="F560" s="6">
        <f t="shared" si="62"/>
        <v>-1.583250000000036E-3</v>
      </c>
      <c r="G560" s="6">
        <f t="shared" si="58"/>
        <v>1008.0559012424204</v>
      </c>
      <c r="H560" s="7">
        <f t="shared" si="59"/>
        <v>1.1635606643682972E-12</v>
      </c>
      <c r="I560" s="8">
        <f t="shared" si="60"/>
        <v>1.1635606643682972E-12</v>
      </c>
    </row>
    <row r="561" spans="1:9" x14ac:dyDescent="0.2">
      <c r="A561" s="5">
        <v>482</v>
      </c>
      <c r="B561" s="6">
        <v>2.4302280000000001</v>
      </c>
      <c r="C561" s="6">
        <f t="shared" si="56"/>
        <v>2.3962280000000002</v>
      </c>
      <c r="D561" s="6">
        <f t="shared" si="57"/>
        <v>1154.981896</v>
      </c>
      <c r="E561" s="6">
        <f t="shared" si="61"/>
        <v>-941.40977400000031</v>
      </c>
      <c r="F561" s="6">
        <f t="shared" si="62"/>
        <v>-1.491250000000055E-3</v>
      </c>
      <c r="G561" s="6">
        <f t="shared" si="58"/>
        <v>1008.1186263043352</v>
      </c>
      <c r="H561" s="7">
        <f t="shared" si="59"/>
        <v>1.2354213250593104E-12</v>
      </c>
      <c r="I561" s="8">
        <f t="shared" si="60"/>
        <v>1.2354213250593104E-12</v>
      </c>
    </row>
    <row r="562" spans="1:9" x14ac:dyDescent="0.2">
      <c r="A562" s="5">
        <v>480</v>
      </c>
      <c r="B562" s="6">
        <v>2.434018</v>
      </c>
      <c r="C562" s="6">
        <f t="shared" si="56"/>
        <v>2.4000180000000002</v>
      </c>
      <c r="D562" s="6">
        <f t="shared" si="57"/>
        <v>1152.00864</v>
      </c>
      <c r="E562" s="6">
        <f t="shared" si="61"/>
        <v>-946.20602000000031</v>
      </c>
      <c r="F562" s="6">
        <f t="shared" si="62"/>
        <v>-2.1139999999999493E-3</v>
      </c>
      <c r="G562" s="6">
        <f t="shared" si="58"/>
        <v>1008.220346527166</v>
      </c>
      <c r="H562" s="7">
        <f t="shared" si="59"/>
        <v>8.715742399313597E-13</v>
      </c>
      <c r="I562" s="8">
        <f t="shared" si="60"/>
        <v>8.715742399313597E-13</v>
      </c>
    </row>
    <row r="563" spans="1:9" x14ac:dyDescent="0.2">
      <c r="A563" s="5">
        <v>478</v>
      </c>
      <c r="B563" s="6">
        <v>2.4386839999999999</v>
      </c>
      <c r="C563" s="6">
        <f t="shared" si="56"/>
        <v>2.404684</v>
      </c>
      <c r="D563" s="6">
        <f t="shared" si="57"/>
        <v>1149.438952</v>
      </c>
      <c r="E563" s="6">
        <f t="shared" si="61"/>
        <v>-951.01072200000033</v>
      </c>
      <c r="F563" s="6">
        <f t="shared" si="62"/>
        <v>-1.9692500000000335E-3</v>
      </c>
      <c r="G563" s="6">
        <f t="shared" si="58"/>
        <v>1008.3362458094164</v>
      </c>
      <c r="H563" s="7">
        <f t="shared" si="59"/>
        <v>9.3574698360223287E-13</v>
      </c>
      <c r="I563" s="8">
        <f t="shared" si="60"/>
        <v>9.3574698360223287E-13</v>
      </c>
    </row>
    <row r="564" spans="1:9" x14ac:dyDescent="0.2">
      <c r="A564" s="5">
        <v>476</v>
      </c>
      <c r="B564" s="6">
        <v>2.4418950000000001</v>
      </c>
      <c r="C564" s="6">
        <f t="shared" si="56"/>
        <v>2.4078950000000003</v>
      </c>
      <c r="D564" s="6">
        <f t="shared" si="57"/>
        <v>1146.1580200000001</v>
      </c>
      <c r="E564" s="6">
        <f t="shared" si="61"/>
        <v>-955.82330100000036</v>
      </c>
      <c r="F564" s="6">
        <f t="shared" si="62"/>
        <v>-1.4562500000000478E-3</v>
      </c>
      <c r="G564" s="6">
        <f t="shared" si="58"/>
        <v>1008.4095821881788</v>
      </c>
      <c r="H564" s="7">
        <f t="shared" si="59"/>
        <v>1.2654789827424461E-12</v>
      </c>
      <c r="I564" s="8">
        <f t="shared" si="60"/>
        <v>1.2654789827424461E-12</v>
      </c>
    </row>
    <row r="565" spans="1:9" x14ac:dyDescent="0.2">
      <c r="A565" s="5">
        <v>474</v>
      </c>
      <c r="B565" s="6">
        <v>2.444509</v>
      </c>
      <c r="C565" s="6">
        <f t="shared" si="56"/>
        <v>2.4105090000000002</v>
      </c>
      <c r="D565" s="6">
        <f t="shared" si="57"/>
        <v>1142.5812660000001</v>
      </c>
      <c r="E565" s="6">
        <f t="shared" si="61"/>
        <v>-960.64170500000034</v>
      </c>
      <c r="F565" s="6">
        <f t="shared" si="62"/>
        <v>-1.9252499999999895E-3</v>
      </c>
      <c r="G565" s="6">
        <f t="shared" si="58"/>
        <v>1008.4640556189122</v>
      </c>
      <c r="H565" s="7">
        <f t="shared" si="59"/>
        <v>9.5725402831685661E-13</v>
      </c>
      <c r="I565" s="8">
        <f t="shared" si="60"/>
        <v>9.5725402831685661E-13</v>
      </c>
    </row>
    <row r="566" spans="1:9" x14ac:dyDescent="0.2">
      <c r="A566" s="5">
        <v>472</v>
      </c>
      <c r="B566" s="6">
        <v>2.4495960000000001</v>
      </c>
      <c r="C566" s="6">
        <f t="shared" si="56"/>
        <v>2.4155960000000003</v>
      </c>
      <c r="D566" s="6">
        <f t="shared" si="57"/>
        <v>1140.1613120000002</v>
      </c>
      <c r="E566" s="6">
        <f t="shared" si="61"/>
        <v>-965.46781000000033</v>
      </c>
      <c r="F566" s="6">
        <f t="shared" si="62"/>
        <v>-1.9647499999999596E-3</v>
      </c>
      <c r="G566" s="6">
        <f t="shared" si="58"/>
        <v>1008.5598901660205</v>
      </c>
      <c r="H566" s="7">
        <f t="shared" si="59"/>
        <v>9.3809820804214595E-13</v>
      </c>
      <c r="I566" s="8">
        <f t="shared" si="60"/>
        <v>9.3809820804214595E-13</v>
      </c>
    </row>
    <row r="567" spans="1:9" x14ac:dyDescent="0.2">
      <c r="A567" s="5">
        <v>470</v>
      </c>
      <c r="B567" s="6">
        <v>2.4523679999999999</v>
      </c>
      <c r="C567" s="6">
        <f t="shared" si="56"/>
        <v>2.4183680000000001</v>
      </c>
      <c r="D567" s="6">
        <f t="shared" si="57"/>
        <v>1136.6329600000001</v>
      </c>
      <c r="E567" s="6">
        <f t="shared" si="61"/>
        <v>-970.30177400000036</v>
      </c>
      <c r="F567" s="6">
        <f t="shared" si="62"/>
        <v>-1.3027500000000192E-3</v>
      </c>
      <c r="G567" s="6">
        <f t="shared" si="58"/>
        <v>1008.6065681759643</v>
      </c>
      <c r="H567" s="7">
        <f t="shared" si="59"/>
        <v>1.4148637556181051E-12</v>
      </c>
      <c r="I567" s="8">
        <f t="shared" si="60"/>
        <v>1.4148637556181051E-12</v>
      </c>
    </row>
    <row r="568" spans="1:9" x14ac:dyDescent="0.2">
      <c r="A568" s="5">
        <v>468</v>
      </c>
      <c r="B568" s="6">
        <v>2.4548070000000002</v>
      </c>
      <c r="C568" s="6">
        <f t="shared" si="56"/>
        <v>2.4208070000000004</v>
      </c>
      <c r="D568" s="6">
        <f t="shared" si="57"/>
        <v>1132.9376760000002</v>
      </c>
      <c r="E568" s="6">
        <f t="shared" si="61"/>
        <v>-975.14094900000032</v>
      </c>
      <c r="F568" s="6">
        <f t="shared" si="62"/>
        <v>-1.4870000000000161E-3</v>
      </c>
      <c r="G568" s="6">
        <f t="shared" si="58"/>
        <v>1008.6427607626356</v>
      </c>
      <c r="H568" s="7">
        <f t="shared" si="59"/>
        <v>1.2395964351408906E-12</v>
      </c>
      <c r="I568" s="8">
        <f t="shared" si="60"/>
        <v>1.2395964351408906E-12</v>
      </c>
    </row>
    <row r="569" spans="1:9" x14ac:dyDescent="0.2">
      <c r="A569" s="5">
        <v>466</v>
      </c>
      <c r="B569" s="6">
        <v>2.4583159999999999</v>
      </c>
      <c r="C569" s="6">
        <f t="shared" si="56"/>
        <v>2.4243160000000001</v>
      </c>
      <c r="D569" s="6">
        <f t="shared" si="57"/>
        <v>1129.731256</v>
      </c>
      <c r="E569" s="6">
        <f t="shared" si="61"/>
        <v>-979.98607200000038</v>
      </c>
      <c r="F569" s="6">
        <f t="shared" si="62"/>
        <v>-1.3509999999999911E-3</v>
      </c>
      <c r="G569" s="6">
        <f t="shared" si="58"/>
        <v>1008.6878131958582</v>
      </c>
      <c r="H569" s="7">
        <f t="shared" si="59"/>
        <v>1.3644428066007322E-12</v>
      </c>
      <c r="I569" s="8">
        <f t="shared" si="60"/>
        <v>1.3644428066007322E-12</v>
      </c>
    </row>
    <row r="570" spans="1:9" x14ac:dyDescent="0.2">
      <c r="A570" s="5">
        <v>464</v>
      </c>
      <c r="B570" s="6">
        <v>2.4602110000000001</v>
      </c>
      <c r="C570" s="6">
        <f t="shared" si="56"/>
        <v>2.4262110000000003</v>
      </c>
      <c r="D570" s="6">
        <f t="shared" si="57"/>
        <v>1125.7619040000002</v>
      </c>
      <c r="E570" s="6">
        <f t="shared" si="61"/>
        <v>-984.83659900000043</v>
      </c>
      <c r="F570" s="6">
        <f t="shared" si="62"/>
        <v>-1.4385000000000092E-3</v>
      </c>
      <c r="G570" s="6">
        <f t="shared" si="58"/>
        <v>1008.7083533072737</v>
      </c>
      <c r="H570" s="7">
        <f t="shared" si="59"/>
        <v>1.281473596434399E-12</v>
      </c>
      <c r="I570" s="8">
        <f t="shared" si="60"/>
        <v>1.281473596434399E-12</v>
      </c>
    </row>
    <row r="571" spans="1:9" x14ac:dyDescent="0.2">
      <c r="A571" s="5">
        <v>462</v>
      </c>
      <c r="B571" s="6">
        <v>2.46407</v>
      </c>
      <c r="C571" s="6">
        <f t="shared" si="56"/>
        <v>2.4300700000000002</v>
      </c>
      <c r="D571" s="6">
        <f t="shared" si="57"/>
        <v>1122.6923400000001</v>
      </c>
      <c r="E571" s="6">
        <f t="shared" si="61"/>
        <v>-989.6928800000004</v>
      </c>
      <c r="F571" s="6">
        <f t="shared" si="62"/>
        <v>-1.675250000000017E-3</v>
      </c>
      <c r="G571" s="6">
        <f t="shared" si="58"/>
        <v>1008.7424634286203</v>
      </c>
      <c r="H571" s="7">
        <f t="shared" si="59"/>
        <v>1.1004101502575444E-12</v>
      </c>
      <c r="I571" s="8">
        <f t="shared" si="60"/>
        <v>1.1004101502575444E-12</v>
      </c>
    </row>
    <row r="572" spans="1:9" x14ac:dyDescent="0.2">
      <c r="A572" s="5">
        <v>460</v>
      </c>
      <c r="B572" s="6">
        <v>2.4669120000000002</v>
      </c>
      <c r="C572" s="6">
        <f t="shared" si="56"/>
        <v>2.4329120000000004</v>
      </c>
      <c r="D572" s="6">
        <f t="shared" si="57"/>
        <v>1119.1395200000002</v>
      </c>
      <c r="E572" s="6">
        <f t="shared" si="61"/>
        <v>-994.55586200000039</v>
      </c>
      <c r="F572" s="6">
        <f t="shared" si="62"/>
        <v>-1.6842500000000538E-3</v>
      </c>
      <c r="G572" s="6">
        <f t="shared" si="58"/>
        <v>1008.761900176189</v>
      </c>
      <c r="H572" s="7">
        <f t="shared" si="59"/>
        <v>1.0945510610603709E-12</v>
      </c>
      <c r="I572" s="8">
        <f t="shared" si="60"/>
        <v>1.0945510610603709E-12</v>
      </c>
    </row>
    <row r="573" spans="1:9" x14ac:dyDescent="0.2">
      <c r="A573" s="5">
        <v>458</v>
      </c>
      <c r="B573" s="6">
        <v>2.4708070000000002</v>
      </c>
      <c r="C573" s="6">
        <f t="shared" si="56"/>
        <v>2.4368070000000004</v>
      </c>
      <c r="D573" s="6">
        <f t="shared" si="57"/>
        <v>1116.0576060000001</v>
      </c>
      <c r="E573" s="6">
        <f t="shared" si="61"/>
        <v>-999.42558100000042</v>
      </c>
      <c r="F573" s="6">
        <f t="shared" si="62"/>
        <v>-2.1139999999999493E-3</v>
      </c>
      <c r="G573" s="6">
        <f t="shared" si="58"/>
        <v>1008.780748505457</v>
      </c>
      <c r="H573" s="7">
        <f t="shared" si="59"/>
        <v>8.7205868951618244E-13</v>
      </c>
      <c r="I573" s="8">
        <f t="shared" si="60"/>
        <v>8.7205868951618244E-13</v>
      </c>
    </row>
    <row r="574" spans="1:9" x14ac:dyDescent="0.2">
      <c r="A574" s="5">
        <v>456</v>
      </c>
      <c r="B574" s="6">
        <v>2.475368</v>
      </c>
      <c r="C574" s="6">
        <f t="shared" si="56"/>
        <v>2.4413680000000002</v>
      </c>
      <c r="D574" s="6">
        <f t="shared" si="57"/>
        <v>1113.2638080000002</v>
      </c>
      <c r="E574" s="6">
        <f t="shared" si="61"/>
        <v>-1004.3037560000005</v>
      </c>
      <c r="F574" s="6">
        <f t="shared" si="62"/>
        <v>-2.5262499999999521E-3</v>
      </c>
      <c r="G574" s="6">
        <f t="shared" si="58"/>
        <v>1008.7936976812701</v>
      </c>
      <c r="H574" s="7">
        <f t="shared" si="59"/>
        <v>7.2975981556325913E-13</v>
      </c>
      <c r="I574" s="8">
        <f t="shared" si="60"/>
        <v>7.2975981556325913E-13</v>
      </c>
    </row>
    <row r="575" spans="1:9" x14ac:dyDescent="0.2">
      <c r="A575" s="5">
        <v>454</v>
      </c>
      <c r="B575" s="6">
        <v>2.480912</v>
      </c>
      <c r="C575" s="6">
        <f t="shared" si="56"/>
        <v>2.4469120000000002</v>
      </c>
      <c r="D575" s="6">
        <f t="shared" si="57"/>
        <v>1110.898048</v>
      </c>
      <c r="E575" s="6">
        <f t="shared" si="61"/>
        <v>-1009.1920360000005</v>
      </c>
      <c r="F575" s="6">
        <f t="shared" si="62"/>
        <v>-2.0964999999999456E-3</v>
      </c>
      <c r="G575" s="6">
        <f t="shared" si="58"/>
        <v>1008.7983497011578</v>
      </c>
      <c r="H575" s="7">
        <f t="shared" si="59"/>
        <v>8.7935332008825624E-13</v>
      </c>
      <c r="I575" s="8">
        <f t="shared" si="60"/>
        <v>8.7935332008825624E-13</v>
      </c>
    </row>
    <row r="576" spans="1:9" x14ac:dyDescent="0.2">
      <c r="A576" s="5">
        <v>452</v>
      </c>
      <c r="B576" s="6">
        <v>2.4837539999999998</v>
      </c>
      <c r="C576" s="6">
        <f t="shared" si="56"/>
        <v>2.449754</v>
      </c>
      <c r="D576" s="6">
        <f t="shared" si="57"/>
        <v>1107.288808</v>
      </c>
      <c r="E576" s="6">
        <f t="shared" si="61"/>
        <v>-1014.0887020000005</v>
      </c>
      <c r="F576" s="6">
        <f t="shared" si="62"/>
        <v>-2.127250000000025E-3</v>
      </c>
      <c r="G576" s="6">
        <f t="shared" si="58"/>
        <v>1008.7950504487264</v>
      </c>
      <c r="H576" s="7">
        <f t="shared" si="59"/>
        <v>8.6663918497091372E-13</v>
      </c>
      <c r="I576" s="8">
        <f t="shared" si="60"/>
        <v>8.6663918497091372E-13</v>
      </c>
    </row>
    <row r="577" spans="1:9" x14ac:dyDescent="0.2">
      <c r="A577" s="5">
        <v>450</v>
      </c>
      <c r="B577" s="6">
        <v>2.4894210000000001</v>
      </c>
      <c r="C577" s="6">
        <f t="shared" si="56"/>
        <v>2.4554210000000003</v>
      </c>
      <c r="D577" s="6">
        <f t="shared" si="57"/>
        <v>1104.9394500000001</v>
      </c>
      <c r="E577" s="6">
        <f t="shared" si="61"/>
        <v>-1018.9938770000005</v>
      </c>
      <c r="F577" s="6">
        <f t="shared" si="62"/>
        <v>-1.6667500000000501E-3</v>
      </c>
      <c r="G577" s="6">
        <f t="shared" si="58"/>
        <v>1008.777137679012</v>
      </c>
      <c r="H577" s="7">
        <f t="shared" si="59"/>
        <v>1.1060599795437657E-12</v>
      </c>
      <c r="I577" s="8">
        <f t="shared" si="60"/>
        <v>1.1060599795437657E-12</v>
      </c>
    </row>
    <row r="578" spans="1:9" x14ac:dyDescent="0.2">
      <c r="A578" s="5">
        <v>448</v>
      </c>
      <c r="B578" s="6">
        <v>2.490421</v>
      </c>
      <c r="C578" s="6">
        <f t="shared" ref="C578:C641" si="63">B578-$B$2</f>
        <v>2.4564210000000002</v>
      </c>
      <c r="D578" s="6">
        <f t="shared" ref="D578:D641" si="64">A578*C578</f>
        <v>1100.4766080000002</v>
      </c>
      <c r="E578" s="6">
        <f t="shared" si="61"/>
        <v>-1023.9057190000004</v>
      </c>
      <c r="F578" s="6">
        <f t="shared" si="62"/>
        <v>-9.1224999999994782E-4</v>
      </c>
      <c r="G578" s="6">
        <f t="shared" ref="G578:G641" si="65">(A578-$L$5)*C578-E578</f>
        <v>1008.7719767879382</v>
      </c>
      <c r="H578" s="7">
        <f t="shared" ref="H578:H641" si="66">IF(ABS(F578)&lt;0.000000001,"",-(G578)/(2*$L$4*F578)*0.000000000001)</f>
        <v>2.0208452063050116E-12</v>
      </c>
      <c r="I578" s="8">
        <f t="shared" ref="I578:I641" si="67">IF(AND(B578&gt;=0.5,B578&lt;=2.5,ISNUMBER(H578),H578&gt;0),H578,"")</f>
        <v>2.0208452063050116E-12</v>
      </c>
    </row>
    <row r="579" spans="1:9" x14ac:dyDescent="0.2">
      <c r="A579" s="5">
        <v>446</v>
      </c>
      <c r="B579" s="6">
        <v>2.4930699999999999</v>
      </c>
      <c r="C579" s="6">
        <f t="shared" si="63"/>
        <v>2.4590700000000001</v>
      </c>
      <c r="D579" s="6">
        <f t="shared" si="64"/>
        <v>1096.74522</v>
      </c>
      <c r="E579" s="6">
        <f t="shared" ref="E579:E642" si="68">E578+(C578+C579)/2*(A579-A578)</f>
        <v>-1028.8212100000005</v>
      </c>
      <c r="F579" s="6">
        <f t="shared" ref="F579:F642" si="69">(B580-B578)/(A580-A578)</f>
        <v>-1.4210000000000056E-3</v>
      </c>
      <c r="G579" s="6">
        <f t="shared" si="65"/>
        <v>1008.7530075874841</v>
      </c>
      <c r="H579" s="7">
        <f t="shared" si="66"/>
        <v>1.2973127188706066E-12</v>
      </c>
      <c r="I579" s="8">
        <f t="shared" si="67"/>
        <v>1.2973127188706066E-12</v>
      </c>
    </row>
    <row r="580" spans="1:9" x14ac:dyDescent="0.2">
      <c r="A580" s="5">
        <v>444</v>
      </c>
      <c r="B580" s="6">
        <v>2.496105</v>
      </c>
      <c r="C580" s="6">
        <f t="shared" si="63"/>
        <v>2.4621050000000002</v>
      </c>
      <c r="D580" s="6">
        <f t="shared" si="64"/>
        <v>1093.17462</v>
      </c>
      <c r="E580" s="6">
        <f t="shared" si="68"/>
        <v>-1033.7423850000005</v>
      </c>
      <c r="F580" s="6">
        <f t="shared" si="69"/>
        <v>-1.6975000000000184E-3</v>
      </c>
      <c r="G580" s="6">
        <f t="shared" si="65"/>
        <v>1008.7252042830755</v>
      </c>
      <c r="H580" s="7">
        <f t="shared" si="66"/>
        <v>1.0859679313006148E-12</v>
      </c>
      <c r="I580" s="8">
        <f t="shared" si="67"/>
        <v>1.0859679313006148E-12</v>
      </c>
    </row>
    <row r="581" spans="1:9" x14ac:dyDescent="0.2">
      <c r="A581" s="5">
        <v>442</v>
      </c>
      <c r="B581" s="6">
        <v>2.49986</v>
      </c>
      <c r="C581" s="6">
        <f t="shared" si="63"/>
        <v>2.4658600000000002</v>
      </c>
      <c r="D581" s="6">
        <f t="shared" si="64"/>
        <v>1089.91012</v>
      </c>
      <c r="E581" s="6">
        <f t="shared" si="68"/>
        <v>-1038.6703500000006</v>
      </c>
      <c r="F581" s="6">
        <f t="shared" si="69"/>
        <v>-1.8597500000000489E-3</v>
      </c>
      <c r="G581" s="6">
        <f t="shared" si="65"/>
        <v>1008.683295137094</v>
      </c>
      <c r="H581" s="7">
        <f t="shared" si="66"/>
        <v>9.9118374783233803E-13</v>
      </c>
      <c r="I581" s="8">
        <f t="shared" si="67"/>
        <v>9.9118374783233803E-13</v>
      </c>
    </row>
    <row r="582" spans="1:9" x14ac:dyDescent="0.2">
      <c r="A582" s="5">
        <v>440</v>
      </c>
      <c r="B582" s="6">
        <v>2.5035440000000002</v>
      </c>
      <c r="C582" s="6">
        <f t="shared" si="63"/>
        <v>2.4695440000000004</v>
      </c>
      <c r="D582" s="6">
        <f t="shared" si="64"/>
        <v>1086.5993600000002</v>
      </c>
      <c r="E582" s="6">
        <f t="shared" si="68"/>
        <v>-1043.6057540000006</v>
      </c>
      <c r="F582" s="6">
        <f t="shared" si="69"/>
        <v>-2.1052500000000585E-3</v>
      </c>
      <c r="G582" s="6">
        <f t="shared" si="65"/>
        <v>1008.6348104143788</v>
      </c>
      <c r="H582" s="7">
        <f t="shared" si="66"/>
        <v>8.7555652293516996E-13</v>
      </c>
      <c r="I582" s="8" t="str">
        <f t="shared" si="67"/>
        <v/>
      </c>
    </row>
    <row r="583" spans="1:9" x14ac:dyDescent="0.2">
      <c r="A583" s="5">
        <v>438</v>
      </c>
      <c r="B583" s="6">
        <v>2.5082810000000002</v>
      </c>
      <c r="C583" s="6">
        <f t="shared" si="63"/>
        <v>2.4742810000000004</v>
      </c>
      <c r="D583" s="6">
        <f t="shared" si="64"/>
        <v>1083.7350780000002</v>
      </c>
      <c r="E583" s="6">
        <f t="shared" si="68"/>
        <v>-1048.5495790000007</v>
      </c>
      <c r="F583" s="6">
        <f t="shared" si="69"/>
        <v>-1.5965000000000007E-3</v>
      </c>
      <c r="G583" s="6">
        <f t="shared" si="65"/>
        <v>1008.5629932733628</v>
      </c>
      <c r="H583" s="7">
        <f t="shared" si="66"/>
        <v>1.154484262533084E-12</v>
      </c>
      <c r="I583" s="8" t="str">
        <f t="shared" si="67"/>
        <v/>
      </c>
    </row>
    <row r="584" spans="1:9" x14ac:dyDescent="0.2">
      <c r="A584" s="5">
        <v>436</v>
      </c>
      <c r="B584" s="6">
        <v>2.5099300000000002</v>
      </c>
      <c r="C584" s="6">
        <f t="shared" si="63"/>
        <v>2.4759300000000004</v>
      </c>
      <c r="D584" s="6">
        <f t="shared" si="64"/>
        <v>1079.5054800000003</v>
      </c>
      <c r="E584" s="6">
        <f t="shared" si="68"/>
        <v>-1053.4997900000008</v>
      </c>
      <c r="F584" s="6">
        <f t="shared" si="69"/>
        <v>-1.6622499999999762E-3</v>
      </c>
      <c r="G584" s="6">
        <f t="shared" si="65"/>
        <v>1008.5346949639825</v>
      </c>
      <c r="H584" s="7">
        <f t="shared" si="66"/>
        <v>1.1087877337268288E-12</v>
      </c>
      <c r="I584" s="8" t="str">
        <f t="shared" si="67"/>
        <v/>
      </c>
    </row>
    <row r="585" spans="1:9" x14ac:dyDescent="0.2">
      <c r="A585" s="5">
        <v>434</v>
      </c>
      <c r="B585" s="6">
        <v>2.5149300000000001</v>
      </c>
      <c r="C585" s="6">
        <f t="shared" si="63"/>
        <v>2.4809300000000003</v>
      </c>
      <c r="D585" s="6">
        <f t="shared" si="64"/>
        <v>1076.7236200000002</v>
      </c>
      <c r="E585" s="6">
        <f t="shared" si="68"/>
        <v>-1058.4566500000008</v>
      </c>
      <c r="F585" s="6">
        <f t="shared" si="69"/>
        <v>-1.7982500000000012E-3</v>
      </c>
      <c r="G585" s="6">
        <f t="shared" si="65"/>
        <v>1008.4388905086141</v>
      </c>
      <c r="H585" s="7">
        <f t="shared" si="66"/>
        <v>1.0248337712475228E-12</v>
      </c>
      <c r="I585" s="8" t="str">
        <f t="shared" si="67"/>
        <v/>
      </c>
    </row>
    <row r="586" spans="1:9" x14ac:dyDescent="0.2">
      <c r="A586" s="5">
        <v>432</v>
      </c>
      <c r="B586" s="6">
        <v>2.5171230000000002</v>
      </c>
      <c r="C586" s="6">
        <f t="shared" si="63"/>
        <v>2.4831230000000004</v>
      </c>
      <c r="D586" s="6">
        <f t="shared" si="64"/>
        <v>1072.7091360000002</v>
      </c>
      <c r="E586" s="6">
        <f t="shared" si="68"/>
        <v>-1063.4207030000007</v>
      </c>
      <c r="F586" s="6">
        <f t="shared" si="69"/>
        <v>-1.4077499999999299E-3</v>
      </c>
      <c r="G586" s="6">
        <f t="shared" si="65"/>
        <v>1008.3924846744894</v>
      </c>
      <c r="H586" s="7">
        <f t="shared" si="66"/>
        <v>1.3090552464304995E-12</v>
      </c>
      <c r="I586" s="8" t="str">
        <f t="shared" si="67"/>
        <v/>
      </c>
    </row>
    <row r="587" spans="1:9" x14ac:dyDescent="0.2">
      <c r="A587" s="5">
        <v>430</v>
      </c>
      <c r="B587" s="6">
        <v>2.5205609999999998</v>
      </c>
      <c r="C587" s="6">
        <f t="shared" si="63"/>
        <v>2.486561</v>
      </c>
      <c r="D587" s="6">
        <f t="shared" si="64"/>
        <v>1069.2212300000001</v>
      </c>
      <c r="E587" s="6">
        <f t="shared" si="68"/>
        <v>-1068.3903870000006</v>
      </c>
      <c r="F587" s="6">
        <f t="shared" si="69"/>
        <v>-1.355249999999919E-3</v>
      </c>
      <c r="G587" s="6">
        <f t="shared" si="65"/>
        <v>1008.3128575309781</v>
      </c>
      <c r="H587" s="7">
        <f t="shared" si="66"/>
        <v>1.3596583698372455E-12</v>
      </c>
      <c r="I587" s="8" t="str">
        <f t="shared" si="67"/>
        <v/>
      </c>
    </row>
    <row r="588" spans="1:9" x14ac:dyDescent="0.2">
      <c r="A588" s="5">
        <v>428</v>
      </c>
      <c r="B588" s="6">
        <v>2.5225439999999999</v>
      </c>
      <c r="C588" s="6">
        <f t="shared" si="63"/>
        <v>2.4885440000000001</v>
      </c>
      <c r="D588" s="6">
        <f t="shared" si="64"/>
        <v>1065.0968319999999</v>
      </c>
      <c r="E588" s="6">
        <f t="shared" si="68"/>
        <v>-1073.3654920000006</v>
      </c>
      <c r="F588" s="6">
        <f t="shared" si="69"/>
        <v>-1.1800000000000699E-3</v>
      </c>
      <c r="G588" s="6">
        <f t="shared" si="65"/>
        <v>1008.2629634839791</v>
      </c>
      <c r="H588" s="7">
        <f t="shared" si="66"/>
        <v>1.5615134110849676E-12</v>
      </c>
      <c r="I588" s="8" t="str">
        <f t="shared" si="67"/>
        <v/>
      </c>
    </row>
    <row r="589" spans="1:9" x14ac:dyDescent="0.2">
      <c r="A589" s="5">
        <v>426</v>
      </c>
      <c r="B589" s="6">
        <v>2.5252810000000001</v>
      </c>
      <c r="C589" s="6">
        <f t="shared" si="63"/>
        <v>2.4912810000000003</v>
      </c>
      <c r="D589" s="6">
        <f t="shared" si="64"/>
        <v>1061.2857060000001</v>
      </c>
      <c r="E589" s="6">
        <f t="shared" si="68"/>
        <v>-1078.3453170000005</v>
      </c>
      <c r="F589" s="6">
        <f t="shared" si="69"/>
        <v>-1.8772500000000525E-3</v>
      </c>
      <c r="G589" s="6">
        <f t="shared" si="65"/>
        <v>1008.1886241251103</v>
      </c>
      <c r="H589" s="7">
        <f t="shared" si="66"/>
        <v>9.814622298515484E-13</v>
      </c>
      <c r="I589" s="8" t="str">
        <f t="shared" si="67"/>
        <v/>
      </c>
    </row>
    <row r="590" spans="1:9" x14ac:dyDescent="0.2">
      <c r="A590" s="5">
        <v>424</v>
      </c>
      <c r="B590" s="6">
        <v>2.5300530000000001</v>
      </c>
      <c r="C590" s="6">
        <f t="shared" si="63"/>
        <v>2.4960530000000003</v>
      </c>
      <c r="D590" s="6">
        <f t="shared" si="64"/>
        <v>1058.3264720000002</v>
      </c>
      <c r="E590" s="6">
        <f t="shared" si="68"/>
        <v>-1083.3326510000004</v>
      </c>
      <c r="F590" s="6">
        <f t="shared" si="69"/>
        <v>-1.9824999999999982E-3</v>
      </c>
      <c r="G590" s="6">
        <f t="shared" si="65"/>
        <v>1008.0494683529067</v>
      </c>
      <c r="H590" s="7">
        <f t="shared" si="66"/>
        <v>9.2922858302628601E-13</v>
      </c>
      <c r="I590" s="8" t="str">
        <f t="shared" si="67"/>
        <v/>
      </c>
    </row>
    <row r="591" spans="1:9" x14ac:dyDescent="0.2">
      <c r="A591" s="5">
        <v>422</v>
      </c>
      <c r="B591" s="6">
        <v>2.5332110000000001</v>
      </c>
      <c r="C591" s="6">
        <f t="shared" si="63"/>
        <v>2.4992110000000003</v>
      </c>
      <c r="D591" s="6">
        <f t="shared" si="64"/>
        <v>1054.667042</v>
      </c>
      <c r="E591" s="6">
        <f t="shared" si="68"/>
        <v>-1088.3279150000003</v>
      </c>
      <c r="F591" s="6">
        <f t="shared" si="69"/>
        <v>-1.5744999999999232E-3</v>
      </c>
      <c r="G591" s="6">
        <f t="shared" si="65"/>
        <v>1007.9510622588959</v>
      </c>
      <c r="H591" s="7">
        <f t="shared" si="66"/>
        <v>1.1699052589085939E-12</v>
      </c>
      <c r="I591" s="8" t="str">
        <f t="shared" si="67"/>
        <v/>
      </c>
    </row>
    <row r="592" spans="1:9" x14ac:dyDescent="0.2">
      <c r="A592" s="5">
        <v>420</v>
      </c>
      <c r="B592" s="6">
        <v>2.5363509999999998</v>
      </c>
      <c r="C592" s="6">
        <f t="shared" si="63"/>
        <v>2.502351</v>
      </c>
      <c r="D592" s="6">
        <f t="shared" si="64"/>
        <v>1050.9874199999999</v>
      </c>
      <c r="E592" s="6">
        <f t="shared" si="68"/>
        <v>-1093.3294770000002</v>
      </c>
      <c r="F592" s="6">
        <f t="shared" si="69"/>
        <v>-1.4910000000000201E-3</v>
      </c>
      <c r="G592" s="6">
        <f t="shared" si="65"/>
        <v>1007.8469370609246</v>
      </c>
      <c r="H592" s="7">
        <f t="shared" si="66"/>
        <v>1.235295468057996E-12</v>
      </c>
      <c r="I592" s="8" t="str">
        <f t="shared" si="67"/>
        <v/>
      </c>
    </row>
    <row r="593" spans="1:9" x14ac:dyDescent="0.2">
      <c r="A593" s="5">
        <v>418</v>
      </c>
      <c r="B593" s="6">
        <v>2.5391750000000002</v>
      </c>
      <c r="C593" s="6">
        <f t="shared" si="63"/>
        <v>2.5051750000000004</v>
      </c>
      <c r="D593" s="6">
        <f t="shared" si="64"/>
        <v>1047.1631500000001</v>
      </c>
      <c r="E593" s="6">
        <f t="shared" si="68"/>
        <v>-1098.3370030000003</v>
      </c>
      <c r="F593" s="6">
        <f t="shared" si="69"/>
        <v>-1.4297500000000074E-3</v>
      </c>
      <c r="G593" s="6">
        <f t="shared" si="65"/>
        <v>1007.7476427045326</v>
      </c>
      <c r="H593" s="7">
        <f t="shared" si="66"/>
        <v>1.2880881859694719E-12</v>
      </c>
      <c r="I593" s="8" t="str">
        <f t="shared" si="67"/>
        <v/>
      </c>
    </row>
    <row r="594" spans="1:9" x14ac:dyDescent="0.2">
      <c r="A594" s="5">
        <v>416</v>
      </c>
      <c r="B594" s="6">
        <v>2.5420699999999998</v>
      </c>
      <c r="C594" s="6">
        <f t="shared" si="63"/>
        <v>2.50807</v>
      </c>
      <c r="D594" s="6">
        <f t="shared" si="64"/>
        <v>1043.3571200000001</v>
      </c>
      <c r="E594" s="6">
        <f t="shared" si="68"/>
        <v>-1103.3502480000004</v>
      </c>
      <c r="F594" s="6">
        <f t="shared" si="69"/>
        <v>-1.1097499999999094E-3</v>
      </c>
      <c r="G594" s="6">
        <f t="shared" si="65"/>
        <v>1007.6400619248745</v>
      </c>
      <c r="H594" s="7">
        <f t="shared" si="66"/>
        <v>1.6593354193178694E-12</v>
      </c>
      <c r="I594" s="8" t="str">
        <f t="shared" si="67"/>
        <v/>
      </c>
    </row>
    <row r="595" spans="1:9" x14ac:dyDescent="0.2">
      <c r="A595" s="5">
        <v>414</v>
      </c>
      <c r="B595" s="6">
        <v>2.5436139999999998</v>
      </c>
      <c r="C595" s="6">
        <f t="shared" si="63"/>
        <v>2.509614</v>
      </c>
      <c r="D595" s="6">
        <f t="shared" si="64"/>
        <v>1038.980196</v>
      </c>
      <c r="E595" s="6">
        <f t="shared" si="68"/>
        <v>-1108.3679320000003</v>
      </c>
      <c r="F595" s="6">
        <f t="shared" si="69"/>
        <v>-1.6797500000000909E-3</v>
      </c>
      <c r="G595" s="6">
        <f t="shared" si="65"/>
        <v>1007.5795975090567</v>
      </c>
      <c r="H595" s="7">
        <f t="shared" si="66"/>
        <v>1.0961970434599383E-12</v>
      </c>
      <c r="I595" s="8" t="str">
        <f t="shared" si="67"/>
        <v/>
      </c>
    </row>
    <row r="596" spans="1:9" x14ac:dyDescent="0.2">
      <c r="A596" s="5">
        <v>412</v>
      </c>
      <c r="B596" s="6">
        <v>2.5487890000000002</v>
      </c>
      <c r="C596" s="6">
        <f t="shared" si="63"/>
        <v>2.5147890000000004</v>
      </c>
      <c r="D596" s="6">
        <f t="shared" si="64"/>
        <v>1036.0930680000001</v>
      </c>
      <c r="E596" s="6">
        <f t="shared" si="68"/>
        <v>-1113.3923350000002</v>
      </c>
      <c r="F596" s="6">
        <f t="shared" si="69"/>
        <v>-1.719250000000061E-3</v>
      </c>
      <c r="G596" s="6">
        <f t="shared" si="65"/>
        <v>1007.3665898977504</v>
      </c>
      <c r="H596" s="7">
        <f t="shared" si="66"/>
        <v>1.070785351436004E-12</v>
      </c>
      <c r="I596" s="8" t="str">
        <f t="shared" si="67"/>
        <v/>
      </c>
    </row>
    <row r="597" spans="1:9" x14ac:dyDescent="0.2">
      <c r="A597" s="5">
        <v>410</v>
      </c>
      <c r="B597" s="6">
        <v>2.5504910000000001</v>
      </c>
      <c r="C597" s="6">
        <f t="shared" si="63"/>
        <v>2.5164910000000003</v>
      </c>
      <c r="D597" s="6">
        <f t="shared" si="64"/>
        <v>1031.7613100000001</v>
      </c>
      <c r="E597" s="6">
        <f t="shared" si="68"/>
        <v>-1118.4236150000002</v>
      </c>
      <c r="F597" s="6">
        <f t="shared" si="69"/>
        <v>-1.1929999999999996E-3</v>
      </c>
      <c r="G597" s="6">
        <f t="shared" si="65"/>
        <v>1007.2931300611428</v>
      </c>
      <c r="H597" s="7">
        <f t="shared" si="66"/>
        <v>1.5430121279790356E-12</v>
      </c>
      <c r="I597" s="8" t="str">
        <f t="shared" si="67"/>
        <v/>
      </c>
    </row>
    <row r="598" spans="1:9" x14ac:dyDescent="0.2">
      <c r="A598" s="5">
        <v>408</v>
      </c>
      <c r="B598" s="6">
        <v>2.5535610000000002</v>
      </c>
      <c r="C598" s="6">
        <f t="shared" si="63"/>
        <v>2.5195610000000004</v>
      </c>
      <c r="D598" s="6">
        <f t="shared" si="64"/>
        <v>1027.980888</v>
      </c>
      <c r="E598" s="6">
        <f t="shared" si="68"/>
        <v>-1123.4596670000001</v>
      </c>
      <c r="F598" s="6">
        <f t="shared" si="69"/>
        <v>-1.7104999999999482E-3</v>
      </c>
      <c r="G598" s="6">
        <f t="shared" si="65"/>
        <v>1007.1544861255467</v>
      </c>
      <c r="H598" s="7">
        <f t="shared" si="66"/>
        <v>1.0760363045388487E-12</v>
      </c>
      <c r="I598" s="8" t="str">
        <f t="shared" si="67"/>
        <v/>
      </c>
    </row>
    <row r="599" spans="1:9" x14ac:dyDescent="0.2">
      <c r="A599" s="5">
        <v>406</v>
      </c>
      <c r="B599" s="6">
        <v>2.5573329999999999</v>
      </c>
      <c r="C599" s="6">
        <f t="shared" si="63"/>
        <v>2.523333</v>
      </c>
      <c r="D599" s="6">
        <f t="shared" si="64"/>
        <v>1024.4731979999999</v>
      </c>
      <c r="E599" s="6">
        <f t="shared" si="68"/>
        <v>-1128.502561</v>
      </c>
      <c r="F599" s="6">
        <f t="shared" si="69"/>
        <v>-1.8772499999999415E-3</v>
      </c>
      <c r="G599" s="6">
        <f t="shared" si="65"/>
        <v>1006.9765952444168</v>
      </c>
      <c r="H599" s="7">
        <f t="shared" si="66"/>
        <v>9.8028233103165892E-13</v>
      </c>
      <c r="I599" s="8" t="str">
        <f t="shared" si="67"/>
        <v/>
      </c>
    </row>
    <row r="600" spans="1:9" x14ac:dyDescent="0.2">
      <c r="A600" s="5">
        <v>404</v>
      </c>
      <c r="B600" s="6">
        <v>2.56107</v>
      </c>
      <c r="C600" s="6">
        <f t="shared" si="63"/>
        <v>2.5270700000000001</v>
      </c>
      <c r="D600" s="6">
        <f t="shared" si="64"/>
        <v>1020.93628</v>
      </c>
      <c r="E600" s="6">
        <f t="shared" si="68"/>
        <v>-1133.552964</v>
      </c>
      <c r="F600" s="6">
        <f t="shared" si="69"/>
        <v>-1.5789999999999971E-3</v>
      </c>
      <c r="G600" s="6">
        <f t="shared" si="65"/>
        <v>1006.7928809944744</v>
      </c>
      <c r="H600" s="7">
        <f t="shared" si="66"/>
        <v>1.1652306971648123E-12</v>
      </c>
      <c r="I600" s="8" t="str">
        <f t="shared" si="67"/>
        <v/>
      </c>
    </row>
    <row r="601" spans="1:9" x14ac:dyDescent="0.2">
      <c r="A601" s="5">
        <v>402</v>
      </c>
      <c r="B601" s="6">
        <v>2.5636489999999998</v>
      </c>
      <c r="C601" s="6">
        <f t="shared" si="63"/>
        <v>2.529649</v>
      </c>
      <c r="D601" s="6">
        <f t="shared" si="64"/>
        <v>1016.918898</v>
      </c>
      <c r="E601" s="6">
        <f t="shared" si="68"/>
        <v>-1138.6096829999999</v>
      </c>
      <c r="F601" s="6">
        <f t="shared" si="69"/>
        <v>-1.2762499999999788E-3</v>
      </c>
      <c r="G601" s="6">
        <f t="shared" si="65"/>
        <v>1006.6609370563954</v>
      </c>
      <c r="H601" s="7">
        <f t="shared" si="66"/>
        <v>1.441455941395049E-12</v>
      </c>
      <c r="I601" s="8" t="str">
        <f t="shared" si="67"/>
        <v/>
      </c>
    </row>
    <row r="602" spans="1:9" x14ac:dyDescent="0.2">
      <c r="A602" s="5">
        <v>400</v>
      </c>
      <c r="B602" s="6">
        <v>2.5661749999999999</v>
      </c>
      <c r="C602" s="6">
        <f t="shared" si="63"/>
        <v>2.5321750000000001</v>
      </c>
      <c r="D602" s="6">
        <f t="shared" si="64"/>
        <v>1012.87</v>
      </c>
      <c r="E602" s="6">
        <f t="shared" si="68"/>
        <v>-1143.6715069999998</v>
      </c>
      <c r="F602" s="6">
        <f t="shared" si="69"/>
        <v>-1.0922500000000168E-3</v>
      </c>
      <c r="G602" s="6">
        <f t="shared" si="65"/>
        <v>1006.5266526455432</v>
      </c>
      <c r="H602" s="7">
        <f t="shared" si="66"/>
        <v>1.6840583588077477E-12</v>
      </c>
      <c r="I602" s="8" t="str">
        <f t="shared" si="67"/>
        <v/>
      </c>
    </row>
    <row r="603" spans="1:9" x14ac:dyDescent="0.2">
      <c r="A603" s="5">
        <v>398</v>
      </c>
      <c r="B603" s="6">
        <v>2.5680179999999999</v>
      </c>
      <c r="C603" s="6">
        <f t="shared" si="63"/>
        <v>2.5340180000000001</v>
      </c>
      <c r="D603" s="6">
        <f t="shared" si="64"/>
        <v>1008.539164</v>
      </c>
      <c r="E603" s="6">
        <f t="shared" si="68"/>
        <v>-1148.7376999999999</v>
      </c>
      <c r="F603" s="6">
        <f t="shared" si="69"/>
        <v>-8.772500000000516E-4</v>
      </c>
      <c r="G603" s="6">
        <f t="shared" si="65"/>
        <v>1006.4249911232946</v>
      </c>
      <c r="H603" s="7">
        <f t="shared" si="66"/>
        <v>2.0965824536472531E-12</v>
      </c>
      <c r="I603" s="8" t="str">
        <f t="shared" si="67"/>
        <v/>
      </c>
    </row>
    <row r="604" spans="1:9" x14ac:dyDescent="0.2">
      <c r="A604" s="5">
        <v>396</v>
      </c>
      <c r="B604" s="6">
        <v>2.5696840000000001</v>
      </c>
      <c r="C604" s="6">
        <f t="shared" si="63"/>
        <v>2.5356840000000003</v>
      </c>
      <c r="D604" s="6">
        <f t="shared" si="64"/>
        <v>1004.1308640000001</v>
      </c>
      <c r="E604" s="6">
        <f t="shared" si="68"/>
        <v>-1153.8074019999999</v>
      </c>
      <c r="F604" s="6">
        <f t="shared" si="69"/>
        <v>-8.2875000000004473E-4</v>
      </c>
      <c r="G604" s="6">
        <f t="shared" si="65"/>
        <v>1006.3297610787658</v>
      </c>
      <c r="H604" s="7">
        <f t="shared" si="66"/>
        <v>2.2190683872674968E-12</v>
      </c>
      <c r="I604" s="8" t="str">
        <f t="shared" si="67"/>
        <v/>
      </c>
    </row>
    <row r="605" spans="1:9" x14ac:dyDescent="0.2">
      <c r="A605" s="5">
        <v>394</v>
      </c>
      <c r="B605" s="6">
        <v>2.5713330000000001</v>
      </c>
      <c r="C605" s="6">
        <f t="shared" si="63"/>
        <v>2.5373330000000003</v>
      </c>
      <c r="D605" s="6">
        <f t="shared" si="64"/>
        <v>999.70920200000012</v>
      </c>
      <c r="E605" s="6">
        <f t="shared" si="68"/>
        <v>-1158.8804189999998</v>
      </c>
      <c r="F605" s="6">
        <f t="shared" si="69"/>
        <v>-8.3774999999997046E-4</v>
      </c>
      <c r="G605" s="6">
        <f t="shared" si="65"/>
        <v>1006.2322047693852</v>
      </c>
      <c r="H605" s="7">
        <f t="shared" si="66"/>
        <v>2.1950159871309706E-12</v>
      </c>
      <c r="I605" s="8" t="str">
        <f t="shared" si="67"/>
        <v/>
      </c>
    </row>
    <row r="606" spans="1:9" x14ac:dyDescent="0.2">
      <c r="A606" s="5">
        <v>392</v>
      </c>
      <c r="B606" s="6">
        <v>2.573035</v>
      </c>
      <c r="C606" s="6">
        <f t="shared" si="63"/>
        <v>2.5390350000000002</v>
      </c>
      <c r="D606" s="6">
        <f t="shared" si="64"/>
        <v>995.30172000000005</v>
      </c>
      <c r="E606" s="6">
        <f t="shared" si="68"/>
        <v>-1163.9567869999998</v>
      </c>
      <c r="F606" s="6">
        <f t="shared" si="69"/>
        <v>-8.5099999999993514E-4</v>
      </c>
      <c r="G606" s="6">
        <f t="shared" si="65"/>
        <v>1006.1281089327779</v>
      </c>
      <c r="H606" s="7">
        <f t="shared" si="66"/>
        <v>2.1606162274964925E-12</v>
      </c>
      <c r="I606" s="8" t="str">
        <f t="shared" si="67"/>
        <v/>
      </c>
    </row>
    <row r="607" spans="1:9" x14ac:dyDescent="0.2">
      <c r="A607" s="5">
        <v>390</v>
      </c>
      <c r="B607" s="6">
        <v>2.5747369999999998</v>
      </c>
      <c r="C607" s="6">
        <f t="shared" si="63"/>
        <v>2.540737</v>
      </c>
      <c r="D607" s="6">
        <f t="shared" si="64"/>
        <v>990.88742999999999</v>
      </c>
      <c r="E607" s="6">
        <f t="shared" si="68"/>
        <v>-1169.0365589999999</v>
      </c>
      <c r="F607" s="6">
        <f t="shared" si="69"/>
        <v>-1.2412499999999715E-3</v>
      </c>
      <c r="G607" s="6">
        <f t="shared" si="65"/>
        <v>1006.0206090961706</v>
      </c>
      <c r="H607" s="7">
        <f t="shared" si="66"/>
        <v>1.4811584734901529E-12</v>
      </c>
      <c r="I607" s="8" t="str">
        <f t="shared" si="67"/>
        <v/>
      </c>
    </row>
    <row r="608" spans="1:9" x14ac:dyDescent="0.2">
      <c r="A608" s="5">
        <v>388</v>
      </c>
      <c r="B608" s="6">
        <v>2.5779999999999998</v>
      </c>
      <c r="C608" s="6">
        <f t="shared" si="63"/>
        <v>2.544</v>
      </c>
      <c r="D608" s="6">
        <f t="shared" si="64"/>
        <v>987.072</v>
      </c>
      <c r="E608" s="6">
        <f t="shared" si="68"/>
        <v>-1174.1212959999998</v>
      </c>
      <c r="F608" s="6">
        <f t="shared" si="69"/>
        <v>-1.807000000000003E-3</v>
      </c>
      <c r="G608" s="6">
        <f t="shared" si="65"/>
        <v>1005.8079891085971</v>
      </c>
      <c r="H608" s="7">
        <f t="shared" si="66"/>
        <v>1.017210512064635E-12</v>
      </c>
      <c r="I608" s="8" t="str">
        <f t="shared" si="67"/>
        <v/>
      </c>
    </row>
    <row r="609" spans="1:9" x14ac:dyDescent="0.2">
      <c r="A609" s="5">
        <v>386</v>
      </c>
      <c r="B609" s="6">
        <v>2.5819649999999998</v>
      </c>
      <c r="C609" s="6">
        <f t="shared" si="63"/>
        <v>2.547965</v>
      </c>
      <c r="D609" s="6">
        <f t="shared" si="64"/>
        <v>983.51449000000002</v>
      </c>
      <c r="E609" s="6">
        <f t="shared" si="68"/>
        <v>-1179.2132609999999</v>
      </c>
      <c r="F609" s="6">
        <f t="shared" si="69"/>
        <v>-1.947250000000067E-3</v>
      </c>
      <c r="G609" s="6">
        <f t="shared" si="65"/>
        <v>1005.5416961754902</v>
      </c>
      <c r="H609" s="7">
        <f t="shared" si="66"/>
        <v>9.43696366084814E-13</v>
      </c>
      <c r="I609" s="8" t="str">
        <f t="shared" si="67"/>
        <v/>
      </c>
    </row>
    <row r="610" spans="1:9" x14ac:dyDescent="0.2">
      <c r="A610" s="5">
        <v>384</v>
      </c>
      <c r="B610" s="6">
        <v>2.5857890000000001</v>
      </c>
      <c r="C610" s="6">
        <f t="shared" si="63"/>
        <v>2.5517890000000003</v>
      </c>
      <c r="D610" s="6">
        <f t="shared" si="64"/>
        <v>979.88697600000012</v>
      </c>
      <c r="E610" s="6">
        <f t="shared" si="68"/>
        <v>-1184.313015</v>
      </c>
      <c r="F610" s="6">
        <f t="shared" si="69"/>
        <v>-1.447250000000011E-3</v>
      </c>
      <c r="G610" s="6">
        <f t="shared" si="65"/>
        <v>1005.2772249280245</v>
      </c>
      <c r="H610" s="7">
        <f t="shared" si="66"/>
        <v>1.2693932848647425E-12</v>
      </c>
      <c r="I610" s="8" t="str">
        <f t="shared" si="67"/>
        <v/>
      </c>
    </row>
    <row r="611" spans="1:9" x14ac:dyDescent="0.2">
      <c r="A611" s="5">
        <v>382</v>
      </c>
      <c r="B611" s="6">
        <v>2.5877539999999999</v>
      </c>
      <c r="C611" s="6">
        <f t="shared" si="63"/>
        <v>2.5537540000000001</v>
      </c>
      <c r="D611" s="6">
        <f t="shared" si="64"/>
        <v>975.53402800000003</v>
      </c>
      <c r="E611" s="6">
        <f t="shared" si="68"/>
        <v>-1189.4185579999998</v>
      </c>
      <c r="F611" s="6">
        <f t="shared" si="69"/>
        <v>-1.1974999999999625E-3</v>
      </c>
      <c r="G611" s="6">
        <f t="shared" si="65"/>
        <v>1005.1373937770646</v>
      </c>
      <c r="H611" s="7">
        <f t="shared" si="66"/>
        <v>1.5339239182768317E-12</v>
      </c>
      <c r="I611" s="8" t="str">
        <f t="shared" si="67"/>
        <v/>
      </c>
    </row>
    <row r="612" spans="1:9" x14ac:dyDescent="0.2">
      <c r="A612" s="5">
        <v>380</v>
      </c>
      <c r="B612" s="6">
        <v>2.590579</v>
      </c>
      <c r="C612" s="6">
        <f t="shared" si="63"/>
        <v>2.5565790000000002</v>
      </c>
      <c r="D612" s="6">
        <f t="shared" si="64"/>
        <v>971.50002000000006</v>
      </c>
      <c r="E612" s="6">
        <f t="shared" si="68"/>
        <v>-1194.5288909999999</v>
      </c>
      <c r="F612" s="6">
        <f t="shared" si="69"/>
        <v>-9.3425000000002534E-4</v>
      </c>
      <c r="G612" s="6">
        <f t="shared" si="65"/>
        <v>1004.9307142597816</v>
      </c>
      <c r="H612" s="7">
        <f t="shared" si="66"/>
        <v>1.9657438462298039E-12</v>
      </c>
      <c r="I612" s="8" t="str">
        <f t="shared" si="67"/>
        <v/>
      </c>
    </row>
    <row r="613" spans="1:9" x14ac:dyDescent="0.2">
      <c r="A613" s="5">
        <v>378</v>
      </c>
      <c r="B613" s="6">
        <v>2.591491</v>
      </c>
      <c r="C613" s="6">
        <f t="shared" si="63"/>
        <v>2.5574910000000002</v>
      </c>
      <c r="D613" s="6">
        <f t="shared" si="64"/>
        <v>966.73159800000008</v>
      </c>
      <c r="E613" s="6">
        <f t="shared" si="68"/>
        <v>-1199.642961</v>
      </c>
      <c r="F613" s="6">
        <f t="shared" si="69"/>
        <v>-6.4025000000000887E-4</v>
      </c>
      <c r="G613" s="6">
        <f t="shared" si="65"/>
        <v>1004.8621675271226</v>
      </c>
      <c r="H613" s="7">
        <f t="shared" si="66"/>
        <v>2.8682091685879417E-12</v>
      </c>
      <c r="I613" s="8" t="str">
        <f t="shared" si="67"/>
        <v/>
      </c>
    </row>
    <row r="614" spans="1:9" x14ac:dyDescent="0.2">
      <c r="A614" s="5">
        <v>376</v>
      </c>
      <c r="B614" s="6">
        <v>2.59314</v>
      </c>
      <c r="C614" s="6">
        <f t="shared" si="63"/>
        <v>2.5591400000000002</v>
      </c>
      <c r="D614" s="6">
        <f t="shared" si="64"/>
        <v>962.23664000000008</v>
      </c>
      <c r="E614" s="6">
        <f t="shared" si="68"/>
        <v>-1204.7595920000001</v>
      </c>
      <c r="F614" s="6">
        <f t="shared" si="69"/>
        <v>-8.4649999999997227E-4</v>
      </c>
      <c r="G614" s="6">
        <f t="shared" si="65"/>
        <v>1004.7349292177421</v>
      </c>
      <c r="H614" s="7">
        <f t="shared" si="66"/>
        <v>2.1690943816164579E-12</v>
      </c>
      <c r="I614" s="8" t="str">
        <f t="shared" si="67"/>
        <v/>
      </c>
    </row>
    <row r="615" spans="1:9" x14ac:dyDescent="0.2">
      <c r="A615" s="5">
        <v>374</v>
      </c>
      <c r="B615" s="6">
        <v>2.5948769999999999</v>
      </c>
      <c r="C615" s="6">
        <f t="shared" si="63"/>
        <v>2.5608770000000001</v>
      </c>
      <c r="D615" s="6">
        <f t="shared" si="64"/>
        <v>957.76799800000003</v>
      </c>
      <c r="E615" s="6">
        <f t="shared" si="68"/>
        <v>-1209.8796090000001</v>
      </c>
      <c r="F615" s="6">
        <f t="shared" si="69"/>
        <v>-1.0747500000000132E-3</v>
      </c>
      <c r="G615" s="6">
        <f t="shared" si="65"/>
        <v>1004.5974267499471</v>
      </c>
      <c r="H615" s="7">
        <f t="shared" si="66"/>
        <v>1.7081992186914385E-12</v>
      </c>
      <c r="I615" s="8" t="str">
        <f t="shared" si="67"/>
        <v/>
      </c>
    </row>
    <row r="616" spans="1:9" x14ac:dyDescent="0.2">
      <c r="A616" s="5">
        <v>372</v>
      </c>
      <c r="B616" s="6">
        <v>2.5974390000000001</v>
      </c>
      <c r="C616" s="6">
        <f t="shared" si="63"/>
        <v>2.5634390000000002</v>
      </c>
      <c r="D616" s="6">
        <f t="shared" si="64"/>
        <v>953.59930800000006</v>
      </c>
      <c r="E616" s="6">
        <f t="shared" si="68"/>
        <v>-1215.003925</v>
      </c>
      <c r="F616" s="6">
        <f t="shared" si="69"/>
        <v>-8.4225000000004435E-4</v>
      </c>
      <c r="G616" s="6">
        <f t="shared" si="65"/>
        <v>1004.3894925470163</v>
      </c>
      <c r="H616" s="7">
        <f t="shared" si="66"/>
        <v>2.179290131876126E-12</v>
      </c>
      <c r="I616" s="8" t="str">
        <f t="shared" si="67"/>
        <v/>
      </c>
    </row>
    <row r="617" spans="1:9" x14ac:dyDescent="0.2">
      <c r="A617" s="5">
        <v>370</v>
      </c>
      <c r="B617" s="6">
        <v>2.5982460000000001</v>
      </c>
      <c r="C617" s="6">
        <f t="shared" si="63"/>
        <v>2.5642460000000002</v>
      </c>
      <c r="D617" s="6">
        <f t="shared" si="64"/>
        <v>948.77102000000014</v>
      </c>
      <c r="E617" s="6">
        <f t="shared" si="68"/>
        <v>-1220.1316099999999</v>
      </c>
      <c r="F617" s="6">
        <f t="shared" si="69"/>
        <v>-9.8224999999996232E-4</v>
      </c>
      <c r="G617" s="6">
        <f t="shared" si="65"/>
        <v>1004.3223817079198</v>
      </c>
      <c r="H617" s="7">
        <f t="shared" si="66"/>
        <v>1.8685512542586288E-12</v>
      </c>
      <c r="I617" s="8" t="str">
        <f t="shared" si="67"/>
        <v/>
      </c>
    </row>
    <row r="618" spans="1:9" x14ac:dyDescent="0.2">
      <c r="A618" s="5">
        <v>368</v>
      </c>
      <c r="B618" s="6">
        <v>2.6013679999999999</v>
      </c>
      <c r="C618" s="6">
        <f t="shared" si="63"/>
        <v>2.5673680000000001</v>
      </c>
      <c r="D618" s="6">
        <f t="shared" si="64"/>
        <v>944.79142400000001</v>
      </c>
      <c r="E618" s="6">
        <f t="shared" si="68"/>
        <v>-1225.2632239999998</v>
      </c>
      <c r="F618" s="6">
        <f t="shared" si="69"/>
        <v>-8.639999999999759E-4</v>
      </c>
      <c r="G618" s="6">
        <f t="shared" si="65"/>
        <v>1004.0565094059878</v>
      </c>
      <c r="H618" s="7">
        <f t="shared" si="66"/>
        <v>2.1237252219337501E-12</v>
      </c>
      <c r="I618" s="8" t="str">
        <f t="shared" si="67"/>
        <v/>
      </c>
    </row>
    <row r="619" spans="1:9" x14ac:dyDescent="0.2">
      <c r="A619" s="5">
        <v>366</v>
      </c>
      <c r="B619" s="6">
        <v>2.601702</v>
      </c>
      <c r="C619" s="6">
        <f t="shared" si="63"/>
        <v>2.5677020000000002</v>
      </c>
      <c r="D619" s="6">
        <f t="shared" si="64"/>
        <v>939.77893200000005</v>
      </c>
      <c r="E619" s="6">
        <f t="shared" si="68"/>
        <v>-1230.3982939999999</v>
      </c>
      <c r="F619" s="6">
        <f t="shared" si="69"/>
        <v>-2.895000000000536E-4</v>
      </c>
      <c r="G619" s="6">
        <f t="shared" si="65"/>
        <v>1004.0273976683692</v>
      </c>
      <c r="H619" s="7">
        <f t="shared" si="66"/>
        <v>6.3379806234040802E-12</v>
      </c>
      <c r="I619" s="8" t="str">
        <f t="shared" si="67"/>
        <v/>
      </c>
    </row>
    <row r="620" spans="1:9" x14ac:dyDescent="0.2">
      <c r="A620" s="5">
        <v>364</v>
      </c>
      <c r="B620" s="6">
        <v>2.6025260000000001</v>
      </c>
      <c r="C620" s="6">
        <f t="shared" si="63"/>
        <v>2.5685260000000003</v>
      </c>
      <c r="D620" s="6">
        <f t="shared" si="64"/>
        <v>934.94346400000006</v>
      </c>
      <c r="E620" s="6">
        <f t="shared" si="68"/>
        <v>-1235.5345219999999</v>
      </c>
      <c r="F620" s="6">
        <f t="shared" si="69"/>
        <v>-7.1050000000005831E-4</v>
      </c>
      <c r="G620" s="6">
        <f t="shared" si="65"/>
        <v>1003.9539290941245</v>
      </c>
      <c r="H620" s="7">
        <f t="shared" si="66"/>
        <v>2.5822816716823934E-12</v>
      </c>
      <c r="I620" s="8" t="str">
        <f t="shared" si="67"/>
        <v/>
      </c>
    </row>
    <row r="621" spans="1:9" x14ac:dyDescent="0.2">
      <c r="A621" s="5">
        <v>362</v>
      </c>
      <c r="B621" s="6">
        <v>2.6045440000000002</v>
      </c>
      <c r="C621" s="6">
        <f t="shared" si="63"/>
        <v>2.5705440000000004</v>
      </c>
      <c r="D621" s="6">
        <f t="shared" si="64"/>
        <v>930.5369280000001</v>
      </c>
      <c r="E621" s="6">
        <f t="shared" si="68"/>
        <v>-1240.6735919999999</v>
      </c>
      <c r="F621" s="6">
        <f t="shared" si="69"/>
        <v>-1.1579999999999924E-3</v>
      </c>
      <c r="G621" s="6">
        <f t="shared" si="65"/>
        <v>1003.7699664159378</v>
      </c>
      <c r="H621" s="7">
        <f t="shared" si="66"/>
        <v>1.5840888934590929E-12</v>
      </c>
      <c r="I621" s="8" t="str">
        <f t="shared" si="67"/>
        <v/>
      </c>
    </row>
    <row r="622" spans="1:9" x14ac:dyDescent="0.2">
      <c r="A622" s="5">
        <v>360</v>
      </c>
      <c r="B622" s="6">
        <v>2.6071580000000001</v>
      </c>
      <c r="C622" s="6">
        <f t="shared" si="63"/>
        <v>2.5731580000000003</v>
      </c>
      <c r="D622" s="6">
        <f t="shared" si="64"/>
        <v>926.33688000000006</v>
      </c>
      <c r="E622" s="6">
        <f t="shared" si="68"/>
        <v>-1245.8172939999999</v>
      </c>
      <c r="F622" s="6">
        <f t="shared" si="69"/>
        <v>-1.5129999999999866E-3</v>
      </c>
      <c r="G622" s="6">
        <f t="shared" si="65"/>
        <v>1003.5264438466713</v>
      </c>
      <c r="H622" s="7">
        <f t="shared" si="66"/>
        <v>1.212114940311018E-12</v>
      </c>
      <c r="I622" s="8" t="str">
        <f t="shared" si="67"/>
        <v/>
      </c>
    </row>
    <row r="623" spans="1:9" x14ac:dyDescent="0.2">
      <c r="A623" s="5">
        <v>358</v>
      </c>
      <c r="B623" s="6">
        <v>2.6105960000000001</v>
      </c>
      <c r="C623" s="6">
        <f t="shared" si="63"/>
        <v>2.5765960000000003</v>
      </c>
      <c r="D623" s="6">
        <f t="shared" si="64"/>
        <v>922.42136800000014</v>
      </c>
      <c r="E623" s="6">
        <f t="shared" si="68"/>
        <v>-1250.967048</v>
      </c>
      <c r="F623" s="6">
        <f t="shared" si="69"/>
        <v>-9.7799999999992338E-4</v>
      </c>
      <c r="G623" s="6">
        <f t="shared" si="65"/>
        <v>1003.1992807031601</v>
      </c>
      <c r="H623" s="7">
        <f t="shared" si="66"/>
        <v>1.8745726163895891E-12</v>
      </c>
      <c r="I623" s="8" t="str">
        <f t="shared" si="67"/>
        <v/>
      </c>
    </row>
    <row r="624" spans="1:9" x14ac:dyDescent="0.2">
      <c r="A624" s="5">
        <v>356</v>
      </c>
      <c r="B624" s="6">
        <v>2.6110699999999998</v>
      </c>
      <c r="C624" s="6">
        <f t="shared" si="63"/>
        <v>2.57707</v>
      </c>
      <c r="D624" s="6">
        <f t="shared" si="64"/>
        <v>917.43691999999999</v>
      </c>
      <c r="E624" s="6">
        <f t="shared" si="68"/>
        <v>-1256.1207139999999</v>
      </c>
      <c r="F624" s="6">
        <f t="shared" si="69"/>
        <v>-8.5550000000000903E-4</v>
      </c>
      <c r="G624" s="6">
        <f t="shared" si="65"/>
        <v>1003.1532264407912</v>
      </c>
      <c r="H624" s="7">
        <f t="shared" si="66"/>
        <v>2.1428963826273335E-12</v>
      </c>
      <c r="I624" s="8" t="str">
        <f t="shared" si="67"/>
        <v/>
      </c>
    </row>
    <row r="625" spans="1:9" x14ac:dyDescent="0.2">
      <c r="A625" s="5">
        <v>354</v>
      </c>
      <c r="B625" s="6">
        <v>2.6140180000000002</v>
      </c>
      <c r="C625" s="6">
        <f t="shared" si="63"/>
        <v>2.5800180000000004</v>
      </c>
      <c r="D625" s="6">
        <f t="shared" si="64"/>
        <v>913.32637200000011</v>
      </c>
      <c r="E625" s="6">
        <f t="shared" si="68"/>
        <v>-1261.2778019999998</v>
      </c>
      <c r="F625" s="6">
        <f t="shared" si="69"/>
        <v>-1.0790000000000521E-3</v>
      </c>
      <c r="G625" s="6">
        <f t="shared" si="65"/>
        <v>1002.8609001339059</v>
      </c>
      <c r="H625" s="7">
        <f t="shared" si="66"/>
        <v>1.6985297806168287E-12</v>
      </c>
      <c r="I625" s="8" t="str">
        <f t="shared" si="67"/>
        <v/>
      </c>
    </row>
    <row r="626" spans="1:9" x14ac:dyDescent="0.2">
      <c r="A626" s="5">
        <v>352</v>
      </c>
      <c r="B626" s="6">
        <v>2.615386</v>
      </c>
      <c r="C626" s="6">
        <f t="shared" si="63"/>
        <v>2.5813860000000002</v>
      </c>
      <c r="D626" s="6">
        <f t="shared" si="64"/>
        <v>908.64787200000001</v>
      </c>
      <c r="E626" s="6">
        <f t="shared" si="68"/>
        <v>-1266.4392059999998</v>
      </c>
      <c r="F626" s="6">
        <f t="shared" si="69"/>
        <v>-4.5174999999997301E-4</v>
      </c>
      <c r="G626" s="6">
        <f t="shared" si="65"/>
        <v>1002.7225120349171</v>
      </c>
      <c r="H626" s="7">
        <f t="shared" si="66"/>
        <v>4.056360223703535E-12</v>
      </c>
      <c r="I626" s="8" t="str">
        <f t="shared" si="67"/>
        <v/>
      </c>
    </row>
    <row r="627" spans="1:9" x14ac:dyDescent="0.2">
      <c r="A627" s="5">
        <v>350</v>
      </c>
      <c r="B627" s="6">
        <v>2.6158250000000001</v>
      </c>
      <c r="C627" s="6">
        <f t="shared" si="63"/>
        <v>2.5818250000000003</v>
      </c>
      <c r="D627" s="6">
        <f t="shared" si="64"/>
        <v>903.63875000000007</v>
      </c>
      <c r="E627" s="6">
        <f t="shared" si="68"/>
        <v>-1271.6024169999998</v>
      </c>
      <c r="F627" s="6">
        <f t="shared" si="69"/>
        <v>-9.8675000000003621E-4</v>
      </c>
      <c r="G627" s="6">
        <f t="shared" si="65"/>
        <v>1002.6772244037357</v>
      </c>
      <c r="H627" s="7">
        <f t="shared" si="66"/>
        <v>1.8569829932343667E-12</v>
      </c>
      <c r="I627" s="8" t="str">
        <f t="shared" si="67"/>
        <v/>
      </c>
    </row>
    <row r="628" spans="1:9" x14ac:dyDescent="0.2">
      <c r="A628" s="5">
        <v>348</v>
      </c>
      <c r="B628" s="6">
        <v>2.6193330000000001</v>
      </c>
      <c r="C628" s="6">
        <f t="shared" si="63"/>
        <v>2.5853330000000003</v>
      </c>
      <c r="D628" s="6">
        <f t="shared" si="64"/>
        <v>899.69588400000009</v>
      </c>
      <c r="E628" s="6">
        <f t="shared" si="68"/>
        <v>-1276.7695749999998</v>
      </c>
      <c r="F628" s="6">
        <f t="shared" si="69"/>
        <v>-1.2762499999999788E-3</v>
      </c>
      <c r="G628" s="6">
        <f t="shared" si="65"/>
        <v>1002.3083199978494</v>
      </c>
      <c r="H628" s="7">
        <f t="shared" si="66"/>
        <v>1.4352233505705704E-12</v>
      </c>
      <c r="I628" s="8" t="str">
        <f t="shared" si="67"/>
        <v/>
      </c>
    </row>
    <row r="629" spans="1:9" x14ac:dyDescent="0.2">
      <c r="A629" s="5">
        <v>346</v>
      </c>
      <c r="B629" s="6">
        <v>2.62093</v>
      </c>
      <c r="C629" s="6">
        <f t="shared" si="63"/>
        <v>2.5869300000000002</v>
      </c>
      <c r="D629" s="6">
        <f t="shared" si="64"/>
        <v>895.07778000000008</v>
      </c>
      <c r="E629" s="6">
        <f t="shared" si="68"/>
        <v>-1281.9418379999997</v>
      </c>
      <c r="F629" s="6">
        <f t="shared" si="69"/>
        <v>-6.3174999999993098E-4</v>
      </c>
      <c r="G629" s="6">
        <f t="shared" si="65"/>
        <v>1002.1371840548046</v>
      </c>
      <c r="H629" s="7">
        <f t="shared" si="66"/>
        <v>2.8989173767027049E-12</v>
      </c>
      <c r="I629" s="8" t="str">
        <f t="shared" si="67"/>
        <v/>
      </c>
    </row>
    <row r="630" spans="1:9" x14ac:dyDescent="0.2">
      <c r="A630" s="5">
        <v>344</v>
      </c>
      <c r="B630" s="6">
        <v>2.6218599999999999</v>
      </c>
      <c r="C630" s="6">
        <f t="shared" si="63"/>
        <v>2.58786</v>
      </c>
      <c r="D630" s="6">
        <f t="shared" si="64"/>
        <v>890.22384</v>
      </c>
      <c r="E630" s="6">
        <f t="shared" si="68"/>
        <v>-1287.1166279999998</v>
      </c>
      <c r="F630" s="6">
        <f t="shared" si="69"/>
        <v>-7.4549999999995453E-4</v>
      </c>
      <c r="G630" s="6">
        <f t="shared" si="65"/>
        <v>1002.0356644261062</v>
      </c>
      <c r="H630" s="7">
        <f t="shared" si="66"/>
        <v>2.456345442112145E-12</v>
      </c>
      <c r="I630" s="8" t="str">
        <f t="shared" si="67"/>
        <v/>
      </c>
    </row>
    <row r="631" spans="1:9" x14ac:dyDescent="0.2">
      <c r="A631" s="5">
        <v>342</v>
      </c>
      <c r="B631" s="6">
        <v>2.6239119999999998</v>
      </c>
      <c r="C631" s="6">
        <f t="shared" si="63"/>
        <v>2.589912</v>
      </c>
      <c r="D631" s="6">
        <f t="shared" si="64"/>
        <v>885.74990400000002</v>
      </c>
      <c r="E631" s="6">
        <f t="shared" si="68"/>
        <v>-1292.2943999999998</v>
      </c>
      <c r="F631" s="6">
        <f t="shared" si="69"/>
        <v>-6.5350000000008457E-4</v>
      </c>
      <c r="G631" s="6">
        <f t="shared" si="65"/>
        <v>1001.807562277623</v>
      </c>
      <c r="H631" s="7">
        <f t="shared" si="66"/>
        <v>2.8015128902107564E-12</v>
      </c>
      <c r="I631" s="8" t="str">
        <f t="shared" si="67"/>
        <v/>
      </c>
    </row>
    <row r="632" spans="1:9" x14ac:dyDescent="0.2">
      <c r="A632" s="5">
        <v>340</v>
      </c>
      <c r="B632" s="6">
        <v>2.6244740000000002</v>
      </c>
      <c r="C632" s="6">
        <f t="shared" si="63"/>
        <v>2.5904740000000004</v>
      </c>
      <c r="D632" s="6">
        <f t="shared" si="64"/>
        <v>880.76116000000013</v>
      </c>
      <c r="E632" s="6">
        <f t="shared" si="68"/>
        <v>-1297.4747859999998</v>
      </c>
      <c r="F632" s="6">
        <f t="shared" si="69"/>
        <v>-5.3075000000002426E-4</v>
      </c>
      <c r="G632" s="6">
        <f t="shared" si="65"/>
        <v>1001.7439658568396</v>
      </c>
      <c r="H632" s="7">
        <f t="shared" si="66"/>
        <v>3.4492179975952387E-12</v>
      </c>
      <c r="I632" s="8" t="str">
        <f t="shared" si="67"/>
        <v/>
      </c>
    </row>
    <row r="633" spans="1:9" x14ac:dyDescent="0.2">
      <c r="A633" s="5">
        <v>338</v>
      </c>
      <c r="B633" s="6">
        <v>2.6260349999999999</v>
      </c>
      <c r="C633" s="6">
        <f t="shared" si="63"/>
        <v>2.5920350000000001</v>
      </c>
      <c r="D633" s="6">
        <f t="shared" si="64"/>
        <v>876.10783000000004</v>
      </c>
      <c r="E633" s="6">
        <f t="shared" si="68"/>
        <v>-1302.6572949999997</v>
      </c>
      <c r="F633" s="6">
        <f t="shared" si="69"/>
        <v>-6.7099999999997717E-4</v>
      </c>
      <c r="G633" s="6">
        <f t="shared" si="65"/>
        <v>1001.5641997058735</v>
      </c>
      <c r="H633" s="7">
        <f t="shared" si="66"/>
        <v>2.7277852939062422E-12</v>
      </c>
      <c r="I633" s="8" t="str">
        <f t="shared" si="67"/>
        <v/>
      </c>
    </row>
    <row r="634" spans="1:9" x14ac:dyDescent="0.2">
      <c r="A634" s="5">
        <v>336</v>
      </c>
      <c r="B634" s="6">
        <v>2.6271580000000001</v>
      </c>
      <c r="C634" s="6">
        <f t="shared" si="63"/>
        <v>2.5931580000000003</v>
      </c>
      <c r="D634" s="6">
        <f t="shared" si="64"/>
        <v>871.30108800000005</v>
      </c>
      <c r="E634" s="6">
        <f t="shared" si="68"/>
        <v>-1307.8424879999998</v>
      </c>
      <c r="F634" s="6">
        <f t="shared" si="69"/>
        <v>-1.0045000000000748E-3</v>
      </c>
      <c r="G634" s="6">
        <f t="shared" si="65"/>
        <v>1001.4326280251978</v>
      </c>
      <c r="H634" s="7">
        <f t="shared" si="66"/>
        <v>1.821904914771546E-12</v>
      </c>
      <c r="I634" s="8" t="str">
        <f t="shared" si="67"/>
        <v/>
      </c>
    </row>
    <row r="635" spans="1:9" x14ac:dyDescent="0.2">
      <c r="A635" s="5">
        <v>334</v>
      </c>
      <c r="B635" s="6">
        <v>2.6300530000000002</v>
      </c>
      <c r="C635" s="6">
        <f t="shared" si="63"/>
        <v>2.5960530000000004</v>
      </c>
      <c r="D635" s="6">
        <f t="shared" si="64"/>
        <v>867.08170200000018</v>
      </c>
      <c r="E635" s="6">
        <f t="shared" si="68"/>
        <v>-1313.0316989999997</v>
      </c>
      <c r="F635" s="6">
        <f t="shared" si="69"/>
        <v>-1.359499999999958E-3</v>
      </c>
      <c r="G635" s="6">
        <f t="shared" si="65"/>
        <v>1001.0876572455395</v>
      </c>
      <c r="H635" s="7">
        <f t="shared" si="66"/>
        <v>1.3456955188170778E-12</v>
      </c>
      <c r="I635" s="8" t="str">
        <f t="shared" si="67"/>
        <v/>
      </c>
    </row>
    <row r="636" spans="1:9" x14ac:dyDescent="0.2">
      <c r="A636" s="5">
        <v>332</v>
      </c>
      <c r="B636" s="6">
        <v>2.6325959999999999</v>
      </c>
      <c r="C636" s="6">
        <f t="shared" si="63"/>
        <v>2.5985960000000001</v>
      </c>
      <c r="D636" s="6">
        <f t="shared" si="64"/>
        <v>862.73387200000002</v>
      </c>
      <c r="E636" s="6">
        <f t="shared" si="68"/>
        <v>-1318.2263479999997</v>
      </c>
      <c r="F636" s="6">
        <f t="shared" si="69"/>
        <v>-1.1402499999999538E-3</v>
      </c>
      <c r="G636" s="6">
        <f t="shared" si="65"/>
        <v>1000.7795450995393</v>
      </c>
      <c r="H636" s="7">
        <f t="shared" si="66"/>
        <v>1.6039552619071107E-12</v>
      </c>
      <c r="I636" s="8" t="str">
        <f t="shared" si="67"/>
        <v/>
      </c>
    </row>
    <row r="637" spans="1:9" x14ac:dyDescent="0.2">
      <c r="A637" s="5">
        <v>330</v>
      </c>
      <c r="B637" s="6">
        <v>2.634614</v>
      </c>
      <c r="C637" s="6">
        <f t="shared" si="63"/>
        <v>2.6006140000000002</v>
      </c>
      <c r="D637" s="6">
        <f t="shared" si="64"/>
        <v>858.20262000000002</v>
      </c>
      <c r="E637" s="6">
        <f t="shared" si="68"/>
        <v>-1323.4255579999997</v>
      </c>
      <c r="F637" s="6">
        <f t="shared" si="69"/>
        <v>-9.0374999999998096E-4</v>
      </c>
      <c r="G637" s="6">
        <f t="shared" si="65"/>
        <v>1000.5310064213525</v>
      </c>
      <c r="H637" s="7">
        <f t="shared" si="66"/>
        <v>2.0231875923527163E-12</v>
      </c>
      <c r="I637" s="8" t="str">
        <f t="shared" si="67"/>
        <v/>
      </c>
    </row>
    <row r="638" spans="1:9" x14ac:dyDescent="0.2">
      <c r="A638" s="5">
        <v>328</v>
      </c>
      <c r="B638" s="6">
        <v>2.6362109999999999</v>
      </c>
      <c r="C638" s="6">
        <f t="shared" si="63"/>
        <v>2.6022110000000001</v>
      </c>
      <c r="D638" s="6">
        <f t="shared" si="64"/>
        <v>853.52520800000002</v>
      </c>
      <c r="E638" s="6">
        <f t="shared" si="68"/>
        <v>-1328.6283829999998</v>
      </c>
      <c r="F638" s="6">
        <f t="shared" si="69"/>
        <v>-8.8599999999994239E-4</v>
      </c>
      <c r="G638" s="6">
        <f t="shared" si="65"/>
        <v>1000.331124478308</v>
      </c>
      <c r="H638" s="7">
        <f t="shared" si="66"/>
        <v>2.0633075680137523E-12</v>
      </c>
      <c r="I638" s="8" t="str">
        <f t="shared" si="67"/>
        <v/>
      </c>
    </row>
    <row r="639" spans="1:9" x14ac:dyDescent="0.2">
      <c r="A639" s="5">
        <v>326</v>
      </c>
      <c r="B639" s="6">
        <v>2.6381579999999998</v>
      </c>
      <c r="C639" s="6">
        <f t="shared" si="63"/>
        <v>2.604158</v>
      </c>
      <c r="D639" s="6">
        <f t="shared" si="64"/>
        <v>848.95550800000001</v>
      </c>
      <c r="E639" s="6">
        <f t="shared" si="68"/>
        <v>-1333.8347519999998</v>
      </c>
      <c r="F639" s="6">
        <f t="shared" si="69"/>
        <v>-1.0612500000000136E-3</v>
      </c>
      <c r="G639" s="6">
        <f t="shared" si="65"/>
        <v>1000.0835422233876</v>
      </c>
      <c r="H639" s="7">
        <f t="shared" si="66"/>
        <v>1.7221559974641216E-12</v>
      </c>
      <c r="I639" s="8" t="str">
        <f t="shared" si="67"/>
        <v/>
      </c>
    </row>
    <row r="640" spans="1:9" x14ac:dyDescent="0.2">
      <c r="A640" s="5">
        <v>324</v>
      </c>
      <c r="B640" s="6">
        <v>2.6404559999999999</v>
      </c>
      <c r="C640" s="6">
        <f t="shared" si="63"/>
        <v>2.6064560000000001</v>
      </c>
      <c r="D640" s="6">
        <f t="shared" si="64"/>
        <v>844.49174400000004</v>
      </c>
      <c r="E640" s="6">
        <f t="shared" si="68"/>
        <v>-1339.0453659999998</v>
      </c>
      <c r="F640" s="6">
        <f t="shared" si="69"/>
        <v>-1.6490000000000116E-3</v>
      </c>
      <c r="G640" s="6">
        <f t="shared" si="65"/>
        <v>999.78673049570034</v>
      </c>
      <c r="H640" s="7">
        <f t="shared" si="66"/>
        <v>1.108002203284302E-12</v>
      </c>
      <c r="I640" s="8" t="str">
        <f t="shared" si="67"/>
        <v/>
      </c>
    </row>
    <row r="641" spans="1:9" x14ac:dyDescent="0.2">
      <c r="A641" s="5">
        <v>322</v>
      </c>
      <c r="B641" s="6">
        <v>2.6447539999999998</v>
      </c>
      <c r="C641" s="6">
        <f t="shared" si="63"/>
        <v>2.610754</v>
      </c>
      <c r="D641" s="6">
        <f t="shared" si="64"/>
        <v>840.66278799999998</v>
      </c>
      <c r="E641" s="6">
        <f t="shared" si="68"/>
        <v>-1344.2625759999999</v>
      </c>
      <c r="F641" s="6">
        <f t="shared" si="69"/>
        <v>-1.3422499999999893E-3</v>
      </c>
      <c r="G641" s="6">
        <f t="shared" si="65"/>
        <v>999.22300098586584</v>
      </c>
      <c r="H641" s="7">
        <f t="shared" si="66"/>
        <v>1.3604510529173242E-12</v>
      </c>
      <c r="I641" s="8" t="str">
        <f t="shared" si="67"/>
        <v/>
      </c>
    </row>
    <row r="642" spans="1:9" x14ac:dyDescent="0.2">
      <c r="A642" s="5">
        <v>320</v>
      </c>
      <c r="B642" s="6">
        <v>2.6458249999999999</v>
      </c>
      <c r="C642" s="6">
        <f t="shared" ref="C642:C705" si="70">B642-$B$2</f>
        <v>2.6118250000000001</v>
      </c>
      <c r="D642" s="6">
        <f t="shared" ref="D642:D705" si="71">A642*C642</f>
        <v>835.78399999999999</v>
      </c>
      <c r="E642" s="6">
        <f t="shared" si="68"/>
        <v>-1349.4851549999998</v>
      </c>
      <c r="F642" s="6">
        <f t="shared" si="69"/>
        <v>-7.5449999999999129E-4</v>
      </c>
      <c r="G642" s="6">
        <f t="shared" ref="G642:G705" si="72">(A642-$L$5)*C642-E642</f>
        <v>999.08038567152585</v>
      </c>
      <c r="H642" s="7">
        <f t="shared" ref="H642:H705" si="73">IF(ABS(F642)&lt;0.000000001,"",-(G642)/(2*$L$4*F642)*0.000000000001)</f>
        <v>2.4198870753828332E-12</v>
      </c>
      <c r="I642" s="8" t="str">
        <f t="shared" ref="I642:I705" si="74">IF(AND(B642&gt;=0.5,B642&lt;=2.5,ISNUMBER(H642),H642&gt;0),H642,"")</f>
        <v/>
      </c>
    </row>
    <row r="643" spans="1:9" x14ac:dyDescent="0.2">
      <c r="A643" s="5">
        <v>318</v>
      </c>
      <c r="B643" s="6">
        <v>2.6477719999999998</v>
      </c>
      <c r="C643" s="6">
        <f t="shared" si="70"/>
        <v>2.613772</v>
      </c>
      <c r="D643" s="6">
        <f t="shared" si="71"/>
        <v>831.17949599999997</v>
      </c>
      <c r="E643" s="6">
        <f t="shared" ref="E643:E706" si="75">E642+(C642+C643)/2*(A643-A642)</f>
        <v>-1354.710752</v>
      </c>
      <c r="F643" s="6">
        <f t="shared" ref="F643:F706" si="76">(B644-B642)/(A644-A642)</f>
        <v>-8.8149999999997952E-4</v>
      </c>
      <c r="G643" s="6">
        <f t="shared" si="72"/>
        <v>998.81722741660565</v>
      </c>
      <c r="H643" s="7">
        <f t="shared" si="73"/>
        <v>2.0707020765885935E-12</v>
      </c>
      <c r="I643" s="8" t="str">
        <f t="shared" si="74"/>
        <v/>
      </c>
    </row>
    <row r="644" spans="1:9" x14ac:dyDescent="0.2">
      <c r="A644" s="5">
        <v>316</v>
      </c>
      <c r="B644" s="6">
        <v>2.6493509999999998</v>
      </c>
      <c r="C644" s="6">
        <f t="shared" si="70"/>
        <v>2.615351</v>
      </c>
      <c r="D644" s="6">
        <f t="shared" si="71"/>
        <v>826.45091600000001</v>
      </c>
      <c r="E644" s="6">
        <f t="shared" si="75"/>
        <v>-1359.939875</v>
      </c>
      <c r="F644" s="6">
        <f t="shared" si="76"/>
        <v>-5.4375000000006501E-4</v>
      </c>
      <c r="G644" s="6">
        <f t="shared" si="72"/>
        <v>998.60065036960032</v>
      </c>
      <c r="H644" s="7">
        <f t="shared" si="73"/>
        <v>3.3561895891963469E-12</v>
      </c>
      <c r="I644" s="8" t="str">
        <f t="shared" si="74"/>
        <v/>
      </c>
    </row>
    <row r="645" spans="1:9" x14ac:dyDescent="0.2">
      <c r="A645" s="5">
        <v>314</v>
      </c>
      <c r="B645" s="6">
        <v>2.6499470000000001</v>
      </c>
      <c r="C645" s="6">
        <f t="shared" si="70"/>
        <v>2.6159470000000002</v>
      </c>
      <c r="D645" s="6">
        <f t="shared" si="71"/>
        <v>821.40735800000004</v>
      </c>
      <c r="E645" s="6">
        <f t="shared" si="75"/>
        <v>-1365.171173</v>
      </c>
      <c r="F645" s="6">
        <f t="shared" si="76"/>
        <v>-6.0525000000000162E-4</v>
      </c>
      <c r="G645" s="6">
        <f t="shared" si="72"/>
        <v>998.51771047852026</v>
      </c>
      <c r="H645" s="7">
        <f t="shared" si="73"/>
        <v>3.0149137012595608E-12</v>
      </c>
      <c r="I645" s="8" t="str">
        <f t="shared" si="74"/>
        <v/>
      </c>
    </row>
    <row r="646" spans="1:9" x14ac:dyDescent="0.2">
      <c r="A646" s="5">
        <v>312</v>
      </c>
      <c r="B646" s="6">
        <v>2.6517719999999998</v>
      </c>
      <c r="C646" s="6">
        <f t="shared" si="70"/>
        <v>2.617772</v>
      </c>
      <c r="D646" s="6">
        <f t="shared" si="71"/>
        <v>816.74486400000001</v>
      </c>
      <c r="E646" s="6">
        <f t="shared" si="75"/>
        <v>-1370.404892</v>
      </c>
      <c r="F646" s="6">
        <f t="shared" si="76"/>
        <v>9.1999999999980986E-5</v>
      </c>
      <c r="G646" s="6">
        <f t="shared" si="72"/>
        <v>998.26009185231101</v>
      </c>
      <c r="H646" s="7">
        <f t="shared" si="73"/>
        <v>-1.9829410037116175E-11</v>
      </c>
      <c r="I646" s="8" t="str">
        <f t="shared" si="74"/>
        <v/>
      </c>
    </row>
    <row r="647" spans="1:9" x14ac:dyDescent="0.2">
      <c r="A647" s="5">
        <v>310</v>
      </c>
      <c r="B647" s="6">
        <v>2.6495790000000001</v>
      </c>
      <c r="C647" s="6">
        <f t="shared" si="70"/>
        <v>2.6155790000000003</v>
      </c>
      <c r="D647" s="6">
        <f t="shared" si="71"/>
        <v>810.82949000000008</v>
      </c>
      <c r="E647" s="6">
        <f t="shared" si="75"/>
        <v>-1375.6382430000001</v>
      </c>
      <c r="F647" s="6">
        <f t="shared" si="76"/>
        <v>1.4024999999995291E-4</v>
      </c>
      <c r="G647" s="6">
        <f t="shared" si="72"/>
        <v>998.57404368643552</v>
      </c>
      <c r="H647" s="7">
        <f t="shared" si="73"/>
        <v>-1.3011618294487324E-11</v>
      </c>
      <c r="I647" s="8" t="str">
        <f t="shared" si="74"/>
        <v/>
      </c>
    </row>
    <row r="648" spans="1:9" x14ac:dyDescent="0.2">
      <c r="A648" s="5">
        <v>308</v>
      </c>
      <c r="B648" s="6">
        <v>2.651211</v>
      </c>
      <c r="C648" s="6">
        <f t="shared" si="70"/>
        <v>2.6172110000000002</v>
      </c>
      <c r="D648" s="6">
        <f t="shared" si="71"/>
        <v>806.10098800000003</v>
      </c>
      <c r="E648" s="6">
        <f t="shared" si="75"/>
        <v>-1380.8710330000001</v>
      </c>
      <c r="F648" s="6">
        <f t="shared" si="76"/>
        <v>-9.1224999999994782E-4</v>
      </c>
      <c r="G648" s="6">
        <f t="shared" si="72"/>
        <v>998.33714111220343</v>
      </c>
      <c r="H648" s="7">
        <f t="shared" si="73"/>
        <v>1.9999413864734641E-12</v>
      </c>
      <c r="I648" s="8" t="str">
        <f t="shared" si="74"/>
        <v/>
      </c>
    </row>
    <row r="649" spans="1:9" x14ac:dyDescent="0.2">
      <c r="A649" s="5">
        <v>306</v>
      </c>
      <c r="B649" s="6">
        <v>2.6532279999999999</v>
      </c>
      <c r="C649" s="6">
        <f t="shared" si="70"/>
        <v>2.6192280000000001</v>
      </c>
      <c r="D649" s="6">
        <f t="shared" si="71"/>
        <v>801.48376800000005</v>
      </c>
      <c r="E649" s="6">
        <f t="shared" si="75"/>
        <v>-1386.1074720000001</v>
      </c>
      <c r="F649" s="6">
        <f t="shared" si="76"/>
        <v>-7.8924999999996359E-4</v>
      </c>
      <c r="G649" s="6">
        <f t="shared" si="72"/>
        <v>998.04031759490783</v>
      </c>
      <c r="H649" s="7">
        <f t="shared" si="73"/>
        <v>2.3109332773798733E-12</v>
      </c>
      <c r="I649" s="8" t="str">
        <f t="shared" si="74"/>
        <v/>
      </c>
    </row>
    <row r="650" spans="1:9" x14ac:dyDescent="0.2">
      <c r="A650" s="5">
        <v>304</v>
      </c>
      <c r="B650" s="6">
        <v>2.6543679999999998</v>
      </c>
      <c r="C650" s="6">
        <f t="shared" si="70"/>
        <v>2.620368</v>
      </c>
      <c r="D650" s="6">
        <f t="shared" si="71"/>
        <v>796.59187199999997</v>
      </c>
      <c r="E650" s="6">
        <f t="shared" si="75"/>
        <v>-1391.347068</v>
      </c>
      <c r="F650" s="6">
        <f t="shared" si="76"/>
        <v>-9.8675000000003621E-4</v>
      </c>
      <c r="G650" s="6">
        <f t="shared" si="72"/>
        <v>997.87027417908371</v>
      </c>
      <c r="H650" s="7">
        <f t="shared" si="73"/>
        <v>1.848080402650631E-12</v>
      </c>
      <c r="I650" s="8" t="str">
        <f t="shared" si="74"/>
        <v/>
      </c>
    </row>
    <row r="651" spans="1:9" x14ac:dyDescent="0.2">
      <c r="A651" s="5">
        <v>302</v>
      </c>
      <c r="B651" s="6">
        <v>2.6571750000000001</v>
      </c>
      <c r="C651" s="6">
        <f t="shared" si="70"/>
        <v>2.6231750000000003</v>
      </c>
      <c r="D651" s="6">
        <f t="shared" si="71"/>
        <v>792.19885000000011</v>
      </c>
      <c r="E651" s="6">
        <f t="shared" si="75"/>
        <v>-1396.5906110000001</v>
      </c>
      <c r="F651" s="6">
        <f t="shared" si="76"/>
        <v>-7.8074999999999672E-4</v>
      </c>
      <c r="G651" s="6">
        <f t="shared" si="72"/>
        <v>997.44596555784005</v>
      </c>
      <c r="H651" s="7">
        <f t="shared" si="73"/>
        <v>2.3347011457106683E-12</v>
      </c>
      <c r="I651" s="8" t="str">
        <f t="shared" si="74"/>
        <v/>
      </c>
    </row>
    <row r="652" spans="1:9" x14ac:dyDescent="0.2">
      <c r="A652" s="5">
        <v>300</v>
      </c>
      <c r="B652" s="6">
        <v>2.6574909999999998</v>
      </c>
      <c r="C652" s="6">
        <f t="shared" si="70"/>
        <v>2.623491</v>
      </c>
      <c r="D652" s="6">
        <f t="shared" si="71"/>
        <v>787.04729999999995</v>
      </c>
      <c r="E652" s="6">
        <f t="shared" si="75"/>
        <v>-1401.8372770000001</v>
      </c>
      <c r="F652" s="6">
        <f t="shared" si="76"/>
        <v>-1.7124999999995616E-4</v>
      </c>
      <c r="G652" s="6">
        <f t="shared" si="72"/>
        <v>997.39756671626071</v>
      </c>
      <c r="H652" s="7">
        <f t="shared" si="73"/>
        <v>1.0643675745043284E-11</v>
      </c>
      <c r="I652" s="8" t="str">
        <f t="shared" si="74"/>
        <v/>
      </c>
    </row>
    <row r="653" spans="1:9" x14ac:dyDescent="0.2">
      <c r="A653" s="5">
        <v>298</v>
      </c>
      <c r="B653" s="6">
        <v>2.6578599999999999</v>
      </c>
      <c r="C653" s="6">
        <f t="shared" si="70"/>
        <v>2.6238600000000001</v>
      </c>
      <c r="D653" s="6">
        <f t="shared" si="71"/>
        <v>781.91028000000006</v>
      </c>
      <c r="E653" s="6">
        <f t="shared" si="75"/>
        <v>-1407.0846280000001</v>
      </c>
      <c r="F653" s="6">
        <f t="shared" si="76"/>
        <v>-3.9925000000007316E-4</v>
      </c>
      <c r="G653" s="6">
        <f t="shared" si="72"/>
        <v>997.34031234745453</v>
      </c>
      <c r="H653" s="7">
        <f t="shared" si="73"/>
        <v>4.5651217027324248E-12</v>
      </c>
      <c r="I653" s="8" t="str">
        <f t="shared" si="74"/>
        <v/>
      </c>
    </row>
    <row r="654" spans="1:9" x14ac:dyDescent="0.2">
      <c r="A654" s="5">
        <v>296</v>
      </c>
      <c r="B654" s="6">
        <v>2.6590880000000001</v>
      </c>
      <c r="C654" s="6">
        <f t="shared" si="70"/>
        <v>2.6250880000000003</v>
      </c>
      <c r="D654" s="6">
        <f t="shared" si="71"/>
        <v>777.02604800000006</v>
      </c>
      <c r="E654" s="6">
        <f t="shared" si="75"/>
        <v>-1412.333576</v>
      </c>
      <c r="F654" s="6">
        <f t="shared" si="76"/>
        <v>-3.4650000000002734E-4</v>
      </c>
      <c r="G654" s="6">
        <f t="shared" si="72"/>
        <v>997.14731877321594</v>
      </c>
      <c r="H654" s="7">
        <f t="shared" si="73"/>
        <v>5.259082674980471E-12</v>
      </c>
      <c r="I654" s="8" t="str">
        <f t="shared" si="74"/>
        <v/>
      </c>
    </row>
    <row r="655" spans="1:9" x14ac:dyDescent="0.2">
      <c r="A655" s="5">
        <v>294</v>
      </c>
      <c r="B655" s="6">
        <v>2.659246</v>
      </c>
      <c r="C655" s="6">
        <f t="shared" si="70"/>
        <v>2.6252460000000002</v>
      </c>
      <c r="D655" s="6">
        <f t="shared" si="71"/>
        <v>771.82232400000009</v>
      </c>
      <c r="E655" s="6">
        <f t="shared" si="75"/>
        <v>-1417.5839100000001</v>
      </c>
      <c r="F655" s="6">
        <f t="shared" si="76"/>
        <v>4.8250000000082949E-5</v>
      </c>
      <c r="G655" s="6">
        <f t="shared" si="72"/>
        <v>997.12217135242645</v>
      </c>
      <c r="H655" s="7">
        <f t="shared" si="73"/>
        <v>-3.7766345913656038E-11</v>
      </c>
      <c r="I655" s="8" t="str">
        <f t="shared" si="74"/>
        <v/>
      </c>
    </row>
    <row r="656" spans="1:9" x14ac:dyDescent="0.2">
      <c r="A656" s="5">
        <v>292</v>
      </c>
      <c r="B656" s="6">
        <v>2.6588949999999998</v>
      </c>
      <c r="C656" s="6">
        <f t="shared" si="70"/>
        <v>2.624895</v>
      </c>
      <c r="D656" s="6">
        <f t="shared" si="71"/>
        <v>766.46933999999999</v>
      </c>
      <c r="E656" s="6">
        <f t="shared" si="75"/>
        <v>-1422.834051</v>
      </c>
      <c r="F656" s="6">
        <f t="shared" si="76"/>
        <v>-2.8050000000001685E-4</v>
      </c>
      <c r="G656" s="6">
        <f t="shared" si="72"/>
        <v>997.17873882519325</v>
      </c>
      <c r="H656" s="7">
        <f t="shared" si="73"/>
        <v>6.4967185973846659E-12</v>
      </c>
      <c r="I656" s="8" t="str">
        <f t="shared" si="74"/>
        <v/>
      </c>
    </row>
    <row r="657" spans="1:9" x14ac:dyDescent="0.2">
      <c r="A657" s="5">
        <v>290</v>
      </c>
      <c r="B657" s="6">
        <v>2.6603680000000001</v>
      </c>
      <c r="C657" s="6">
        <f t="shared" si="70"/>
        <v>2.6263680000000003</v>
      </c>
      <c r="D657" s="6">
        <f t="shared" si="71"/>
        <v>761.64672000000007</v>
      </c>
      <c r="E657" s="6">
        <f t="shared" si="75"/>
        <v>-1428.0853140000002</v>
      </c>
      <c r="F657" s="6">
        <f t="shared" si="76"/>
        <v>-1.0920000000000929E-3</v>
      </c>
      <c r="G657" s="6">
        <f t="shared" si="72"/>
        <v>996.93840283264183</v>
      </c>
      <c r="H657" s="7">
        <f t="shared" si="73"/>
        <v>1.6683977619538913E-12</v>
      </c>
      <c r="I657" s="8" t="str">
        <f t="shared" si="74"/>
        <v/>
      </c>
    </row>
    <row r="658" spans="1:9" x14ac:dyDescent="0.2">
      <c r="A658" s="5">
        <v>288</v>
      </c>
      <c r="B658" s="6">
        <v>2.6632630000000002</v>
      </c>
      <c r="C658" s="6">
        <f t="shared" si="70"/>
        <v>2.6292630000000003</v>
      </c>
      <c r="D658" s="6">
        <f t="shared" si="71"/>
        <v>757.22774400000014</v>
      </c>
      <c r="E658" s="6">
        <f t="shared" si="75"/>
        <v>-1433.3409450000001</v>
      </c>
      <c r="F658" s="6">
        <f t="shared" si="76"/>
        <v>-2.1010000000000195E-3</v>
      </c>
      <c r="G658" s="6">
        <f t="shared" si="72"/>
        <v>996.46026205298358</v>
      </c>
      <c r="H658" s="7">
        <f t="shared" si="73"/>
        <v>8.6673801083737461E-13</v>
      </c>
      <c r="I658" s="8" t="str">
        <f t="shared" si="74"/>
        <v/>
      </c>
    </row>
    <row r="659" spans="1:9" x14ac:dyDescent="0.2">
      <c r="A659" s="5">
        <v>286</v>
      </c>
      <c r="B659" s="6">
        <v>2.6687720000000001</v>
      </c>
      <c r="C659" s="6">
        <f t="shared" si="70"/>
        <v>2.6347720000000003</v>
      </c>
      <c r="D659" s="6">
        <f t="shared" si="71"/>
        <v>753.54479200000014</v>
      </c>
      <c r="E659" s="6">
        <f t="shared" si="75"/>
        <v>-1438.6049800000001</v>
      </c>
      <c r="F659" s="6">
        <f t="shared" si="76"/>
        <v>-1.403500000000002E-3</v>
      </c>
      <c r="G659" s="6">
        <f t="shared" si="72"/>
        <v>995.53937270405868</v>
      </c>
      <c r="H659" s="7">
        <f t="shared" si="73"/>
        <v>1.2962833266458662E-12</v>
      </c>
      <c r="I659" s="8" t="str">
        <f t="shared" si="74"/>
        <v/>
      </c>
    </row>
    <row r="660" spans="1:9" x14ac:dyDescent="0.2">
      <c r="A660" s="5">
        <v>284</v>
      </c>
      <c r="B660" s="6">
        <v>2.6688770000000002</v>
      </c>
      <c r="C660" s="6">
        <f t="shared" si="70"/>
        <v>2.6348770000000004</v>
      </c>
      <c r="D660" s="6">
        <f t="shared" si="71"/>
        <v>748.30506800000012</v>
      </c>
      <c r="E660" s="6">
        <f t="shared" si="75"/>
        <v>-1443.8746290000001</v>
      </c>
      <c r="F660" s="6">
        <f t="shared" si="76"/>
        <v>-6.8849999999998079E-4</v>
      </c>
      <c r="G660" s="6">
        <f t="shared" si="72"/>
        <v>995.52161081049599</v>
      </c>
      <c r="H660" s="7">
        <f t="shared" si="73"/>
        <v>2.642412765935682E-12</v>
      </c>
      <c r="I660" s="8" t="str">
        <f t="shared" si="74"/>
        <v/>
      </c>
    </row>
    <row r="661" spans="1:9" x14ac:dyDescent="0.2">
      <c r="A661" s="5">
        <v>282</v>
      </c>
      <c r="B661" s="6">
        <v>2.6715260000000001</v>
      </c>
      <c r="C661" s="6">
        <f t="shared" si="70"/>
        <v>2.6375260000000003</v>
      </c>
      <c r="D661" s="6">
        <f t="shared" si="71"/>
        <v>743.78233200000011</v>
      </c>
      <c r="E661" s="6">
        <f t="shared" si="75"/>
        <v>-1449.1470320000001</v>
      </c>
      <c r="F661" s="6">
        <f t="shared" si="76"/>
        <v>-1.1447499999999167E-3</v>
      </c>
      <c r="G661" s="6">
        <f t="shared" si="72"/>
        <v>995.06820561004179</v>
      </c>
      <c r="H661" s="7">
        <f t="shared" si="73"/>
        <v>1.5885325162452064E-12</v>
      </c>
      <c r="I661" s="8" t="str">
        <f t="shared" si="74"/>
        <v/>
      </c>
    </row>
    <row r="662" spans="1:9" x14ac:dyDescent="0.2">
      <c r="A662" s="5">
        <v>280</v>
      </c>
      <c r="B662" s="6">
        <v>2.6734559999999998</v>
      </c>
      <c r="C662" s="6">
        <f t="shared" si="70"/>
        <v>2.639456</v>
      </c>
      <c r="D662" s="6">
        <f t="shared" si="71"/>
        <v>739.04768000000001</v>
      </c>
      <c r="E662" s="6">
        <f t="shared" si="75"/>
        <v>-1454.4240140000002</v>
      </c>
      <c r="F662" s="6">
        <f t="shared" si="76"/>
        <v>-9.3425000000002534E-4</v>
      </c>
      <c r="G662" s="6">
        <f t="shared" si="72"/>
        <v>994.73400509026976</v>
      </c>
      <c r="H662" s="7">
        <f t="shared" si="73"/>
        <v>1.9457980748275168E-12</v>
      </c>
      <c r="I662" s="8" t="str">
        <f t="shared" si="74"/>
        <v/>
      </c>
    </row>
    <row r="663" spans="1:9" x14ac:dyDescent="0.2">
      <c r="A663" s="5">
        <v>278</v>
      </c>
      <c r="B663" s="6">
        <v>2.6752630000000002</v>
      </c>
      <c r="C663" s="6">
        <f t="shared" si="70"/>
        <v>2.6412630000000004</v>
      </c>
      <c r="D663" s="6">
        <f t="shared" si="71"/>
        <v>734.27111400000013</v>
      </c>
      <c r="E663" s="6">
        <f t="shared" si="75"/>
        <v>-1459.7047330000003</v>
      </c>
      <c r="F663" s="6">
        <f t="shared" si="76"/>
        <v>-5.0875000000005777E-4</v>
      </c>
      <c r="G663" s="6">
        <f t="shared" si="72"/>
        <v>994.41748936009969</v>
      </c>
      <c r="H663" s="7">
        <f t="shared" si="73"/>
        <v>3.5720558693621369E-12</v>
      </c>
      <c r="I663" s="8" t="str">
        <f t="shared" si="74"/>
        <v/>
      </c>
    </row>
    <row r="664" spans="1:9" x14ac:dyDescent="0.2">
      <c r="A664" s="5">
        <v>276</v>
      </c>
      <c r="B664" s="6">
        <v>2.6754910000000001</v>
      </c>
      <c r="C664" s="6">
        <f t="shared" si="70"/>
        <v>2.6414910000000003</v>
      </c>
      <c r="D664" s="6">
        <f t="shared" si="71"/>
        <v>729.05151600000011</v>
      </c>
      <c r="E664" s="6">
        <f t="shared" si="75"/>
        <v>-1464.9874870000003</v>
      </c>
      <c r="F664" s="6">
        <f t="shared" si="76"/>
        <v>-2.0175000000000054E-4</v>
      </c>
      <c r="G664" s="6">
        <f t="shared" si="72"/>
        <v>994.37709667693503</v>
      </c>
      <c r="H664" s="7">
        <f t="shared" si="73"/>
        <v>9.0072347286257334E-12</v>
      </c>
      <c r="I664" s="8" t="str">
        <f t="shared" si="74"/>
        <v/>
      </c>
    </row>
    <row r="665" spans="1:9" x14ac:dyDescent="0.2">
      <c r="A665" s="5">
        <v>274</v>
      </c>
      <c r="B665" s="6">
        <v>2.6760700000000002</v>
      </c>
      <c r="C665" s="6">
        <f t="shared" si="70"/>
        <v>2.6420700000000004</v>
      </c>
      <c r="D665" s="6">
        <f t="shared" si="71"/>
        <v>723.92718000000013</v>
      </c>
      <c r="E665" s="6">
        <f t="shared" si="75"/>
        <v>-1470.2710480000003</v>
      </c>
      <c r="F665" s="6">
        <f t="shared" si="76"/>
        <v>2.5425000000001141E-4</v>
      </c>
      <c r="G665" s="6">
        <f t="shared" si="72"/>
        <v>994.27336252100326</v>
      </c>
      <c r="H665" s="7">
        <f t="shared" si="73"/>
        <v>-7.1465881370571525E-12</v>
      </c>
      <c r="I665" s="8" t="str">
        <f t="shared" si="74"/>
        <v/>
      </c>
    </row>
    <row r="666" spans="1:9" x14ac:dyDescent="0.2">
      <c r="A666" s="5">
        <v>272</v>
      </c>
      <c r="B666" s="6">
        <v>2.674474</v>
      </c>
      <c r="C666" s="6">
        <f t="shared" si="70"/>
        <v>2.6404740000000002</v>
      </c>
      <c r="D666" s="6">
        <f t="shared" si="71"/>
        <v>718.20892800000001</v>
      </c>
      <c r="E666" s="6">
        <f t="shared" si="75"/>
        <v>-1475.5535920000002</v>
      </c>
      <c r="F666" s="6">
        <f t="shared" si="76"/>
        <v>6.0075000000003875E-4</v>
      </c>
      <c r="G666" s="6">
        <f t="shared" si="72"/>
        <v>994.56249530315677</v>
      </c>
      <c r="H666" s="7">
        <f t="shared" si="73"/>
        <v>-3.0254655343804308E-12</v>
      </c>
      <c r="I666" s="8" t="str">
        <f t="shared" si="74"/>
        <v/>
      </c>
    </row>
    <row r="667" spans="1:9" x14ac:dyDescent="0.2">
      <c r="A667" s="5">
        <v>270</v>
      </c>
      <c r="B667" s="6">
        <v>2.673667</v>
      </c>
      <c r="C667" s="6">
        <f t="shared" si="70"/>
        <v>2.6396670000000002</v>
      </c>
      <c r="D667" s="6">
        <f t="shared" si="71"/>
        <v>712.71009000000004</v>
      </c>
      <c r="E667" s="6">
        <f t="shared" si="75"/>
        <v>-1480.8337330000002</v>
      </c>
      <c r="F667" s="6">
        <f t="shared" si="76"/>
        <v>-4.5600000000001195E-4</v>
      </c>
      <c r="G667" s="6">
        <f t="shared" si="72"/>
        <v>994.7103061422531</v>
      </c>
      <c r="H667" s="7">
        <f t="shared" si="73"/>
        <v>3.9864441708916327E-12</v>
      </c>
      <c r="I667" s="8" t="str">
        <f t="shared" si="74"/>
        <v/>
      </c>
    </row>
    <row r="668" spans="1:9" x14ac:dyDescent="0.2">
      <c r="A668" s="5">
        <v>268</v>
      </c>
      <c r="B668" s="6">
        <v>2.6762980000000001</v>
      </c>
      <c r="C668" s="6">
        <f t="shared" si="70"/>
        <v>2.6422980000000003</v>
      </c>
      <c r="D668" s="6">
        <f t="shared" si="71"/>
        <v>708.13586400000008</v>
      </c>
      <c r="E668" s="6">
        <f t="shared" si="75"/>
        <v>-1486.1156980000001</v>
      </c>
      <c r="F668" s="6">
        <f t="shared" si="76"/>
        <v>-9.2974999999995145E-4</v>
      </c>
      <c r="G668" s="6">
        <f t="shared" si="72"/>
        <v>994.22314783783827</v>
      </c>
      <c r="H668" s="7">
        <f t="shared" si="73"/>
        <v>1.9542116345766134E-12</v>
      </c>
      <c r="I668" s="8" t="str">
        <f t="shared" si="74"/>
        <v/>
      </c>
    </row>
    <row r="669" spans="1:9" x14ac:dyDescent="0.2">
      <c r="A669" s="5">
        <v>266</v>
      </c>
      <c r="B669" s="6">
        <v>2.6773859999999998</v>
      </c>
      <c r="C669" s="6">
        <f t="shared" si="70"/>
        <v>2.643386</v>
      </c>
      <c r="D669" s="6">
        <f t="shared" si="71"/>
        <v>703.14067599999998</v>
      </c>
      <c r="E669" s="6">
        <f t="shared" si="75"/>
        <v>-1491.401382</v>
      </c>
      <c r="F669" s="6">
        <f t="shared" si="76"/>
        <v>-4.9575000000001701E-4</v>
      </c>
      <c r="G669" s="6">
        <f t="shared" si="72"/>
        <v>994.01951678835007</v>
      </c>
      <c r="H669" s="7">
        <f t="shared" si="73"/>
        <v>3.664258465923492E-12</v>
      </c>
      <c r="I669" s="8" t="str">
        <f t="shared" si="74"/>
        <v/>
      </c>
    </row>
    <row r="670" spans="1:9" x14ac:dyDescent="0.2">
      <c r="A670" s="5">
        <v>264</v>
      </c>
      <c r="B670" s="6">
        <v>2.6782810000000001</v>
      </c>
      <c r="C670" s="6">
        <f t="shared" si="70"/>
        <v>2.6442810000000003</v>
      </c>
      <c r="D670" s="6">
        <f t="shared" si="71"/>
        <v>698.09018400000014</v>
      </c>
      <c r="E670" s="6">
        <f t="shared" si="75"/>
        <v>-1496.6890490000001</v>
      </c>
      <c r="F670" s="6">
        <f t="shared" si="76"/>
        <v>-5.7450000000003332E-4</v>
      </c>
      <c r="G670" s="6">
        <f t="shared" si="72"/>
        <v>993.85021779083922</v>
      </c>
      <c r="H670" s="7">
        <f t="shared" si="73"/>
        <v>3.16143906534153E-12</v>
      </c>
      <c r="I670" s="8" t="str">
        <f t="shared" si="74"/>
        <v/>
      </c>
    </row>
    <row r="671" spans="1:9" x14ac:dyDescent="0.2">
      <c r="A671" s="5">
        <v>262</v>
      </c>
      <c r="B671" s="6">
        <v>2.679684</v>
      </c>
      <c r="C671" s="6">
        <f t="shared" si="70"/>
        <v>2.6456840000000001</v>
      </c>
      <c r="D671" s="6">
        <f t="shared" si="71"/>
        <v>693.16920800000003</v>
      </c>
      <c r="E671" s="6">
        <f t="shared" si="75"/>
        <v>-1501.979014</v>
      </c>
      <c r="F671" s="6">
        <f t="shared" si="76"/>
        <v>-4.1225000000000289E-4</v>
      </c>
      <c r="G671" s="6">
        <f t="shared" si="72"/>
        <v>993.58201906066279</v>
      </c>
      <c r="H671" s="7">
        <f t="shared" si="73"/>
        <v>4.4045036113533982E-12</v>
      </c>
      <c r="I671" s="8" t="str">
        <f t="shared" si="74"/>
        <v/>
      </c>
    </row>
    <row r="672" spans="1:9" x14ac:dyDescent="0.2">
      <c r="A672" s="5">
        <v>260</v>
      </c>
      <c r="B672" s="6">
        <v>2.6799300000000001</v>
      </c>
      <c r="C672" s="6">
        <f t="shared" si="70"/>
        <v>2.6459300000000003</v>
      </c>
      <c r="D672" s="6">
        <f t="shared" si="71"/>
        <v>687.94180000000006</v>
      </c>
      <c r="E672" s="6">
        <f t="shared" si="75"/>
        <v>-1507.270628</v>
      </c>
      <c r="F672" s="6">
        <f t="shared" si="76"/>
        <v>-2.5874999999997428E-4</v>
      </c>
      <c r="G672" s="6">
        <f t="shared" si="72"/>
        <v>993.53450148145862</v>
      </c>
      <c r="H672" s="7">
        <f t="shared" si="73"/>
        <v>7.0170812602872936E-12</v>
      </c>
      <c r="I672" s="8" t="str">
        <f t="shared" si="74"/>
        <v/>
      </c>
    </row>
    <row r="673" spans="1:9" x14ac:dyDescent="0.2">
      <c r="A673" s="5">
        <v>258</v>
      </c>
      <c r="B673" s="6">
        <v>2.6807189999999999</v>
      </c>
      <c r="C673" s="6">
        <f t="shared" si="70"/>
        <v>2.646719</v>
      </c>
      <c r="D673" s="6">
        <f t="shared" si="71"/>
        <v>682.85350200000005</v>
      </c>
      <c r="E673" s="6">
        <f t="shared" si="75"/>
        <v>-1512.563277</v>
      </c>
      <c r="F673" s="6">
        <f t="shared" si="76"/>
        <v>-7.2799999999995091E-4</v>
      </c>
      <c r="G673" s="6">
        <f t="shared" si="72"/>
        <v>993.38051953840159</v>
      </c>
      <c r="H673" s="7">
        <f t="shared" si="73"/>
        <v>2.49366535212849E-12</v>
      </c>
      <c r="I673" s="8" t="str">
        <f t="shared" si="74"/>
        <v/>
      </c>
    </row>
    <row r="674" spans="1:9" x14ac:dyDescent="0.2">
      <c r="A674" s="5">
        <v>256</v>
      </c>
      <c r="B674" s="6">
        <v>2.6828419999999999</v>
      </c>
      <c r="C674" s="6">
        <f t="shared" si="70"/>
        <v>2.6488420000000001</v>
      </c>
      <c r="D674" s="6">
        <f t="shared" si="71"/>
        <v>678.10355200000004</v>
      </c>
      <c r="E674" s="6">
        <f t="shared" si="75"/>
        <v>-1517.8588379999999</v>
      </c>
      <c r="F674" s="6">
        <f t="shared" si="76"/>
        <v>-5.4399999999998894E-4</v>
      </c>
      <c r="G674" s="6">
        <f t="shared" si="72"/>
        <v>992.96194696665202</v>
      </c>
      <c r="H674" s="7">
        <f t="shared" si="73"/>
        <v>3.3357048549523251E-12</v>
      </c>
      <c r="I674" s="8" t="str">
        <f t="shared" si="74"/>
        <v/>
      </c>
    </row>
    <row r="675" spans="1:9" x14ac:dyDescent="0.2">
      <c r="A675" s="5">
        <v>254</v>
      </c>
      <c r="B675" s="6">
        <v>2.6828949999999998</v>
      </c>
      <c r="C675" s="6">
        <f t="shared" si="70"/>
        <v>2.648895</v>
      </c>
      <c r="D675" s="6">
        <f t="shared" si="71"/>
        <v>672.81933000000004</v>
      </c>
      <c r="E675" s="6">
        <f t="shared" si="75"/>
        <v>-1523.156575</v>
      </c>
      <c r="F675" s="6">
        <f t="shared" si="76"/>
        <v>-5.8325000000003513E-4</v>
      </c>
      <c r="G675" s="6">
        <f t="shared" si="72"/>
        <v>992.95139143942527</v>
      </c>
      <c r="H675" s="7">
        <f t="shared" si="73"/>
        <v>3.1111944295280448E-12</v>
      </c>
      <c r="I675" s="8" t="str">
        <f t="shared" si="74"/>
        <v/>
      </c>
    </row>
    <row r="676" spans="1:9" x14ac:dyDescent="0.2">
      <c r="A676" s="5">
        <v>252</v>
      </c>
      <c r="B676" s="6">
        <v>2.6851750000000001</v>
      </c>
      <c r="C676" s="6">
        <f t="shared" si="70"/>
        <v>2.6511750000000003</v>
      </c>
      <c r="D676" s="6">
        <f t="shared" si="71"/>
        <v>668.09610000000009</v>
      </c>
      <c r="E676" s="6">
        <f t="shared" si="75"/>
        <v>-1528.456645</v>
      </c>
      <c r="F676" s="6">
        <f t="shared" si="76"/>
        <v>-1.1490000000000666E-3</v>
      </c>
      <c r="G676" s="6">
        <f t="shared" si="72"/>
        <v>992.49274460777724</v>
      </c>
      <c r="H676" s="7">
        <f t="shared" si="73"/>
        <v>1.5785604705333008E-12</v>
      </c>
      <c r="I676" s="8" t="str">
        <f t="shared" si="74"/>
        <v/>
      </c>
    </row>
    <row r="677" spans="1:9" x14ac:dyDescent="0.2">
      <c r="A677" s="5">
        <v>250</v>
      </c>
      <c r="B677" s="6">
        <v>2.6874910000000001</v>
      </c>
      <c r="C677" s="6">
        <f t="shared" si="70"/>
        <v>2.6534910000000003</v>
      </c>
      <c r="D677" s="6">
        <f t="shared" si="71"/>
        <v>663.37275000000011</v>
      </c>
      <c r="E677" s="6">
        <f t="shared" si="75"/>
        <v>-1533.761311</v>
      </c>
      <c r="F677" s="6">
        <f t="shared" si="76"/>
        <v>-5.5724999999995362E-4</v>
      </c>
      <c r="G677" s="6">
        <f t="shared" si="72"/>
        <v>992.0222239840507</v>
      </c>
      <c r="H677" s="7">
        <f t="shared" si="73"/>
        <v>3.2533084092994434E-12</v>
      </c>
      <c r="I677" s="8" t="str">
        <f t="shared" si="74"/>
        <v/>
      </c>
    </row>
    <row r="678" spans="1:9" x14ac:dyDescent="0.2">
      <c r="A678" s="5">
        <v>248</v>
      </c>
      <c r="B678" s="6">
        <v>2.6874039999999999</v>
      </c>
      <c r="C678" s="6">
        <f t="shared" si="70"/>
        <v>2.6534040000000001</v>
      </c>
      <c r="D678" s="6">
        <f t="shared" si="71"/>
        <v>658.04419200000007</v>
      </c>
      <c r="E678" s="6">
        <f t="shared" si="75"/>
        <v>-1539.0682059999999</v>
      </c>
      <c r="F678" s="6">
        <f t="shared" si="76"/>
        <v>-4.870000000000152E-4</v>
      </c>
      <c r="G678" s="6">
        <f t="shared" si="72"/>
        <v>992.04007298157399</v>
      </c>
      <c r="H678" s="7">
        <f t="shared" si="73"/>
        <v>3.7226667964351764E-12</v>
      </c>
      <c r="I678" s="8" t="str">
        <f t="shared" si="74"/>
        <v/>
      </c>
    </row>
    <row r="679" spans="1:9" x14ac:dyDescent="0.2">
      <c r="A679" s="5">
        <v>246</v>
      </c>
      <c r="B679" s="6">
        <v>2.6894390000000001</v>
      </c>
      <c r="C679" s="6">
        <f t="shared" si="70"/>
        <v>2.6554390000000003</v>
      </c>
      <c r="D679" s="6">
        <f t="shared" si="71"/>
        <v>653.23799400000007</v>
      </c>
      <c r="E679" s="6">
        <f t="shared" si="75"/>
        <v>-1544.3770489999999</v>
      </c>
      <c r="F679" s="6">
        <f t="shared" si="76"/>
        <v>-5.1299999999998569E-4</v>
      </c>
      <c r="G679" s="6">
        <f t="shared" si="72"/>
        <v>991.61850056823914</v>
      </c>
      <c r="H679" s="7">
        <f t="shared" si="73"/>
        <v>3.5324918371189237E-12</v>
      </c>
      <c r="I679" s="8" t="str">
        <f t="shared" si="74"/>
        <v/>
      </c>
    </row>
    <row r="680" spans="1:9" x14ac:dyDescent="0.2">
      <c r="A680" s="5">
        <v>244</v>
      </c>
      <c r="B680" s="6">
        <v>2.6894559999999998</v>
      </c>
      <c r="C680" s="6">
        <f t="shared" si="70"/>
        <v>2.655456</v>
      </c>
      <c r="D680" s="6">
        <f t="shared" si="71"/>
        <v>647.93126400000006</v>
      </c>
      <c r="E680" s="6">
        <f t="shared" si="75"/>
        <v>-1549.687944</v>
      </c>
      <c r="F680" s="6">
        <f t="shared" si="76"/>
        <v>-4.7799999999997844E-4</v>
      </c>
      <c r="G680" s="6">
        <f t="shared" si="72"/>
        <v>991.61494483309093</v>
      </c>
      <c r="H680" s="7">
        <f t="shared" si="73"/>
        <v>3.7911335029038505E-12</v>
      </c>
      <c r="I680" s="8" t="str">
        <f t="shared" si="74"/>
        <v/>
      </c>
    </row>
    <row r="681" spans="1:9" x14ac:dyDescent="0.2">
      <c r="A681" s="5">
        <v>242</v>
      </c>
      <c r="B681" s="6">
        <v>2.691351</v>
      </c>
      <c r="C681" s="6">
        <f t="shared" si="70"/>
        <v>2.6573510000000002</v>
      </c>
      <c r="D681" s="6">
        <f t="shared" si="71"/>
        <v>643.0789420000001</v>
      </c>
      <c r="E681" s="6">
        <f t="shared" si="75"/>
        <v>-1555.000751</v>
      </c>
      <c r="F681" s="6">
        <f t="shared" si="76"/>
        <v>-6.1400000000000343E-4</v>
      </c>
      <c r="G681" s="6">
        <f t="shared" si="72"/>
        <v>991.21479494450637</v>
      </c>
      <c r="H681" s="7">
        <f t="shared" si="73"/>
        <v>2.9502126161509851E-12</v>
      </c>
      <c r="I681" s="8" t="str">
        <f t="shared" si="74"/>
        <v/>
      </c>
    </row>
    <row r="682" spans="1:9" x14ac:dyDescent="0.2">
      <c r="A682" s="5">
        <v>240</v>
      </c>
      <c r="B682" s="6">
        <v>2.6919119999999999</v>
      </c>
      <c r="C682" s="6">
        <f t="shared" si="70"/>
        <v>2.6579120000000001</v>
      </c>
      <c r="D682" s="6">
        <f t="shared" si="71"/>
        <v>637.89887999999996</v>
      </c>
      <c r="E682" s="6">
        <f t="shared" si="75"/>
        <v>-1560.316014</v>
      </c>
      <c r="F682" s="6">
        <f t="shared" si="76"/>
        <v>-4.9124999999994312E-4</v>
      </c>
      <c r="G682" s="6">
        <f t="shared" si="72"/>
        <v>991.09521168461401</v>
      </c>
      <c r="H682" s="7">
        <f t="shared" si="73"/>
        <v>3.686945566733363E-12</v>
      </c>
      <c r="I682" s="8" t="str">
        <f t="shared" si="74"/>
        <v/>
      </c>
    </row>
    <row r="683" spans="1:9" x14ac:dyDescent="0.2">
      <c r="A683" s="5">
        <v>238</v>
      </c>
      <c r="B683" s="6">
        <v>2.6933159999999998</v>
      </c>
      <c r="C683" s="6">
        <f t="shared" si="70"/>
        <v>2.659316</v>
      </c>
      <c r="D683" s="6">
        <f t="shared" si="71"/>
        <v>632.91720799999996</v>
      </c>
      <c r="E683" s="6">
        <f t="shared" si="75"/>
        <v>-1565.6332419999999</v>
      </c>
      <c r="F683" s="6">
        <f t="shared" si="76"/>
        <v>-1.0265000000000413E-3</v>
      </c>
      <c r="G683" s="6">
        <f t="shared" si="72"/>
        <v>990.79312579354655</v>
      </c>
      <c r="H683" s="7">
        <f t="shared" si="73"/>
        <v>1.7639161735100016E-12</v>
      </c>
      <c r="I683" s="8" t="str">
        <f t="shared" si="74"/>
        <v/>
      </c>
    </row>
    <row r="684" spans="1:9" x14ac:dyDescent="0.2">
      <c r="A684" s="5">
        <v>236</v>
      </c>
      <c r="B684" s="6">
        <v>2.696018</v>
      </c>
      <c r="C684" s="6">
        <f t="shared" si="70"/>
        <v>2.6620180000000002</v>
      </c>
      <c r="D684" s="6">
        <f t="shared" si="71"/>
        <v>628.23624800000005</v>
      </c>
      <c r="E684" s="6">
        <f t="shared" si="75"/>
        <v>-1570.9545759999999</v>
      </c>
      <c r="F684" s="6">
        <f t="shared" si="76"/>
        <v>-5.6575000000003151E-4</v>
      </c>
      <c r="G684" s="6">
        <f t="shared" si="72"/>
        <v>990.2063570658654</v>
      </c>
      <c r="H684" s="7">
        <f t="shared" si="73"/>
        <v>3.1985641022300333E-12</v>
      </c>
      <c r="I684" s="8" t="str">
        <f t="shared" si="74"/>
        <v/>
      </c>
    </row>
    <row r="685" spans="1:9" x14ac:dyDescent="0.2">
      <c r="A685" s="5">
        <v>234</v>
      </c>
      <c r="B685" s="6">
        <v>2.6955789999999999</v>
      </c>
      <c r="C685" s="6">
        <f t="shared" si="70"/>
        <v>2.6615790000000001</v>
      </c>
      <c r="D685" s="6">
        <f t="shared" si="71"/>
        <v>622.80948599999999</v>
      </c>
      <c r="E685" s="6">
        <f t="shared" si="75"/>
        <v>-1576.2781729999999</v>
      </c>
      <c r="F685" s="6">
        <f t="shared" si="76"/>
        <v>1.447500000000268E-4</v>
      </c>
      <c r="G685" s="6">
        <f t="shared" si="72"/>
        <v>990.30256869704681</v>
      </c>
      <c r="H685" s="7">
        <f t="shared" si="73"/>
        <v>-1.250268370421961E-11</v>
      </c>
      <c r="I685" s="8" t="str">
        <f t="shared" si="74"/>
        <v/>
      </c>
    </row>
    <row r="686" spans="1:9" x14ac:dyDescent="0.2">
      <c r="A686" s="5">
        <v>232</v>
      </c>
      <c r="B686" s="6">
        <v>2.6954389999999999</v>
      </c>
      <c r="C686" s="6">
        <f t="shared" si="70"/>
        <v>2.6614390000000001</v>
      </c>
      <c r="D686" s="6">
        <f t="shared" si="71"/>
        <v>617.45384799999999</v>
      </c>
      <c r="E686" s="6">
        <f t="shared" si="75"/>
        <v>-1581.601191</v>
      </c>
      <c r="F686" s="6">
        <f t="shared" si="76"/>
        <v>2.6324999999993715E-4</v>
      </c>
      <c r="G686" s="6">
        <f t="shared" si="72"/>
        <v>990.33353122179722</v>
      </c>
      <c r="H686" s="7">
        <f t="shared" si="73"/>
        <v>-6.8749099705522073E-12</v>
      </c>
      <c r="I686" s="8" t="str">
        <f t="shared" si="74"/>
        <v/>
      </c>
    </row>
    <row r="687" spans="1:9" x14ac:dyDescent="0.2">
      <c r="A687" s="5">
        <v>230</v>
      </c>
      <c r="B687" s="6">
        <v>2.6945260000000002</v>
      </c>
      <c r="C687" s="6">
        <f t="shared" si="70"/>
        <v>2.6605260000000004</v>
      </c>
      <c r="D687" s="6">
        <f t="shared" si="71"/>
        <v>611.9209800000001</v>
      </c>
      <c r="E687" s="6">
        <f t="shared" si="75"/>
        <v>-1586.9231560000001</v>
      </c>
      <c r="F687" s="6">
        <f t="shared" si="76"/>
        <v>1.0524999999994566E-4</v>
      </c>
      <c r="G687" s="6">
        <f t="shared" si="72"/>
        <v>990.53727711534748</v>
      </c>
      <c r="H687" s="7">
        <f t="shared" si="73"/>
        <v>-1.719897759990587E-11</v>
      </c>
      <c r="I687" s="8" t="str">
        <f t="shared" si="74"/>
        <v/>
      </c>
    </row>
    <row r="688" spans="1:9" x14ac:dyDescent="0.2">
      <c r="A688" s="5">
        <v>228</v>
      </c>
      <c r="B688" s="6">
        <v>2.6950180000000001</v>
      </c>
      <c r="C688" s="6">
        <f t="shared" si="70"/>
        <v>2.6610180000000003</v>
      </c>
      <c r="D688" s="6">
        <f t="shared" si="71"/>
        <v>606.71210400000007</v>
      </c>
      <c r="E688" s="6">
        <f t="shared" si="75"/>
        <v>-1592.2447</v>
      </c>
      <c r="F688" s="6">
        <f t="shared" si="76"/>
        <v>-8.3499999999903096E-5</v>
      </c>
      <c r="G688" s="6">
        <f t="shared" si="72"/>
        <v>990.4264979569391</v>
      </c>
      <c r="H688" s="7">
        <f t="shared" si="73"/>
        <v>2.1676526288608932E-11</v>
      </c>
      <c r="I688" s="8" t="str">
        <f t="shared" si="74"/>
        <v/>
      </c>
    </row>
    <row r="689" spans="1:9" x14ac:dyDescent="0.2">
      <c r="A689" s="5">
        <v>226</v>
      </c>
      <c r="B689" s="6">
        <v>2.6948599999999998</v>
      </c>
      <c r="C689" s="6">
        <f t="shared" si="70"/>
        <v>2.66086</v>
      </c>
      <c r="D689" s="6">
        <f t="shared" si="71"/>
        <v>601.35436000000004</v>
      </c>
      <c r="E689" s="6">
        <f t="shared" si="75"/>
        <v>-1597.5665779999999</v>
      </c>
      <c r="F689" s="6">
        <f t="shared" si="76"/>
        <v>-4.9999999999994493E-4</v>
      </c>
      <c r="G689" s="6">
        <f t="shared" si="72"/>
        <v>990.46238937772887</v>
      </c>
      <c r="H689" s="7">
        <f t="shared" si="73"/>
        <v>3.6201110722874193E-12</v>
      </c>
      <c r="I689" s="8" t="str">
        <f t="shared" si="74"/>
        <v/>
      </c>
    </row>
    <row r="690" spans="1:9" x14ac:dyDescent="0.2">
      <c r="A690" s="5">
        <v>224</v>
      </c>
      <c r="B690" s="6">
        <v>2.6970179999999999</v>
      </c>
      <c r="C690" s="6">
        <f t="shared" si="70"/>
        <v>2.6630180000000001</v>
      </c>
      <c r="D690" s="6">
        <f t="shared" si="71"/>
        <v>596.516032</v>
      </c>
      <c r="E690" s="6">
        <f t="shared" si="75"/>
        <v>-1602.8904559999999</v>
      </c>
      <c r="F690" s="6">
        <f t="shared" si="76"/>
        <v>-2.6750000000008711E-4</v>
      </c>
      <c r="G690" s="6">
        <f t="shared" si="72"/>
        <v>989.96786017479178</v>
      </c>
      <c r="H690" s="7">
        <f t="shared" si="73"/>
        <v>6.7631842663720101E-12</v>
      </c>
      <c r="I690" s="8" t="str">
        <f t="shared" si="74"/>
        <v/>
      </c>
    </row>
    <row r="691" spans="1:9" x14ac:dyDescent="0.2">
      <c r="A691" s="5">
        <v>222</v>
      </c>
      <c r="B691" s="6">
        <v>2.6959300000000002</v>
      </c>
      <c r="C691" s="6">
        <f t="shared" si="70"/>
        <v>2.6619300000000004</v>
      </c>
      <c r="D691" s="6">
        <f t="shared" si="71"/>
        <v>590.94846000000007</v>
      </c>
      <c r="E691" s="6">
        <f t="shared" si="75"/>
        <v>-1608.2154039999998</v>
      </c>
      <c r="F691" s="6">
        <f t="shared" si="76"/>
        <v>4.8249999999971926E-5</v>
      </c>
      <c r="G691" s="6">
        <f t="shared" si="72"/>
        <v>990.21936322427985</v>
      </c>
      <c r="H691" s="7">
        <f t="shared" si="73"/>
        <v>-3.7504899676728476E-11</v>
      </c>
      <c r="I691" s="8" t="str">
        <f t="shared" si="74"/>
        <v/>
      </c>
    </row>
    <row r="692" spans="1:9" x14ac:dyDescent="0.2">
      <c r="A692" s="5">
        <v>220</v>
      </c>
      <c r="B692" s="6">
        <v>2.696825</v>
      </c>
      <c r="C692" s="6">
        <f t="shared" si="70"/>
        <v>2.6628250000000002</v>
      </c>
      <c r="D692" s="6">
        <f t="shared" si="71"/>
        <v>585.82150000000001</v>
      </c>
      <c r="E692" s="6">
        <f t="shared" si="75"/>
        <v>-1613.5401589999999</v>
      </c>
      <c r="F692" s="6">
        <f t="shared" si="76"/>
        <v>-4.1649999999993081E-4</v>
      </c>
      <c r="G692" s="6">
        <f t="shared" si="72"/>
        <v>990.01068422676894</v>
      </c>
      <c r="H692" s="7">
        <f t="shared" si="73"/>
        <v>4.3438896796742088E-12</v>
      </c>
      <c r="I692" s="8" t="str">
        <f t="shared" si="74"/>
        <v/>
      </c>
    </row>
    <row r="693" spans="1:9" x14ac:dyDescent="0.2">
      <c r="A693" s="5">
        <v>218</v>
      </c>
      <c r="B693" s="6">
        <v>2.6975959999999999</v>
      </c>
      <c r="C693" s="6">
        <f t="shared" si="70"/>
        <v>2.6635960000000001</v>
      </c>
      <c r="D693" s="6">
        <f t="shared" si="71"/>
        <v>580.66392800000006</v>
      </c>
      <c r="E693" s="6">
        <f t="shared" si="75"/>
        <v>-1618.8665799999999</v>
      </c>
      <c r="F693" s="6">
        <f t="shared" si="76"/>
        <v>-1.447500000000268E-4</v>
      </c>
      <c r="G693" s="6">
        <f t="shared" si="72"/>
        <v>989.8293751797512</v>
      </c>
      <c r="H693" s="7">
        <f t="shared" si="73"/>
        <v>1.2496709581699239E-11</v>
      </c>
      <c r="I693" s="8" t="str">
        <f t="shared" si="74"/>
        <v/>
      </c>
    </row>
    <row r="694" spans="1:9" x14ac:dyDescent="0.2">
      <c r="A694" s="5">
        <v>216</v>
      </c>
      <c r="B694" s="6">
        <v>2.6974040000000001</v>
      </c>
      <c r="C694" s="6">
        <f t="shared" si="70"/>
        <v>2.6634040000000003</v>
      </c>
      <c r="D694" s="6">
        <f t="shared" si="71"/>
        <v>575.29526400000009</v>
      </c>
      <c r="E694" s="6">
        <f t="shared" si="75"/>
        <v>-1624.1935799999999</v>
      </c>
      <c r="F694" s="6">
        <f t="shared" si="76"/>
        <v>-4.8250000000082949E-5</v>
      </c>
      <c r="G694" s="6">
        <f t="shared" si="72"/>
        <v>989.87491007083725</v>
      </c>
      <c r="H694" s="7">
        <f t="shared" si="73"/>
        <v>3.7491853394734396E-11</v>
      </c>
      <c r="I694" s="8" t="str">
        <f t="shared" si="74"/>
        <v/>
      </c>
    </row>
    <row r="695" spans="1:9" x14ac:dyDescent="0.2">
      <c r="A695" s="5">
        <v>214</v>
      </c>
      <c r="B695" s="6">
        <v>2.6977890000000002</v>
      </c>
      <c r="C695" s="6">
        <f t="shared" si="70"/>
        <v>2.6637890000000004</v>
      </c>
      <c r="D695" s="6">
        <f t="shared" si="71"/>
        <v>570.05084600000009</v>
      </c>
      <c r="E695" s="6">
        <f t="shared" si="75"/>
        <v>-1629.520773</v>
      </c>
      <c r="F695" s="6">
        <f t="shared" si="76"/>
        <v>-8.7500000000018119E-5</v>
      </c>
      <c r="G695" s="6">
        <f t="shared" si="72"/>
        <v>989.78283312777398</v>
      </c>
      <c r="H695" s="7">
        <f t="shared" si="73"/>
        <v>2.0672156080358582E-11</v>
      </c>
      <c r="I695" s="8" t="str">
        <f t="shared" si="74"/>
        <v/>
      </c>
    </row>
    <row r="696" spans="1:9" x14ac:dyDescent="0.2">
      <c r="A696" s="5">
        <v>212</v>
      </c>
      <c r="B696" s="6">
        <v>2.6977540000000002</v>
      </c>
      <c r="C696" s="6">
        <f t="shared" si="70"/>
        <v>2.6637540000000004</v>
      </c>
      <c r="D696" s="6">
        <f t="shared" si="71"/>
        <v>564.71584800000005</v>
      </c>
      <c r="E696" s="6">
        <f t="shared" si="75"/>
        <v>-1634.8483160000001</v>
      </c>
      <c r="F696" s="6">
        <f t="shared" si="76"/>
        <v>-7.6774999999995597E-4</v>
      </c>
      <c r="G696" s="6">
        <f t="shared" si="72"/>
        <v>989.79127375896167</v>
      </c>
      <c r="H696" s="7">
        <f t="shared" si="73"/>
        <v>2.3560131320898066E-12</v>
      </c>
      <c r="I696" s="8" t="str">
        <f t="shared" si="74"/>
        <v/>
      </c>
    </row>
    <row r="697" spans="1:9" x14ac:dyDescent="0.2">
      <c r="A697" s="5">
        <v>210</v>
      </c>
      <c r="B697" s="6">
        <v>2.70086</v>
      </c>
      <c r="C697" s="6">
        <f t="shared" si="70"/>
        <v>2.6668600000000002</v>
      </c>
      <c r="D697" s="6">
        <f t="shared" si="71"/>
        <v>560.04060000000004</v>
      </c>
      <c r="E697" s="6">
        <f t="shared" si="75"/>
        <v>-1640.17893</v>
      </c>
      <c r="F697" s="6">
        <f t="shared" si="76"/>
        <v>-8.3774999999997046E-4</v>
      </c>
      <c r="G697" s="6">
        <f t="shared" si="72"/>
        <v>989.03601603128686</v>
      </c>
      <c r="H697" s="7">
        <f t="shared" si="73"/>
        <v>2.1575038611833634E-12</v>
      </c>
      <c r="I697" s="8" t="str">
        <f t="shared" si="74"/>
        <v/>
      </c>
    </row>
    <row r="698" spans="1:9" x14ac:dyDescent="0.2">
      <c r="A698" s="5">
        <v>208</v>
      </c>
      <c r="B698" s="6">
        <v>2.7011050000000001</v>
      </c>
      <c r="C698" s="6">
        <f t="shared" si="70"/>
        <v>2.6671050000000003</v>
      </c>
      <c r="D698" s="6">
        <f t="shared" si="71"/>
        <v>554.7578400000001</v>
      </c>
      <c r="E698" s="6">
        <f t="shared" si="75"/>
        <v>-1645.5128950000001</v>
      </c>
      <c r="F698" s="6">
        <f t="shared" si="76"/>
        <v>-2.455000000000096E-4</v>
      </c>
      <c r="G698" s="6">
        <f t="shared" si="72"/>
        <v>988.97595161297386</v>
      </c>
      <c r="H698" s="7">
        <f t="shared" si="73"/>
        <v>7.3618700320158717E-12</v>
      </c>
      <c r="I698" s="8" t="str">
        <f t="shared" si="74"/>
        <v/>
      </c>
    </row>
    <row r="699" spans="1:9" x14ac:dyDescent="0.2">
      <c r="A699" s="5">
        <v>206</v>
      </c>
      <c r="B699" s="6">
        <v>2.7018420000000001</v>
      </c>
      <c r="C699" s="6">
        <f t="shared" si="70"/>
        <v>2.6678420000000003</v>
      </c>
      <c r="D699" s="6">
        <f t="shared" si="71"/>
        <v>549.57545200000004</v>
      </c>
      <c r="E699" s="6">
        <f t="shared" si="75"/>
        <v>-1650.8478420000001</v>
      </c>
      <c r="F699" s="6">
        <f t="shared" si="76"/>
        <v>-3.2474999999998477E-4</v>
      </c>
      <c r="G699" s="6">
        <f t="shared" si="72"/>
        <v>988.79379403625262</v>
      </c>
      <c r="H699" s="7">
        <f t="shared" si="73"/>
        <v>5.5642993150168307E-12</v>
      </c>
      <c r="I699" s="8" t="str">
        <f t="shared" si="74"/>
        <v/>
      </c>
    </row>
    <row r="700" spans="1:9" x14ac:dyDescent="0.2">
      <c r="A700" s="5">
        <v>204</v>
      </c>
      <c r="B700" s="6">
        <v>2.702404</v>
      </c>
      <c r="C700" s="6">
        <f t="shared" si="70"/>
        <v>2.6684040000000002</v>
      </c>
      <c r="D700" s="6">
        <f t="shared" si="71"/>
        <v>544.35441600000001</v>
      </c>
      <c r="E700" s="6">
        <f t="shared" si="75"/>
        <v>-1656.1840880000002</v>
      </c>
      <c r="F700" s="6">
        <f t="shared" si="76"/>
        <v>-1.2725000000002318E-4</v>
      </c>
      <c r="G700" s="6">
        <f t="shared" si="72"/>
        <v>988.6537656154693</v>
      </c>
      <c r="H700" s="7">
        <f t="shared" si="73"/>
        <v>1.4198430669230017E-11</v>
      </c>
      <c r="I700" s="8" t="str">
        <f t="shared" si="74"/>
        <v/>
      </c>
    </row>
    <row r="701" spans="1:9" x14ac:dyDescent="0.2">
      <c r="A701" s="5">
        <v>202</v>
      </c>
      <c r="B701" s="6">
        <v>2.7023510000000002</v>
      </c>
      <c r="C701" s="6">
        <f t="shared" si="70"/>
        <v>2.6683510000000004</v>
      </c>
      <c r="D701" s="6">
        <f t="shared" si="71"/>
        <v>539.00690200000008</v>
      </c>
      <c r="E701" s="6">
        <f t="shared" si="75"/>
        <v>-1661.5208430000002</v>
      </c>
      <c r="F701" s="6">
        <f t="shared" si="76"/>
        <v>-4.4725000000001014E-4</v>
      </c>
      <c r="G701" s="6">
        <f t="shared" si="72"/>
        <v>988.66707714269626</v>
      </c>
      <c r="H701" s="7">
        <f t="shared" si="73"/>
        <v>4.0397420442285124E-12</v>
      </c>
      <c r="I701" s="8" t="str">
        <f t="shared" si="74"/>
        <v/>
      </c>
    </row>
    <row r="702" spans="1:9" x14ac:dyDescent="0.2">
      <c r="A702" s="5">
        <v>200</v>
      </c>
      <c r="B702" s="6">
        <v>2.7041930000000001</v>
      </c>
      <c r="C702" s="6">
        <f t="shared" si="70"/>
        <v>2.6701930000000003</v>
      </c>
      <c r="D702" s="6">
        <f t="shared" si="71"/>
        <v>534.03860000000009</v>
      </c>
      <c r="E702" s="6">
        <f t="shared" si="75"/>
        <v>-1666.8593870000002</v>
      </c>
      <c r="F702" s="6">
        <f t="shared" si="76"/>
        <v>-6.0525000000000162E-4</v>
      </c>
      <c r="G702" s="6">
        <f t="shared" si="72"/>
        <v>988.20075478133856</v>
      </c>
      <c r="H702" s="7">
        <f t="shared" si="73"/>
        <v>2.9837627955116653E-12</v>
      </c>
      <c r="I702" s="8" t="str">
        <f t="shared" si="74"/>
        <v/>
      </c>
    </row>
    <row r="703" spans="1:9" x14ac:dyDescent="0.2">
      <c r="A703" s="5">
        <v>198</v>
      </c>
      <c r="B703" s="6">
        <v>2.7047720000000002</v>
      </c>
      <c r="C703" s="6">
        <f t="shared" si="70"/>
        <v>2.6707720000000004</v>
      </c>
      <c r="D703" s="6">
        <f t="shared" si="71"/>
        <v>528.81285600000012</v>
      </c>
      <c r="E703" s="6">
        <f t="shared" si="75"/>
        <v>-1672.2003520000003</v>
      </c>
      <c r="F703" s="6">
        <f t="shared" si="76"/>
        <v>-3.5525000000002915E-4</v>
      </c>
      <c r="G703" s="6">
        <f t="shared" si="72"/>
        <v>988.05301662540694</v>
      </c>
      <c r="H703" s="7">
        <f t="shared" si="73"/>
        <v>5.0827654965889984E-12</v>
      </c>
      <c r="I703" s="8" t="str">
        <f t="shared" si="74"/>
        <v/>
      </c>
    </row>
    <row r="704" spans="1:9" x14ac:dyDescent="0.2">
      <c r="A704" s="5">
        <v>196</v>
      </c>
      <c r="B704" s="6">
        <v>2.7056140000000002</v>
      </c>
      <c r="C704" s="6">
        <f t="shared" si="70"/>
        <v>2.6716140000000004</v>
      </c>
      <c r="D704" s="6">
        <f t="shared" si="71"/>
        <v>523.63634400000012</v>
      </c>
      <c r="E704" s="6">
        <f t="shared" si="75"/>
        <v>-1677.5427380000003</v>
      </c>
      <c r="F704" s="6">
        <f t="shared" si="76"/>
        <v>-7.8999999999940229E-5</v>
      </c>
      <c r="G704" s="6">
        <f t="shared" si="72"/>
        <v>987.83648715512288</v>
      </c>
      <c r="H704" s="7">
        <f t="shared" si="73"/>
        <v>2.2851351116752497E-11</v>
      </c>
      <c r="I704" s="8" t="str">
        <f t="shared" si="74"/>
        <v/>
      </c>
    </row>
    <row r="705" spans="1:9" x14ac:dyDescent="0.2">
      <c r="A705" s="5">
        <v>194</v>
      </c>
      <c r="B705" s="6">
        <v>2.7050879999999999</v>
      </c>
      <c r="C705" s="6">
        <f t="shared" si="70"/>
        <v>2.6710880000000001</v>
      </c>
      <c r="D705" s="6">
        <f t="shared" si="71"/>
        <v>518.19107200000008</v>
      </c>
      <c r="E705" s="6">
        <f t="shared" si="75"/>
        <v>-1682.8854400000002</v>
      </c>
      <c r="F705" s="6">
        <f t="shared" si="76"/>
        <v>6.1500000000047628E-5</v>
      </c>
      <c r="G705" s="6">
        <f t="shared" si="72"/>
        <v>987.97280578382765</v>
      </c>
      <c r="H705" s="7">
        <f t="shared" si="73"/>
        <v>-2.9357818837750872E-11</v>
      </c>
      <c r="I705" s="8" t="str">
        <f t="shared" si="74"/>
        <v/>
      </c>
    </row>
    <row r="706" spans="1:9" x14ac:dyDescent="0.2">
      <c r="A706" s="5">
        <v>192</v>
      </c>
      <c r="B706" s="6">
        <v>2.705368</v>
      </c>
      <c r="C706" s="6">
        <f t="shared" ref="C706:C769" si="77">B706-$B$2</f>
        <v>2.6713680000000002</v>
      </c>
      <c r="D706" s="6">
        <f t="shared" ref="D706:D769" si="78">A706*C706</f>
        <v>512.90265599999998</v>
      </c>
      <c r="E706" s="6">
        <f t="shared" si="75"/>
        <v>-1688.2278960000003</v>
      </c>
      <c r="F706" s="6">
        <f t="shared" si="76"/>
        <v>-2.5874999999997428E-4</v>
      </c>
      <c r="G706" s="6">
        <f t="shared" ref="G706:G769" si="79">(A706-$L$5)*C706-E706</f>
        <v>987.89968073432715</v>
      </c>
      <c r="H706" s="7">
        <f t="shared" ref="H706:H769" si="80">IF(ABS(F706)&lt;0.000000001,"",-(G706)/(2*$L$4*F706)*0.000000000001)</f>
        <v>6.9772839558043431E-12</v>
      </c>
      <c r="I706" s="8" t="str">
        <f t="shared" ref="I706:I769" si="81">IF(AND(B706&gt;=0.5,B706&lt;=2.5,ISNUMBER(H706),H706&gt;0),H706,"")</f>
        <v/>
      </c>
    </row>
    <row r="707" spans="1:9" x14ac:dyDescent="0.2">
      <c r="A707" s="5">
        <v>190</v>
      </c>
      <c r="B707" s="6">
        <v>2.7061229999999998</v>
      </c>
      <c r="C707" s="6">
        <f t="shared" si="77"/>
        <v>2.672123</v>
      </c>
      <c r="D707" s="6">
        <f t="shared" si="78"/>
        <v>507.70337000000001</v>
      </c>
      <c r="E707" s="6">
        <f t="shared" ref="E707:E770" si="82">E706+(C706+C707)/2*(A707-A706)</f>
        <v>-1693.5713870000004</v>
      </c>
      <c r="F707" s="6">
        <f t="shared" ref="F707:F770" si="83">(B708-B706)/(A708-A706)</f>
        <v>-6.8425000000005287E-4</v>
      </c>
      <c r="G707" s="6">
        <f t="shared" si="79"/>
        <v>987.70099426156662</v>
      </c>
      <c r="H707" s="7">
        <f t="shared" si="80"/>
        <v>2.6379380737155396E-12</v>
      </c>
      <c r="I707" s="8" t="str">
        <f t="shared" si="81"/>
        <v/>
      </c>
    </row>
    <row r="708" spans="1:9" x14ac:dyDescent="0.2">
      <c r="A708" s="5">
        <v>188</v>
      </c>
      <c r="B708" s="6">
        <v>2.7081050000000002</v>
      </c>
      <c r="C708" s="6">
        <f t="shared" si="77"/>
        <v>2.6741050000000004</v>
      </c>
      <c r="D708" s="6">
        <f t="shared" si="78"/>
        <v>502.73174000000006</v>
      </c>
      <c r="E708" s="6">
        <f t="shared" si="82"/>
        <v>-1698.9176150000005</v>
      </c>
      <c r="F708" s="6">
        <f t="shared" si="83"/>
        <v>-8.3775000000008149E-4</v>
      </c>
      <c r="G708" s="6">
        <f t="shared" si="79"/>
        <v>987.17544537545859</v>
      </c>
      <c r="H708" s="7">
        <f t="shared" si="80"/>
        <v>2.1534451734215733E-12</v>
      </c>
      <c r="I708" s="8" t="str">
        <f t="shared" si="81"/>
        <v/>
      </c>
    </row>
    <row r="709" spans="1:9" x14ac:dyDescent="0.2">
      <c r="A709" s="5">
        <v>186</v>
      </c>
      <c r="B709" s="6">
        <v>2.7094740000000002</v>
      </c>
      <c r="C709" s="6">
        <f t="shared" si="77"/>
        <v>2.6754740000000004</v>
      </c>
      <c r="D709" s="6">
        <f t="shared" si="78"/>
        <v>497.63816400000007</v>
      </c>
      <c r="E709" s="6">
        <f t="shared" si="82"/>
        <v>-1704.2671940000005</v>
      </c>
      <c r="F709" s="6">
        <f t="shared" si="83"/>
        <v>-4.737499999999395E-4</v>
      </c>
      <c r="G709" s="6">
        <f t="shared" si="79"/>
        <v>986.80970211557872</v>
      </c>
      <c r="H709" s="7">
        <f t="shared" si="80"/>
        <v>3.8066075009478034E-12</v>
      </c>
      <c r="I709" s="8" t="str">
        <f t="shared" si="81"/>
        <v/>
      </c>
    </row>
    <row r="710" spans="1:9" x14ac:dyDescent="0.2">
      <c r="A710" s="5">
        <v>184</v>
      </c>
      <c r="B710" s="6">
        <v>2.71</v>
      </c>
      <c r="C710" s="6">
        <f t="shared" si="77"/>
        <v>2.6760000000000002</v>
      </c>
      <c r="D710" s="6">
        <f t="shared" si="78"/>
        <v>492.38400000000001</v>
      </c>
      <c r="E710" s="6">
        <f t="shared" si="82"/>
        <v>-1709.6186680000005</v>
      </c>
      <c r="F710" s="6">
        <f t="shared" si="83"/>
        <v>-4.5600000000001195E-4</v>
      </c>
      <c r="G710" s="6">
        <f t="shared" si="79"/>
        <v>986.66812348687404</v>
      </c>
      <c r="H710" s="7">
        <f t="shared" si="80"/>
        <v>3.954213970832565E-12</v>
      </c>
      <c r="I710" s="8" t="str">
        <f t="shared" si="81"/>
        <v/>
      </c>
    </row>
    <row r="711" spans="1:9" x14ac:dyDescent="0.2">
      <c r="A711" s="5">
        <v>182</v>
      </c>
      <c r="B711" s="6">
        <v>2.7112980000000002</v>
      </c>
      <c r="C711" s="6">
        <f t="shared" si="77"/>
        <v>2.6772980000000004</v>
      </c>
      <c r="D711" s="6">
        <f t="shared" si="78"/>
        <v>487.26823600000006</v>
      </c>
      <c r="E711" s="6">
        <f t="shared" si="82"/>
        <v>-1714.9719660000005</v>
      </c>
      <c r="F711" s="6">
        <f t="shared" si="83"/>
        <v>-6.4474999999997173E-4</v>
      </c>
      <c r="G711" s="6">
        <f t="shared" si="79"/>
        <v>986.31615665026038</v>
      </c>
      <c r="H711" s="7">
        <f t="shared" si="80"/>
        <v>2.7956236625848444E-12</v>
      </c>
      <c r="I711" s="8" t="str">
        <f t="shared" si="81"/>
        <v/>
      </c>
    </row>
    <row r="712" spans="1:9" x14ac:dyDescent="0.2">
      <c r="A712" s="5">
        <v>180</v>
      </c>
      <c r="B712" s="6">
        <v>2.7125789999999999</v>
      </c>
      <c r="C712" s="6">
        <f t="shared" si="77"/>
        <v>2.678579</v>
      </c>
      <c r="D712" s="6">
        <f t="shared" si="78"/>
        <v>482.14422000000002</v>
      </c>
      <c r="E712" s="6">
        <f t="shared" si="82"/>
        <v>-1720.3278430000005</v>
      </c>
      <c r="F712" s="6">
        <f t="shared" si="83"/>
        <v>-9.0349999999994601E-4</v>
      </c>
      <c r="G712" s="6">
        <f t="shared" si="79"/>
        <v>985.96623754879511</v>
      </c>
      <c r="H712" s="7">
        <f t="shared" si="80"/>
        <v>1.9942876418477645E-12</v>
      </c>
      <c r="I712" s="8" t="str">
        <f t="shared" si="81"/>
        <v/>
      </c>
    </row>
    <row r="713" spans="1:9" x14ac:dyDescent="0.2">
      <c r="A713" s="5">
        <v>178</v>
      </c>
      <c r="B713" s="6">
        <v>2.714912</v>
      </c>
      <c r="C713" s="6">
        <f t="shared" si="77"/>
        <v>2.6809120000000002</v>
      </c>
      <c r="D713" s="6">
        <f t="shared" si="78"/>
        <v>477.20233600000006</v>
      </c>
      <c r="E713" s="6">
        <f t="shared" si="82"/>
        <v>-1725.6873340000004</v>
      </c>
      <c r="F713" s="6">
        <f t="shared" si="83"/>
        <v>-8.5975000000004798E-4</v>
      </c>
      <c r="G713" s="6">
        <f t="shared" si="79"/>
        <v>985.32428718992014</v>
      </c>
      <c r="H713" s="7">
        <f t="shared" si="80"/>
        <v>2.0944061989108955E-12</v>
      </c>
      <c r="I713" s="8" t="str">
        <f t="shared" si="81"/>
        <v/>
      </c>
    </row>
    <row r="714" spans="1:9" x14ac:dyDescent="0.2">
      <c r="A714" s="5">
        <v>176</v>
      </c>
      <c r="B714" s="6">
        <v>2.716018</v>
      </c>
      <c r="C714" s="6">
        <f t="shared" si="77"/>
        <v>2.6820180000000002</v>
      </c>
      <c r="D714" s="6">
        <f t="shared" si="78"/>
        <v>472.03516800000006</v>
      </c>
      <c r="E714" s="6">
        <f t="shared" si="82"/>
        <v>-1731.0502640000004</v>
      </c>
      <c r="F714" s="6">
        <f t="shared" si="83"/>
        <v>-6.6224999999997536E-4</v>
      </c>
      <c r="G714" s="6">
        <f t="shared" si="79"/>
        <v>985.01774724439269</v>
      </c>
      <c r="H714" s="7">
        <f t="shared" si="80"/>
        <v>2.718166149105227E-12</v>
      </c>
      <c r="I714" s="8" t="str">
        <f t="shared" si="81"/>
        <v/>
      </c>
    </row>
    <row r="715" spans="1:9" x14ac:dyDescent="0.2">
      <c r="A715" s="5">
        <v>174</v>
      </c>
      <c r="B715" s="6">
        <v>2.7175609999999999</v>
      </c>
      <c r="C715" s="6">
        <f t="shared" si="77"/>
        <v>2.6835610000000001</v>
      </c>
      <c r="D715" s="6">
        <f t="shared" si="78"/>
        <v>466.93961400000001</v>
      </c>
      <c r="E715" s="6">
        <f t="shared" si="82"/>
        <v>-1736.4158430000005</v>
      </c>
      <c r="F715" s="6">
        <f t="shared" si="83"/>
        <v>9.6500000000054875E-5</v>
      </c>
      <c r="G715" s="6">
        <f t="shared" si="79"/>
        <v>984.5870019894661</v>
      </c>
      <c r="H715" s="7">
        <f t="shared" si="80"/>
        <v>-1.8645786026817756E-11</v>
      </c>
      <c r="I715" s="8" t="str">
        <f t="shared" si="81"/>
        <v/>
      </c>
    </row>
    <row r="716" spans="1:9" x14ac:dyDescent="0.2">
      <c r="A716" s="5">
        <v>172</v>
      </c>
      <c r="B716" s="6">
        <v>2.7156319999999998</v>
      </c>
      <c r="C716" s="6">
        <f t="shared" si="77"/>
        <v>2.681632</v>
      </c>
      <c r="D716" s="6">
        <f t="shared" si="78"/>
        <v>461.24070399999999</v>
      </c>
      <c r="E716" s="6">
        <f t="shared" si="82"/>
        <v>-1741.7810360000005</v>
      </c>
      <c r="F716" s="6">
        <f t="shared" si="83"/>
        <v>2.8050000000001685E-4</v>
      </c>
      <c r="G716" s="6">
        <f t="shared" si="79"/>
        <v>985.12936134834729</v>
      </c>
      <c r="H716" s="7">
        <f t="shared" si="80"/>
        <v>-6.4182157054829001E-12</v>
      </c>
      <c r="I716" s="8" t="str">
        <f t="shared" si="81"/>
        <v/>
      </c>
    </row>
    <row r="717" spans="1:9" x14ac:dyDescent="0.2">
      <c r="A717" s="5">
        <v>170</v>
      </c>
      <c r="B717" s="6">
        <v>2.7164389999999998</v>
      </c>
      <c r="C717" s="6">
        <f t="shared" si="77"/>
        <v>2.682439</v>
      </c>
      <c r="D717" s="6">
        <f t="shared" si="78"/>
        <v>456.01463000000001</v>
      </c>
      <c r="E717" s="6">
        <f t="shared" si="82"/>
        <v>-1747.1451070000005</v>
      </c>
      <c r="F717" s="6">
        <f t="shared" si="83"/>
        <v>-4.7350000000001558E-4</v>
      </c>
      <c r="G717" s="6">
        <f t="shared" si="79"/>
        <v>984.90085050925074</v>
      </c>
      <c r="H717" s="7">
        <f t="shared" si="80"/>
        <v>3.801250063717751E-12</v>
      </c>
      <c r="I717" s="8" t="str">
        <f t="shared" si="81"/>
        <v/>
      </c>
    </row>
    <row r="718" spans="1:9" x14ac:dyDescent="0.2">
      <c r="A718" s="5">
        <v>168</v>
      </c>
      <c r="B718" s="6">
        <v>2.7175259999999999</v>
      </c>
      <c r="C718" s="6">
        <f t="shared" si="77"/>
        <v>2.6835260000000001</v>
      </c>
      <c r="D718" s="6">
        <f t="shared" si="78"/>
        <v>450.83236800000003</v>
      </c>
      <c r="E718" s="6">
        <f t="shared" si="82"/>
        <v>-1752.5110720000005</v>
      </c>
      <c r="F718" s="6">
        <f t="shared" si="83"/>
        <v>-4.1650000000004184E-4</v>
      </c>
      <c r="G718" s="6">
        <f t="shared" si="79"/>
        <v>984.59088062065359</v>
      </c>
      <c r="H718" s="7">
        <f t="shared" si="80"/>
        <v>4.3201090989929077E-12</v>
      </c>
      <c r="I718" s="8" t="str">
        <f t="shared" si="81"/>
        <v/>
      </c>
    </row>
    <row r="719" spans="1:9" x14ac:dyDescent="0.2">
      <c r="A719" s="5">
        <v>166</v>
      </c>
      <c r="B719" s="6">
        <v>2.718105</v>
      </c>
      <c r="C719" s="6">
        <f t="shared" si="77"/>
        <v>2.6841050000000002</v>
      </c>
      <c r="D719" s="6">
        <f t="shared" si="78"/>
        <v>445.56143000000003</v>
      </c>
      <c r="E719" s="6">
        <f t="shared" si="82"/>
        <v>-1757.8787030000005</v>
      </c>
      <c r="F719" s="6">
        <f t="shared" si="83"/>
        <v>8.7500000000018119E-6</v>
      </c>
      <c r="G719" s="6">
        <f t="shared" si="79"/>
        <v>984.42461446472203</v>
      </c>
      <c r="H719" s="7">
        <f t="shared" si="80"/>
        <v>-2.0560246751556351E-10</v>
      </c>
      <c r="I719" s="8" t="str">
        <f t="shared" si="81"/>
        <v/>
      </c>
    </row>
    <row r="720" spans="1:9" x14ac:dyDescent="0.2">
      <c r="A720" s="5">
        <v>164</v>
      </c>
      <c r="B720" s="6">
        <v>2.7174909999999999</v>
      </c>
      <c r="C720" s="6">
        <f t="shared" si="77"/>
        <v>2.6834910000000001</v>
      </c>
      <c r="D720" s="6">
        <f t="shared" si="78"/>
        <v>440.09252400000003</v>
      </c>
      <c r="E720" s="6">
        <f t="shared" si="82"/>
        <v>-1763.2462990000006</v>
      </c>
      <c r="F720" s="6">
        <f t="shared" si="83"/>
        <v>-5.3524999999998712E-4</v>
      </c>
      <c r="G720" s="6">
        <f t="shared" si="79"/>
        <v>984.60215925184139</v>
      </c>
      <c r="H720" s="7">
        <f t="shared" si="80"/>
        <v>3.3616927627545507E-12</v>
      </c>
      <c r="I720" s="8" t="str">
        <f t="shared" si="81"/>
        <v/>
      </c>
    </row>
    <row r="721" spans="1:9" x14ac:dyDescent="0.2">
      <c r="A721" s="5">
        <v>162</v>
      </c>
      <c r="B721" s="6">
        <v>2.7202459999999999</v>
      </c>
      <c r="C721" s="6">
        <f t="shared" si="77"/>
        <v>2.6862460000000001</v>
      </c>
      <c r="D721" s="6">
        <f t="shared" si="78"/>
        <v>435.171852</v>
      </c>
      <c r="E721" s="6">
        <f t="shared" si="82"/>
        <v>-1768.6160360000006</v>
      </c>
      <c r="F721" s="6">
        <f t="shared" si="83"/>
        <v>-1.1227500000000612E-3</v>
      </c>
      <c r="G721" s="6">
        <f t="shared" si="79"/>
        <v>983.80001099693334</v>
      </c>
      <c r="H721" s="7">
        <f t="shared" si="80"/>
        <v>1.6013183140108673E-12</v>
      </c>
      <c r="I721" s="8" t="str">
        <f t="shared" si="81"/>
        <v/>
      </c>
    </row>
    <row r="722" spans="1:9" x14ac:dyDescent="0.2">
      <c r="A722" s="5">
        <v>160</v>
      </c>
      <c r="B722" s="6">
        <v>2.7219820000000001</v>
      </c>
      <c r="C722" s="6">
        <f t="shared" si="77"/>
        <v>2.6879820000000003</v>
      </c>
      <c r="D722" s="6">
        <f t="shared" si="78"/>
        <v>430.07712000000004</v>
      </c>
      <c r="E722" s="6">
        <f t="shared" si="82"/>
        <v>-1773.9902640000005</v>
      </c>
      <c r="F722" s="6">
        <f t="shared" si="83"/>
        <v>-9.9124999999999908E-4</v>
      </c>
      <c r="G722" s="6">
        <f t="shared" si="79"/>
        <v>983.29108369002938</v>
      </c>
      <c r="H722" s="7">
        <f t="shared" si="80"/>
        <v>1.8128121864745439E-12</v>
      </c>
      <c r="I722" s="8" t="str">
        <f t="shared" si="81"/>
        <v/>
      </c>
    </row>
    <row r="723" spans="1:9" x14ac:dyDescent="0.2">
      <c r="A723" s="5">
        <v>158</v>
      </c>
      <c r="B723" s="6">
        <v>2.7242109999999999</v>
      </c>
      <c r="C723" s="6">
        <f t="shared" si="77"/>
        <v>2.6902110000000001</v>
      </c>
      <c r="D723" s="6">
        <f t="shared" si="78"/>
        <v>425.053338</v>
      </c>
      <c r="E723" s="6">
        <f t="shared" si="82"/>
        <v>-1779.3684570000005</v>
      </c>
      <c r="F723" s="6">
        <f t="shared" si="83"/>
        <v>-1.0572500000000096E-3</v>
      </c>
      <c r="G723" s="6">
        <f t="shared" si="79"/>
        <v>982.63317006382624</v>
      </c>
      <c r="H723" s="7">
        <f t="shared" si="80"/>
        <v>1.6985081601415067E-12</v>
      </c>
      <c r="I723" s="8" t="str">
        <f t="shared" si="81"/>
        <v/>
      </c>
    </row>
    <row r="724" spans="1:9" x14ac:dyDescent="0.2">
      <c r="A724" s="5">
        <v>156</v>
      </c>
      <c r="B724" s="6">
        <v>2.7262110000000002</v>
      </c>
      <c r="C724" s="6">
        <f t="shared" si="77"/>
        <v>2.6922110000000004</v>
      </c>
      <c r="D724" s="6">
        <f t="shared" si="78"/>
        <v>419.98491600000006</v>
      </c>
      <c r="E724" s="6">
        <f t="shared" si="82"/>
        <v>-1784.7508790000004</v>
      </c>
      <c r="F724" s="6">
        <f t="shared" si="83"/>
        <v>-7.2800000000006193E-4</v>
      </c>
      <c r="G724" s="6">
        <f t="shared" si="79"/>
        <v>982.03884828167872</v>
      </c>
      <c r="H724" s="7">
        <f t="shared" si="80"/>
        <v>2.4651945576119665E-12</v>
      </c>
      <c r="I724" s="8" t="str">
        <f t="shared" si="81"/>
        <v/>
      </c>
    </row>
    <row r="725" spans="1:9" x14ac:dyDescent="0.2">
      <c r="A725" s="5">
        <v>154</v>
      </c>
      <c r="B725" s="6">
        <v>2.7271230000000002</v>
      </c>
      <c r="C725" s="6">
        <f t="shared" si="77"/>
        <v>2.6931230000000004</v>
      </c>
      <c r="D725" s="6">
        <f t="shared" si="78"/>
        <v>414.74094200000008</v>
      </c>
      <c r="E725" s="6">
        <f t="shared" si="82"/>
        <v>-1790.1362130000005</v>
      </c>
      <c r="F725" s="6">
        <f t="shared" si="83"/>
        <v>-6.7099999999997717E-4</v>
      </c>
      <c r="G725" s="6">
        <f t="shared" si="79"/>
        <v>981.76601354901959</v>
      </c>
      <c r="H725" s="7">
        <f t="shared" si="80"/>
        <v>2.6738644358518671E-12</v>
      </c>
      <c r="I725" s="8" t="str">
        <f t="shared" si="81"/>
        <v/>
      </c>
    </row>
    <row r="726" spans="1:9" x14ac:dyDescent="0.2">
      <c r="A726" s="5">
        <v>152</v>
      </c>
      <c r="B726" s="6">
        <v>2.7288950000000001</v>
      </c>
      <c r="C726" s="6">
        <f t="shared" si="77"/>
        <v>2.6948950000000003</v>
      </c>
      <c r="D726" s="6">
        <f t="shared" si="78"/>
        <v>409.62404000000004</v>
      </c>
      <c r="E726" s="6">
        <f t="shared" si="82"/>
        <v>-1795.5242310000006</v>
      </c>
      <c r="F726" s="6">
        <f t="shared" si="83"/>
        <v>-9.5599999999995688E-4</v>
      </c>
      <c r="G726" s="6">
        <f t="shared" si="79"/>
        <v>981.23235645003717</v>
      </c>
      <c r="H726" s="7">
        <f t="shared" si="80"/>
        <v>1.8757194413286997E-12</v>
      </c>
      <c r="I726" s="8" t="str">
        <f t="shared" si="81"/>
        <v/>
      </c>
    </row>
    <row r="727" spans="1:9" x14ac:dyDescent="0.2">
      <c r="A727" s="5">
        <v>150</v>
      </c>
      <c r="B727" s="6">
        <v>2.730947</v>
      </c>
      <c r="C727" s="6">
        <f t="shared" si="77"/>
        <v>2.6969470000000002</v>
      </c>
      <c r="D727" s="6">
        <f t="shared" si="78"/>
        <v>404.54205000000002</v>
      </c>
      <c r="E727" s="6">
        <f t="shared" si="82"/>
        <v>-1800.9160730000006</v>
      </c>
      <c r="F727" s="6">
        <f t="shared" si="83"/>
        <v>-8.332500000000076E-4</v>
      </c>
      <c r="G727" s="6">
        <f t="shared" si="79"/>
        <v>980.61027030155401</v>
      </c>
      <c r="H727" s="7">
        <f t="shared" si="80"/>
        <v>2.1506761867010054E-12</v>
      </c>
      <c r="I727" s="8" t="str">
        <f t="shared" si="81"/>
        <v/>
      </c>
    </row>
    <row r="728" spans="1:9" x14ac:dyDescent="0.2">
      <c r="A728" s="5">
        <v>148</v>
      </c>
      <c r="B728" s="6">
        <v>2.7322280000000001</v>
      </c>
      <c r="C728" s="6">
        <f t="shared" si="77"/>
        <v>2.6982280000000003</v>
      </c>
      <c r="D728" s="6">
        <f t="shared" si="78"/>
        <v>399.33774400000004</v>
      </c>
      <c r="E728" s="6">
        <f t="shared" si="82"/>
        <v>-1806.3112480000007</v>
      </c>
      <c r="F728" s="6">
        <f t="shared" si="83"/>
        <v>-1.1097500000000204E-3</v>
      </c>
      <c r="G728" s="6">
        <f t="shared" si="79"/>
        <v>980.21935920008877</v>
      </c>
      <c r="H728" s="7">
        <f t="shared" si="80"/>
        <v>1.6141802642448689E-12</v>
      </c>
      <c r="I728" s="8" t="str">
        <f t="shared" si="81"/>
        <v/>
      </c>
    </row>
    <row r="729" spans="1:9" x14ac:dyDescent="0.2">
      <c r="A729" s="5">
        <v>146</v>
      </c>
      <c r="B729" s="6">
        <v>2.7353860000000001</v>
      </c>
      <c r="C729" s="6">
        <f t="shared" si="77"/>
        <v>2.7013860000000003</v>
      </c>
      <c r="D729" s="6">
        <f t="shared" si="78"/>
        <v>394.40235600000005</v>
      </c>
      <c r="E729" s="6">
        <f t="shared" si="82"/>
        <v>-1811.7108620000006</v>
      </c>
      <c r="F729" s="6">
        <f t="shared" si="83"/>
        <v>-1.2105000000000032E-3</v>
      </c>
      <c r="G729" s="6">
        <f t="shared" si="79"/>
        <v>979.24934510607807</v>
      </c>
      <c r="H729" s="7">
        <f t="shared" si="80"/>
        <v>1.478367502412606E-12</v>
      </c>
      <c r="I729" s="8" t="str">
        <f t="shared" si="81"/>
        <v/>
      </c>
    </row>
    <row r="730" spans="1:9" x14ac:dyDescent="0.2">
      <c r="A730" s="5">
        <v>144</v>
      </c>
      <c r="B730" s="6">
        <v>2.7370700000000001</v>
      </c>
      <c r="C730" s="6">
        <f t="shared" si="77"/>
        <v>2.7030700000000003</v>
      </c>
      <c r="D730" s="6">
        <f t="shared" si="78"/>
        <v>389.24208000000004</v>
      </c>
      <c r="E730" s="6">
        <f t="shared" si="82"/>
        <v>-1817.1153180000006</v>
      </c>
      <c r="F730" s="6">
        <f t="shared" si="83"/>
        <v>-7.4125000000002661E-4</v>
      </c>
      <c r="G730" s="6">
        <f t="shared" si="79"/>
        <v>978.72871816551003</v>
      </c>
      <c r="H730" s="7">
        <f t="shared" si="80"/>
        <v>2.4129678563885557E-12</v>
      </c>
      <c r="I730" s="8" t="str">
        <f t="shared" si="81"/>
        <v/>
      </c>
    </row>
    <row r="731" spans="1:9" x14ac:dyDescent="0.2">
      <c r="A731" s="5">
        <v>142</v>
      </c>
      <c r="B731" s="6">
        <v>2.7383510000000002</v>
      </c>
      <c r="C731" s="6">
        <f t="shared" si="77"/>
        <v>2.7043510000000004</v>
      </c>
      <c r="D731" s="6">
        <f t="shared" si="78"/>
        <v>384.01784200000003</v>
      </c>
      <c r="E731" s="6">
        <f t="shared" si="82"/>
        <v>-1822.5227390000007</v>
      </c>
      <c r="F731" s="6">
        <f t="shared" si="83"/>
        <v>-7.8074999999999672E-4</v>
      </c>
      <c r="G731" s="6">
        <f t="shared" si="79"/>
        <v>978.33012106404465</v>
      </c>
      <c r="H731" s="7">
        <f t="shared" si="80"/>
        <v>2.2899570837945612E-12</v>
      </c>
      <c r="I731" s="8" t="str">
        <f t="shared" si="81"/>
        <v/>
      </c>
    </row>
    <row r="732" spans="1:9" x14ac:dyDescent="0.2">
      <c r="A732" s="5">
        <v>140</v>
      </c>
      <c r="B732" s="6">
        <v>2.7401930000000001</v>
      </c>
      <c r="C732" s="6">
        <f t="shared" si="77"/>
        <v>2.7061930000000003</v>
      </c>
      <c r="D732" s="6">
        <f t="shared" si="78"/>
        <v>378.86702000000002</v>
      </c>
      <c r="E732" s="6">
        <f t="shared" si="82"/>
        <v>-1827.9332830000008</v>
      </c>
      <c r="F732" s="6">
        <f t="shared" si="83"/>
        <v>-8.947499999999442E-4</v>
      </c>
      <c r="G732" s="6">
        <f t="shared" si="79"/>
        <v>977.75327870268711</v>
      </c>
      <c r="H732" s="7">
        <f t="shared" si="80"/>
        <v>1.997015727511254E-12</v>
      </c>
      <c r="I732" s="8" t="str">
        <f t="shared" si="81"/>
        <v/>
      </c>
    </row>
    <row r="733" spans="1:9" x14ac:dyDescent="0.2">
      <c r="A733" s="5">
        <v>138</v>
      </c>
      <c r="B733" s="6">
        <v>2.74193</v>
      </c>
      <c r="C733" s="6">
        <f t="shared" si="77"/>
        <v>2.7079300000000002</v>
      </c>
      <c r="D733" s="6">
        <f t="shared" si="78"/>
        <v>373.69434000000001</v>
      </c>
      <c r="E733" s="6">
        <f t="shared" si="82"/>
        <v>-1833.3474060000008</v>
      </c>
      <c r="F733" s="6">
        <f t="shared" si="83"/>
        <v>-3.069999999999462E-4</v>
      </c>
      <c r="G733" s="6">
        <f t="shared" si="79"/>
        <v>977.2058442348922</v>
      </c>
      <c r="H733" s="7">
        <f t="shared" si="80"/>
        <v>5.817033855714751E-12</v>
      </c>
      <c r="I733" s="8" t="str">
        <f t="shared" si="81"/>
        <v/>
      </c>
    </row>
    <row r="734" spans="1:9" x14ac:dyDescent="0.2">
      <c r="A734" s="5">
        <v>136</v>
      </c>
      <c r="B734" s="6">
        <v>2.7414209999999999</v>
      </c>
      <c r="C734" s="6">
        <f t="shared" si="77"/>
        <v>2.7074210000000001</v>
      </c>
      <c r="D734" s="6">
        <f t="shared" si="78"/>
        <v>368.20925599999998</v>
      </c>
      <c r="E734" s="6">
        <f t="shared" si="82"/>
        <v>-1838.7627570000009</v>
      </c>
      <c r="F734" s="6">
        <f t="shared" si="83"/>
        <v>-3.7724999999999564E-4</v>
      </c>
      <c r="G734" s="6">
        <f t="shared" si="79"/>
        <v>977.36727912844879</v>
      </c>
      <c r="H734" s="7">
        <f t="shared" si="80"/>
        <v>4.7345908909528211E-12</v>
      </c>
      <c r="I734" s="8" t="str">
        <f t="shared" si="81"/>
        <v/>
      </c>
    </row>
    <row r="735" spans="1:9" x14ac:dyDescent="0.2">
      <c r="A735" s="5">
        <v>134</v>
      </c>
      <c r="B735" s="6">
        <v>2.743439</v>
      </c>
      <c r="C735" s="6">
        <f t="shared" si="77"/>
        <v>2.7094390000000002</v>
      </c>
      <c r="D735" s="6">
        <f t="shared" si="78"/>
        <v>363.06482600000004</v>
      </c>
      <c r="E735" s="6">
        <f t="shared" si="82"/>
        <v>-1844.1796170000009</v>
      </c>
      <c r="F735" s="6">
        <f t="shared" si="83"/>
        <v>-1.087750000000054E-3</v>
      </c>
      <c r="G735" s="6">
        <f t="shared" si="79"/>
        <v>976.72321245026217</v>
      </c>
      <c r="H735" s="7">
        <f t="shared" si="80"/>
        <v>1.640953703676062E-12</v>
      </c>
      <c r="I735" s="8" t="str">
        <f t="shared" si="81"/>
        <v/>
      </c>
    </row>
    <row r="736" spans="1:9" x14ac:dyDescent="0.2">
      <c r="A736" s="5">
        <v>132</v>
      </c>
      <c r="B736" s="6">
        <v>2.7457720000000001</v>
      </c>
      <c r="C736" s="6">
        <f t="shared" si="77"/>
        <v>2.7117720000000003</v>
      </c>
      <c r="D736" s="6">
        <f t="shared" si="78"/>
        <v>357.95390400000002</v>
      </c>
      <c r="E736" s="6">
        <f t="shared" si="82"/>
        <v>-1849.600828000001</v>
      </c>
      <c r="F736" s="6">
        <f t="shared" si="83"/>
        <v>-1.1664999999999592E-3</v>
      </c>
      <c r="G736" s="6">
        <f t="shared" si="79"/>
        <v>975.97394409138735</v>
      </c>
      <c r="H736" s="7">
        <f t="shared" si="80"/>
        <v>1.5289996692688889E-12</v>
      </c>
      <c r="I736" s="8" t="str">
        <f t="shared" si="81"/>
        <v/>
      </c>
    </row>
    <row r="737" spans="1:9" x14ac:dyDescent="0.2">
      <c r="A737" s="5">
        <v>130</v>
      </c>
      <c r="B737" s="6">
        <v>2.7481049999999998</v>
      </c>
      <c r="C737" s="6">
        <f t="shared" si="77"/>
        <v>2.714105</v>
      </c>
      <c r="D737" s="6">
        <f t="shared" si="78"/>
        <v>352.83364999999998</v>
      </c>
      <c r="E737" s="6">
        <f t="shared" si="82"/>
        <v>-1855.0267050000009</v>
      </c>
      <c r="F737" s="6">
        <f t="shared" si="83"/>
        <v>-1.039499999999971E-3</v>
      </c>
      <c r="G737" s="6">
        <f t="shared" si="79"/>
        <v>975.22000973251249</v>
      </c>
      <c r="H737" s="7">
        <f t="shared" si="80"/>
        <v>1.7144784128751655E-12</v>
      </c>
      <c r="I737" s="8" t="str">
        <f t="shared" si="81"/>
        <v/>
      </c>
    </row>
    <row r="738" spans="1:9" x14ac:dyDescent="0.2">
      <c r="A738" s="5">
        <v>128</v>
      </c>
      <c r="B738" s="6">
        <v>2.74993</v>
      </c>
      <c r="C738" s="6">
        <f t="shared" si="77"/>
        <v>2.7159300000000002</v>
      </c>
      <c r="D738" s="6">
        <f t="shared" si="78"/>
        <v>347.63904000000002</v>
      </c>
      <c r="E738" s="6">
        <f t="shared" si="82"/>
        <v>-1860.456740000001</v>
      </c>
      <c r="F738" s="6">
        <f t="shared" si="83"/>
        <v>-7.765000000000688E-4</v>
      </c>
      <c r="G738" s="6">
        <f t="shared" si="79"/>
        <v>974.62659110630307</v>
      </c>
      <c r="H738" s="7">
        <f t="shared" si="80"/>
        <v>2.2937744318349522E-12</v>
      </c>
      <c r="I738" s="8" t="str">
        <f t="shared" si="81"/>
        <v/>
      </c>
    </row>
    <row r="739" spans="1:9" x14ac:dyDescent="0.2">
      <c r="A739" s="5">
        <v>126</v>
      </c>
      <c r="B739" s="6">
        <v>2.7512110000000001</v>
      </c>
      <c r="C739" s="6">
        <f t="shared" si="77"/>
        <v>2.7172110000000003</v>
      </c>
      <c r="D739" s="6">
        <f t="shared" si="78"/>
        <v>342.36858600000005</v>
      </c>
      <c r="E739" s="6">
        <f t="shared" si="82"/>
        <v>-1865.889881000001</v>
      </c>
      <c r="F739" s="6">
        <f t="shared" si="83"/>
        <v>-7.2799999999995091E-4</v>
      </c>
      <c r="G739" s="6">
        <f t="shared" si="79"/>
        <v>974.2074980048377</v>
      </c>
      <c r="H739" s="7">
        <f t="shared" si="80"/>
        <v>2.4455356590718166E-12</v>
      </c>
      <c r="I739" s="8" t="str">
        <f t="shared" si="81"/>
        <v/>
      </c>
    </row>
    <row r="740" spans="1:9" x14ac:dyDescent="0.2">
      <c r="A740" s="5">
        <v>124</v>
      </c>
      <c r="B740" s="6">
        <v>2.7528419999999998</v>
      </c>
      <c r="C740" s="6">
        <f t="shared" si="77"/>
        <v>2.718842</v>
      </c>
      <c r="D740" s="6">
        <f t="shared" si="78"/>
        <v>337.13640800000002</v>
      </c>
      <c r="E740" s="6">
        <f t="shared" si="82"/>
        <v>-1871.3259340000009</v>
      </c>
      <c r="F740" s="6">
        <f t="shared" si="83"/>
        <v>-5.6575000000003151E-4</v>
      </c>
      <c r="G740" s="6">
        <f t="shared" si="79"/>
        <v>973.67063659149653</v>
      </c>
      <c r="H740" s="7">
        <f t="shared" si="80"/>
        <v>3.1451504258418619E-12</v>
      </c>
      <c r="I740" s="8" t="str">
        <f t="shared" si="81"/>
        <v/>
      </c>
    </row>
    <row r="741" spans="1:9" x14ac:dyDescent="0.2">
      <c r="A741" s="5">
        <v>122</v>
      </c>
      <c r="B741" s="6">
        <v>2.7534740000000002</v>
      </c>
      <c r="C741" s="6">
        <f t="shared" si="77"/>
        <v>2.7194740000000004</v>
      </c>
      <c r="D741" s="6">
        <f t="shared" si="78"/>
        <v>331.77582800000005</v>
      </c>
      <c r="E741" s="6">
        <f t="shared" si="82"/>
        <v>-1876.7642500000009</v>
      </c>
      <c r="F741" s="6">
        <f t="shared" si="83"/>
        <v>-7.9400000000007243E-4</v>
      </c>
      <c r="G741" s="6">
        <f t="shared" si="79"/>
        <v>973.46134290833788</v>
      </c>
      <c r="H741" s="7">
        <f t="shared" si="80"/>
        <v>2.2405369927882201E-12</v>
      </c>
      <c r="I741" s="8" t="str">
        <f t="shared" si="81"/>
        <v/>
      </c>
    </row>
    <row r="742" spans="1:9" x14ac:dyDescent="0.2">
      <c r="A742" s="5">
        <v>120</v>
      </c>
      <c r="B742" s="6">
        <v>2.7560180000000001</v>
      </c>
      <c r="C742" s="6">
        <f t="shared" si="77"/>
        <v>2.7220180000000003</v>
      </c>
      <c r="D742" s="6">
        <f t="shared" si="78"/>
        <v>326.64216000000005</v>
      </c>
      <c r="E742" s="6">
        <f t="shared" si="82"/>
        <v>-1882.2057420000008</v>
      </c>
      <c r="F742" s="6">
        <f t="shared" si="83"/>
        <v>-1.1622499999999203E-3</v>
      </c>
      <c r="G742" s="6">
        <f t="shared" si="79"/>
        <v>972.61378160144636</v>
      </c>
      <c r="H742" s="7">
        <f t="shared" si="80"/>
        <v>1.5293073490015352E-12</v>
      </c>
      <c r="I742" s="8" t="str">
        <f t="shared" si="81"/>
        <v/>
      </c>
    </row>
    <row r="743" spans="1:9" x14ac:dyDescent="0.2">
      <c r="A743" s="5">
        <v>118</v>
      </c>
      <c r="B743" s="6">
        <v>2.7581229999999999</v>
      </c>
      <c r="C743" s="6">
        <f t="shared" si="77"/>
        <v>2.7241230000000001</v>
      </c>
      <c r="D743" s="6">
        <f t="shared" si="78"/>
        <v>321.44651400000004</v>
      </c>
      <c r="E743" s="6">
        <f t="shared" si="82"/>
        <v>-1887.6518830000007</v>
      </c>
      <c r="F743" s="6">
        <f t="shared" si="83"/>
        <v>-9.5599999999995688E-4</v>
      </c>
      <c r="G743" s="6">
        <f t="shared" si="79"/>
        <v>971.90826792573625</v>
      </c>
      <c r="H743" s="7">
        <f t="shared" si="80"/>
        <v>1.8578955548631376E-12</v>
      </c>
      <c r="I743" s="8" t="str">
        <f t="shared" si="81"/>
        <v/>
      </c>
    </row>
    <row r="744" spans="1:9" x14ac:dyDescent="0.2">
      <c r="A744" s="5">
        <v>116</v>
      </c>
      <c r="B744" s="6">
        <v>2.7598419999999999</v>
      </c>
      <c r="C744" s="6">
        <f t="shared" si="77"/>
        <v>2.7258420000000001</v>
      </c>
      <c r="D744" s="6">
        <f t="shared" si="78"/>
        <v>316.19767200000001</v>
      </c>
      <c r="E744" s="6">
        <f t="shared" si="82"/>
        <v>-1893.1018480000007</v>
      </c>
      <c r="F744" s="6">
        <f t="shared" si="83"/>
        <v>-8.1575000000000397E-4</v>
      </c>
      <c r="G744" s="6">
        <f t="shared" si="79"/>
        <v>971.32868835398074</v>
      </c>
      <c r="H744" s="7">
        <f t="shared" si="80"/>
        <v>2.1760208118358236E-12</v>
      </c>
      <c r="I744" s="8" t="str">
        <f t="shared" si="81"/>
        <v/>
      </c>
    </row>
    <row r="745" spans="1:9" x14ac:dyDescent="0.2">
      <c r="A745" s="5">
        <v>114</v>
      </c>
      <c r="B745" s="6">
        <v>2.7613859999999999</v>
      </c>
      <c r="C745" s="6">
        <f t="shared" si="77"/>
        <v>2.7273860000000001</v>
      </c>
      <c r="D745" s="6">
        <f t="shared" si="78"/>
        <v>310.92200400000002</v>
      </c>
      <c r="E745" s="6">
        <f t="shared" si="82"/>
        <v>-1898.5550760000008</v>
      </c>
      <c r="F745" s="6">
        <f t="shared" si="83"/>
        <v>-4.4750000000004508E-4</v>
      </c>
      <c r="G745" s="6">
        <f t="shared" si="79"/>
        <v>970.805023938163</v>
      </c>
      <c r="H745" s="7">
        <f t="shared" si="80"/>
        <v>3.9645407557338739E-12</v>
      </c>
      <c r="I745" s="8" t="str">
        <f t="shared" si="81"/>
        <v/>
      </c>
    </row>
    <row r="746" spans="1:9" x14ac:dyDescent="0.2">
      <c r="A746" s="5">
        <v>112</v>
      </c>
      <c r="B746" s="6">
        <v>2.7616320000000001</v>
      </c>
      <c r="C746" s="6">
        <f t="shared" si="77"/>
        <v>2.7276320000000003</v>
      </c>
      <c r="D746" s="6">
        <f t="shared" si="78"/>
        <v>305.49478400000004</v>
      </c>
      <c r="E746" s="6">
        <f t="shared" si="82"/>
        <v>-1904.0100940000009</v>
      </c>
      <c r="F746" s="6">
        <f t="shared" si="83"/>
        <v>-1.7100000000003224E-4</v>
      </c>
      <c r="G746" s="6">
        <f t="shared" si="79"/>
        <v>970.7210983589589</v>
      </c>
      <c r="H746" s="7">
        <f t="shared" si="80"/>
        <v>1.0374143949834733E-11</v>
      </c>
      <c r="I746" s="8" t="str">
        <f t="shared" si="81"/>
        <v/>
      </c>
    </row>
    <row r="747" spans="1:9" x14ac:dyDescent="0.2">
      <c r="A747" s="5">
        <v>110</v>
      </c>
      <c r="B747" s="6">
        <v>2.76207</v>
      </c>
      <c r="C747" s="6">
        <f t="shared" si="77"/>
        <v>2.7280700000000002</v>
      </c>
      <c r="D747" s="6">
        <f t="shared" si="78"/>
        <v>300.08770000000004</v>
      </c>
      <c r="E747" s="6">
        <f t="shared" si="82"/>
        <v>-1909.4657960000009</v>
      </c>
      <c r="F747" s="6">
        <f t="shared" si="83"/>
        <v>-7.9825000000000035E-4</v>
      </c>
      <c r="G747" s="6">
        <f t="shared" si="79"/>
        <v>970.57079388866873</v>
      </c>
      <c r="H747" s="7">
        <f t="shared" si="80"/>
        <v>2.2219905245224573E-12</v>
      </c>
      <c r="I747" s="8" t="str">
        <f t="shared" si="81"/>
        <v/>
      </c>
    </row>
    <row r="748" spans="1:9" x14ac:dyDescent="0.2">
      <c r="A748" s="5">
        <v>108</v>
      </c>
      <c r="B748" s="6">
        <v>2.7648250000000001</v>
      </c>
      <c r="C748" s="6">
        <f t="shared" si="77"/>
        <v>2.7308250000000003</v>
      </c>
      <c r="D748" s="6">
        <f t="shared" si="78"/>
        <v>294.92910000000001</v>
      </c>
      <c r="E748" s="6">
        <f t="shared" si="82"/>
        <v>-1914.9246910000008</v>
      </c>
      <c r="F748" s="6">
        <f t="shared" si="83"/>
        <v>-1.3597499999999929E-3</v>
      </c>
      <c r="G748" s="6">
        <f t="shared" si="79"/>
        <v>969.61987563376067</v>
      </c>
      <c r="H748" s="7">
        <f t="shared" si="80"/>
        <v>1.303155835257607E-12</v>
      </c>
      <c r="I748" s="8" t="str">
        <f t="shared" si="81"/>
        <v/>
      </c>
    </row>
    <row r="749" spans="1:9" x14ac:dyDescent="0.2">
      <c r="A749" s="5">
        <v>106</v>
      </c>
      <c r="B749" s="6">
        <v>2.767509</v>
      </c>
      <c r="C749" s="6">
        <f t="shared" si="77"/>
        <v>2.7335090000000002</v>
      </c>
      <c r="D749" s="6">
        <f t="shared" si="78"/>
        <v>289.75195400000001</v>
      </c>
      <c r="E749" s="6">
        <f t="shared" si="82"/>
        <v>-1920.3890250000009</v>
      </c>
      <c r="F749" s="6">
        <f t="shared" si="83"/>
        <v>-5.6999999999995943E-4</v>
      </c>
      <c r="G749" s="6">
        <f t="shared" si="79"/>
        <v>968.68809580211905</v>
      </c>
      <c r="H749" s="7">
        <f t="shared" si="80"/>
        <v>3.105725145564622E-12</v>
      </c>
      <c r="I749" s="8" t="str">
        <f t="shared" si="81"/>
        <v/>
      </c>
    </row>
    <row r="750" spans="1:9" x14ac:dyDescent="0.2">
      <c r="A750" s="5">
        <v>104</v>
      </c>
      <c r="B750" s="6">
        <v>2.7671049999999999</v>
      </c>
      <c r="C750" s="6">
        <f t="shared" si="77"/>
        <v>2.7331050000000001</v>
      </c>
      <c r="D750" s="6">
        <f t="shared" si="78"/>
        <v>284.24292000000003</v>
      </c>
      <c r="E750" s="6">
        <f t="shared" si="82"/>
        <v>-1925.8556390000008</v>
      </c>
      <c r="F750" s="6">
        <f t="shared" si="83"/>
        <v>-1.754999999999951E-4</v>
      </c>
      <c r="G750" s="6">
        <f t="shared" si="79"/>
        <v>968.82915680211272</v>
      </c>
      <c r="H750" s="7">
        <f t="shared" si="80"/>
        <v>1.0088439429555278E-11</v>
      </c>
      <c r="I750" s="8" t="str">
        <f t="shared" si="81"/>
        <v/>
      </c>
    </row>
    <row r="751" spans="1:9" x14ac:dyDescent="0.2">
      <c r="A751" s="5">
        <v>102</v>
      </c>
      <c r="B751" s="6">
        <v>2.768211</v>
      </c>
      <c r="C751" s="6">
        <f t="shared" si="77"/>
        <v>2.7342110000000002</v>
      </c>
      <c r="D751" s="6">
        <f t="shared" si="78"/>
        <v>278.889522</v>
      </c>
      <c r="E751" s="6">
        <f t="shared" si="82"/>
        <v>-1931.3229550000008</v>
      </c>
      <c r="F751" s="6">
        <f t="shared" si="83"/>
        <v>-2.3249999999996884E-4</v>
      </c>
      <c r="G751" s="6">
        <f t="shared" si="79"/>
        <v>968.44077285658523</v>
      </c>
      <c r="H751" s="7">
        <f t="shared" si="80"/>
        <v>7.6120918447518952E-12</v>
      </c>
      <c r="I751" s="8" t="str">
        <f t="shared" si="81"/>
        <v/>
      </c>
    </row>
    <row r="752" spans="1:9" x14ac:dyDescent="0.2">
      <c r="A752" s="5">
        <v>100</v>
      </c>
      <c r="B752" s="6">
        <v>2.7680349999999998</v>
      </c>
      <c r="C752" s="6">
        <f t="shared" si="77"/>
        <v>2.734035</v>
      </c>
      <c r="D752" s="6">
        <f t="shared" si="78"/>
        <v>273.40350000000001</v>
      </c>
      <c r="E752" s="6">
        <f t="shared" si="82"/>
        <v>-1936.7912010000007</v>
      </c>
      <c r="F752" s="6">
        <f t="shared" si="83"/>
        <v>-8.7500000000018119E-5</v>
      </c>
      <c r="G752" s="6">
        <f t="shared" si="79"/>
        <v>968.50292917341415</v>
      </c>
      <c r="H752" s="7">
        <f t="shared" si="80"/>
        <v>2.0227713641879982E-11</v>
      </c>
      <c r="I752" s="8" t="str">
        <f t="shared" si="81"/>
        <v/>
      </c>
    </row>
    <row r="753" spans="1:9" x14ac:dyDescent="0.2">
      <c r="A753" s="5">
        <v>98</v>
      </c>
      <c r="B753" s="6">
        <v>2.768561</v>
      </c>
      <c r="C753" s="6">
        <f t="shared" si="77"/>
        <v>2.7345610000000002</v>
      </c>
      <c r="D753" s="6">
        <f t="shared" si="78"/>
        <v>267.98697800000002</v>
      </c>
      <c r="E753" s="6">
        <f t="shared" si="82"/>
        <v>-1942.2597970000006</v>
      </c>
      <c r="F753" s="6">
        <f t="shared" si="83"/>
        <v>4.3424999999996938E-4</v>
      </c>
      <c r="G753" s="6">
        <f t="shared" si="79"/>
        <v>968.31611454470931</v>
      </c>
      <c r="H753" s="7">
        <f t="shared" si="80"/>
        <v>-4.0750340648525955E-12</v>
      </c>
      <c r="I753" s="8" t="str">
        <f t="shared" si="81"/>
        <v/>
      </c>
    </row>
    <row r="754" spans="1:9" x14ac:dyDescent="0.2">
      <c r="A754" s="5">
        <v>96</v>
      </c>
      <c r="B754" s="6">
        <v>2.7662979999999999</v>
      </c>
      <c r="C754" s="6">
        <f t="shared" si="77"/>
        <v>2.7322980000000001</v>
      </c>
      <c r="D754" s="6">
        <f t="shared" si="78"/>
        <v>262.30060800000001</v>
      </c>
      <c r="E754" s="6">
        <f t="shared" si="82"/>
        <v>-1947.7266560000007</v>
      </c>
      <c r="F754" s="6">
        <f t="shared" si="83"/>
        <v>1.4900000000006575E-4</v>
      </c>
      <c r="G754" s="6">
        <f t="shared" si="79"/>
        <v>969.12436964120911</v>
      </c>
      <c r="H754" s="7">
        <f t="shared" si="80"/>
        <v>-1.1886312865997261E-11</v>
      </c>
      <c r="I754" s="8" t="str">
        <f t="shared" si="81"/>
        <v/>
      </c>
    </row>
    <row r="755" spans="1:9" x14ac:dyDescent="0.2">
      <c r="A755" s="5">
        <v>94</v>
      </c>
      <c r="B755" s="6">
        <v>2.7679649999999998</v>
      </c>
      <c r="C755" s="6">
        <f t="shared" si="77"/>
        <v>2.733965</v>
      </c>
      <c r="D755" s="6">
        <f t="shared" si="78"/>
        <v>256.99270999999999</v>
      </c>
      <c r="E755" s="6">
        <f t="shared" si="82"/>
        <v>-1953.1929190000008</v>
      </c>
      <c r="F755" s="6">
        <f t="shared" si="83"/>
        <v>-5.0450000000001882E-4</v>
      </c>
      <c r="G755" s="6">
        <f t="shared" si="79"/>
        <v>968.52564843578944</v>
      </c>
      <c r="H755" s="7">
        <f t="shared" si="80"/>
        <v>3.5083577062133531E-12</v>
      </c>
      <c r="I755" s="8" t="str">
        <f t="shared" si="81"/>
        <v/>
      </c>
    </row>
    <row r="756" spans="1:9" x14ac:dyDescent="0.2">
      <c r="A756" s="5">
        <v>92</v>
      </c>
      <c r="B756" s="6">
        <v>2.768316</v>
      </c>
      <c r="C756" s="6">
        <f t="shared" si="77"/>
        <v>2.7343160000000002</v>
      </c>
      <c r="D756" s="6">
        <f t="shared" si="78"/>
        <v>251.55707200000001</v>
      </c>
      <c r="E756" s="6">
        <f t="shared" si="82"/>
        <v>-1958.6612000000007</v>
      </c>
      <c r="F756" s="6">
        <f t="shared" si="83"/>
        <v>-3.2900000000002372E-4</v>
      </c>
      <c r="G756" s="6">
        <f t="shared" si="79"/>
        <v>968.39888096302241</v>
      </c>
      <c r="H756" s="7">
        <f t="shared" si="80"/>
        <v>5.3791331218280214E-12</v>
      </c>
      <c r="I756" s="8" t="str">
        <f t="shared" si="81"/>
        <v/>
      </c>
    </row>
    <row r="757" spans="1:9" x14ac:dyDescent="0.2">
      <c r="A757" s="5">
        <v>90</v>
      </c>
      <c r="B757" s="6">
        <v>2.7692809999999999</v>
      </c>
      <c r="C757" s="6">
        <f t="shared" si="77"/>
        <v>2.7352810000000001</v>
      </c>
      <c r="D757" s="6">
        <f t="shared" si="78"/>
        <v>246.17529000000002</v>
      </c>
      <c r="E757" s="6">
        <f t="shared" si="82"/>
        <v>-1964.1307970000007</v>
      </c>
      <c r="F757" s="6">
        <f t="shared" si="83"/>
        <v>-4.0775000000004002E-4</v>
      </c>
      <c r="G757" s="6">
        <f t="shared" si="79"/>
        <v>968.04843070313643</v>
      </c>
      <c r="H757" s="7">
        <f t="shared" si="80"/>
        <v>4.3386740756713016E-12</v>
      </c>
      <c r="I757" s="8" t="str">
        <f t="shared" si="81"/>
        <v/>
      </c>
    </row>
    <row r="758" spans="1:9" x14ac:dyDescent="0.2">
      <c r="A758" s="5">
        <v>88</v>
      </c>
      <c r="B758" s="6">
        <v>2.7699470000000002</v>
      </c>
      <c r="C758" s="6">
        <f t="shared" si="77"/>
        <v>2.7359470000000004</v>
      </c>
      <c r="D758" s="6">
        <f t="shared" si="78"/>
        <v>240.76333600000004</v>
      </c>
      <c r="E758" s="6">
        <f t="shared" si="82"/>
        <v>-1969.6020250000008</v>
      </c>
      <c r="F758" s="6">
        <f t="shared" si="83"/>
        <v>-2.6749999999997609E-4</v>
      </c>
      <c r="G758" s="6">
        <f t="shared" si="79"/>
        <v>967.80523354968136</v>
      </c>
      <c r="H758" s="7">
        <f t="shared" si="80"/>
        <v>6.6117753835995515E-12</v>
      </c>
      <c r="I758" s="8" t="str">
        <f t="shared" si="81"/>
        <v/>
      </c>
    </row>
    <row r="759" spans="1:9" x14ac:dyDescent="0.2">
      <c r="A759" s="5">
        <v>86</v>
      </c>
      <c r="B759" s="6">
        <v>2.7703509999999998</v>
      </c>
      <c r="C759" s="6">
        <f t="shared" si="77"/>
        <v>2.736351</v>
      </c>
      <c r="D759" s="6">
        <f t="shared" si="78"/>
        <v>235.32618600000001</v>
      </c>
      <c r="E759" s="6">
        <f t="shared" si="82"/>
        <v>-1975.0743230000007</v>
      </c>
      <c r="F759" s="6">
        <f t="shared" si="83"/>
        <v>-4.9124999999994312E-4</v>
      </c>
      <c r="G759" s="6">
        <f t="shared" si="79"/>
        <v>967.65690054968763</v>
      </c>
      <c r="H759" s="7">
        <f t="shared" si="80"/>
        <v>3.5997533612703288E-12</v>
      </c>
      <c r="I759" s="8" t="str">
        <f t="shared" si="81"/>
        <v/>
      </c>
    </row>
    <row r="760" spans="1:9" x14ac:dyDescent="0.2">
      <c r="A760" s="5">
        <v>84</v>
      </c>
      <c r="B760" s="6">
        <v>2.7719119999999999</v>
      </c>
      <c r="C760" s="6">
        <f t="shared" si="77"/>
        <v>2.7379120000000001</v>
      </c>
      <c r="D760" s="6">
        <f t="shared" si="78"/>
        <v>229.98460800000001</v>
      </c>
      <c r="E760" s="6">
        <f t="shared" si="82"/>
        <v>-1980.5485860000008</v>
      </c>
      <c r="F760" s="6">
        <f t="shared" si="83"/>
        <v>-9.2975000000006247E-4</v>
      </c>
      <c r="G760" s="6">
        <f t="shared" si="79"/>
        <v>967.08064039872158</v>
      </c>
      <c r="H760" s="7">
        <f t="shared" si="80"/>
        <v>1.900861233366702E-12</v>
      </c>
      <c r="I760" s="8" t="str">
        <f t="shared" si="81"/>
        <v/>
      </c>
    </row>
    <row r="761" spans="1:9" x14ac:dyDescent="0.2">
      <c r="A761" s="5">
        <v>82</v>
      </c>
      <c r="B761" s="6">
        <v>2.77407</v>
      </c>
      <c r="C761" s="6">
        <f t="shared" si="77"/>
        <v>2.7400700000000002</v>
      </c>
      <c r="D761" s="6">
        <f t="shared" si="78"/>
        <v>224.68574000000001</v>
      </c>
      <c r="E761" s="6">
        <f t="shared" si="82"/>
        <v>-1986.0265680000009</v>
      </c>
      <c r="F761" s="6">
        <f t="shared" si="83"/>
        <v>-1.2545000000000472E-3</v>
      </c>
      <c r="G761" s="6">
        <f t="shared" si="79"/>
        <v>966.27967519578476</v>
      </c>
      <c r="H761" s="7">
        <f t="shared" si="80"/>
        <v>1.40762214390147E-12</v>
      </c>
      <c r="I761" s="8" t="str">
        <f t="shared" si="81"/>
        <v/>
      </c>
    </row>
    <row r="762" spans="1:9" x14ac:dyDescent="0.2">
      <c r="A762" s="5">
        <v>80</v>
      </c>
      <c r="B762" s="6">
        <v>2.7769300000000001</v>
      </c>
      <c r="C762" s="6">
        <f t="shared" si="77"/>
        <v>2.7429300000000003</v>
      </c>
      <c r="D762" s="6">
        <f t="shared" si="78"/>
        <v>219.43440000000004</v>
      </c>
      <c r="E762" s="6">
        <f t="shared" si="82"/>
        <v>-1991.5095680000009</v>
      </c>
      <c r="F762" s="6">
        <f t="shared" si="83"/>
        <v>-7.5875000000003023E-4</v>
      </c>
      <c r="G762" s="6">
        <f t="shared" si="79"/>
        <v>965.21243504731387</v>
      </c>
      <c r="H762" s="7">
        <f t="shared" si="80"/>
        <v>2.324759952231942E-12</v>
      </c>
      <c r="I762" s="8" t="str">
        <f t="shared" si="81"/>
        <v/>
      </c>
    </row>
    <row r="763" spans="1:9" x14ac:dyDescent="0.2">
      <c r="A763" s="5">
        <v>78</v>
      </c>
      <c r="B763" s="6">
        <v>2.7771050000000002</v>
      </c>
      <c r="C763" s="6">
        <f t="shared" si="77"/>
        <v>2.7431050000000003</v>
      </c>
      <c r="D763" s="6">
        <f t="shared" si="78"/>
        <v>213.96219000000002</v>
      </c>
      <c r="E763" s="6">
        <f t="shared" si="82"/>
        <v>-1996.9956030000008</v>
      </c>
      <c r="F763" s="6">
        <f t="shared" si="83"/>
        <v>-7.9825000000000035E-4</v>
      </c>
      <c r="G763" s="6">
        <f t="shared" si="79"/>
        <v>965.14678189137589</v>
      </c>
      <c r="H763" s="7">
        <f t="shared" si="80"/>
        <v>2.2095729828667961E-12</v>
      </c>
      <c r="I763" s="8" t="str">
        <f t="shared" si="81"/>
        <v/>
      </c>
    </row>
    <row r="764" spans="1:9" x14ac:dyDescent="0.2">
      <c r="A764" s="5">
        <v>76</v>
      </c>
      <c r="B764" s="6">
        <v>2.7801230000000001</v>
      </c>
      <c r="C764" s="6">
        <f t="shared" si="77"/>
        <v>2.7461230000000003</v>
      </c>
      <c r="D764" s="6">
        <f t="shared" si="78"/>
        <v>208.70534800000001</v>
      </c>
      <c r="E764" s="6">
        <f t="shared" si="82"/>
        <v>-2002.4848310000007</v>
      </c>
      <c r="F764" s="6">
        <f t="shared" si="83"/>
        <v>-1.5922499999999618E-3</v>
      </c>
      <c r="G764" s="6">
        <f t="shared" si="79"/>
        <v>964.00851032211563</v>
      </c>
      <c r="H764" s="7">
        <f t="shared" si="80"/>
        <v>1.1064289269411444E-12</v>
      </c>
      <c r="I764" s="8" t="str">
        <f t="shared" si="81"/>
        <v/>
      </c>
    </row>
    <row r="765" spans="1:9" x14ac:dyDescent="0.2">
      <c r="A765" s="5">
        <v>74</v>
      </c>
      <c r="B765" s="6">
        <v>2.783474</v>
      </c>
      <c r="C765" s="6">
        <f t="shared" si="77"/>
        <v>2.7494740000000002</v>
      </c>
      <c r="D765" s="6">
        <f t="shared" si="78"/>
        <v>203.46107600000002</v>
      </c>
      <c r="E765" s="6">
        <f t="shared" si="82"/>
        <v>-2007.9804280000008</v>
      </c>
      <c r="F765" s="6">
        <f t="shared" si="83"/>
        <v>-1.7982500000000012E-3</v>
      </c>
      <c r="G765" s="6">
        <f t="shared" si="79"/>
        <v>962.73794217612794</v>
      </c>
      <c r="H765" s="7">
        <f t="shared" si="80"/>
        <v>9.7838983134200419E-13</v>
      </c>
      <c r="I765" s="8" t="str">
        <f t="shared" si="81"/>
        <v/>
      </c>
    </row>
    <row r="766" spans="1:9" x14ac:dyDescent="0.2">
      <c r="A766" s="5">
        <v>72</v>
      </c>
      <c r="B766" s="6">
        <v>2.7873160000000001</v>
      </c>
      <c r="C766" s="6">
        <f t="shared" si="77"/>
        <v>2.7533160000000003</v>
      </c>
      <c r="D766" s="6">
        <f t="shared" si="78"/>
        <v>198.23875200000003</v>
      </c>
      <c r="E766" s="6">
        <f t="shared" si="82"/>
        <v>-2013.4832180000008</v>
      </c>
      <c r="F766" s="6">
        <f t="shared" si="83"/>
        <v>-1.6884999999999817E-3</v>
      </c>
      <c r="G766" s="6">
        <f t="shared" si="79"/>
        <v>961.27352203262285</v>
      </c>
      <c r="H766" s="7">
        <f t="shared" si="80"/>
        <v>1.0403987609168936E-12</v>
      </c>
      <c r="I766" s="8" t="str">
        <f t="shared" si="81"/>
        <v/>
      </c>
    </row>
    <row r="767" spans="1:9" x14ac:dyDescent="0.2">
      <c r="A767" s="5">
        <v>70</v>
      </c>
      <c r="B767" s="6">
        <v>2.7902279999999999</v>
      </c>
      <c r="C767" s="6">
        <f t="shared" si="77"/>
        <v>2.7562280000000001</v>
      </c>
      <c r="D767" s="6">
        <f t="shared" si="78"/>
        <v>192.93596000000002</v>
      </c>
      <c r="E767" s="6">
        <f t="shared" si="82"/>
        <v>-2018.9927620000008</v>
      </c>
      <c r="F767" s="6">
        <f t="shared" si="83"/>
        <v>-1.039499999999971E-3</v>
      </c>
      <c r="G767" s="6">
        <f t="shared" si="79"/>
        <v>960.15775751781644</v>
      </c>
      <c r="H767" s="7">
        <f t="shared" si="80"/>
        <v>1.6879983304182228E-12</v>
      </c>
      <c r="I767" s="8" t="str">
        <f t="shared" si="81"/>
        <v/>
      </c>
    </row>
    <row r="768" spans="1:9" x14ac:dyDescent="0.2">
      <c r="A768" s="5">
        <v>68</v>
      </c>
      <c r="B768" s="6">
        <v>2.791474</v>
      </c>
      <c r="C768" s="6">
        <f t="shared" si="77"/>
        <v>2.7574740000000002</v>
      </c>
      <c r="D768" s="6">
        <f t="shared" si="78"/>
        <v>187.50823200000002</v>
      </c>
      <c r="E768" s="6">
        <f t="shared" si="82"/>
        <v>-2024.5064640000007</v>
      </c>
      <c r="F768" s="6">
        <f t="shared" si="83"/>
        <v>-3.0700000000005723E-4</v>
      </c>
      <c r="G768" s="6">
        <f t="shared" si="79"/>
        <v>959.67784704753853</v>
      </c>
      <c r="H768" s="7">
        <f t="shared" si="80"/>
        <v>5.712694576876772E-12</v>
      </c>
      <c r="I768" s="8" t="str">
        <f t="shared" si="81"/>
        <v/>
      </c>
    </row>
    <row r="769" spans="1:9" x14ac:dyDescent="0.2">
      <c r="A769" s="5">
        <v>66</v>
      </c>
      <c r="B769" s="6">
        <v>2.7914560000000002</v>
      </c>
      <c r="C769" s="6">
        <f t="shared" si="77"/>
        <v>2.7574560000000004</v>
      </c>
      <c r="D769" s="6">
        <f t="shared" si="78"/>
        <v>181.99209600000003</v>
      </c>
      <c r="E769" s="6">
        <f t="shared" si="82"/>
        <v>-2030.0213940000008</v>
      </c>
      <c r="F769" s="6">
        <f t="shared" si="83"/>
        <v>-3.069999999999462E-4</v>
      </c>
      <c r="G769" s="6">
        <f t="shared" si="79"/>
        <v>959.68481594357786</v>
      </c>
      <c r="H769" s="7">
        <f t="shared" si="80"/>
        <v>5.7127360607733892E-12</v>
      </c>
      <c r="I769" s="8" t="str">
        <f t="shared" si="81"/>
        <v/>
      </c>
    </row>
    <row r="770" spans="1:9" x14ac:dyDescent="0.2">
      <c r="A770" s="5">
        <v>64</v>
      </c>
      <c r="B770" s="6">
        <v>2.7927019999999998</v>
      </c>
      <c r="C770" s="6">
        <f t="shared" ref="C770:C833" si="84">B770-$B$2</f>
        <v>2.758702</v>
      </c>
      <c r="D770" s="6">
        <f t="shared" ref="D770:D833" si="85">A770*C770</f>
        <v>176.556928</v>
      </c>
      <c r="E770" s="6">
        <f t="shared" si="82"/>
        <v>-2035.5375520000007</v>
      </c>
      <c r="F770" s="6">
        <f t="shared" si="83"/>
        <v>-2.0175000000000054E-4</v>
      </c>
      <c r="G770" s="6">
        <f t="shared" ref="G770:G801" si="86">(A770-$L$5)*C770-E770</f>
        <v>959.19992147330004</v>
      </c>
      <c r="H770" s="7">
        <f t="shared" ref="H770:H833" si="87">IF(ABS(F770)&lt;0.000000001,"",-(G770)/(2*$L$4*F770)*0.000000000001)</f>
        <v>8.6885939682864258E-12</v>
      </c>
      <c r="I770" s="8" t="str">
        <f t="shared" ref="I770:I833" si="88">IF(AND(B770&gt;=0.5,B770&lt;=2.5,ISNUMBER(H770),H770&gt;0),H770,"")</f>
        <v/>
      </c>
    </row>
    <row r="771" spans="1:9" x14ac:dyDescent="0.2">
      <c r="A771" s="5">
        <v>62</v>
      </c>
      <c r="B771" s="6">
        <v>2.7922630000000002</v>
      </c>
      <c r="C771" s="6">
        <f t="shared" si="84"/>
        <v>2.7582630000000004</v>
      </c>
      <c r="D771" s="6">
        <f t="shared" si="85"/>
        <v>171.01230600000002</v>
      </c>
      <c r="E771" s="6">
        <f t="shared" ref="E771:E801" si="89">E770+(C770+C771)/2*(A771-A770)</f>
        <v>-2041.0545170000007</v>
      </c>
      <c r="F771" s="6">
        <f t="shared" ref="F771:F800" si="90">(B772-B770)/(A772-A770)</f>
        <v>-9.6500000000054875E-5</v>
      </c>
      <c r="G771" s="6">
        <f t="shared" si="86"/>
        <v>959.37164110448134</v>
      </c>
      <c r="H771" s="7">
        <f t="shared" si="87"/>
        <v>1.8168265784624423E-11</v>
      </c>
      <c r="I771" s="8" t="str">
        <f t="shared" si="88"/>
        <v/>
      </c>
    </row>
    <row r="772" spans="1:9" x14ac:dyDescent="0.2">
      <c r="A772" s="5">
        <v>60</v>
      </c>
      <c r="B772" s="6">
        <v>2.793088</v>
      </c>
      <c r="C772" s="6">
        <f t="shared" si="84"/>
        <v>2.7590880000000002</v>
      </c>
      <c r="D772" s="6">
        <f t="shared" si="85"/>
        <v>165.54528000000002</v>
      </c>
      <c r="E772" s="6">
        <f t="shared" si="89"/>
        <v>-2046.5718680000007</v>
      </c>
      <c r="F772" s="6">
        <f t="shared" si="90"/>
        <v>-5.0874999999994674E-4</v>
      </c>
      <c r="G772" s="6">
        <f t="shared" si="86"/>
        <v>959.04728336934545</v>
      </c>
      <c r="H772" s="7">
        <f t="shared" si="87"/>
        <v>3.4450022392109064E-12</v>
      </c>
      <c r="I772" s="8" t="str">
        <f t="shared" si="88"/>
        <v/>
      </c>
    </row>
    <row r="773" spans="1:9" x14ac:dyDescent="0.2">
      <c r="A773" s="5">
        <v>58</v>
      </c>
      <c r="B773" s="6">
        <v>2.7942979999999999</v>
      </c>
      <c r="C773" s="6">
        <f t="shared" si="84"/>
        <v>2.7602980000000001</v>
      </c>
      <c r="D773" s="6">
        <f t="shared" si="85"/>
        <v>160.097284</v>
      </c>
      <c r="E773" s="6">
        <f t="shared" si="89"/>
        <v>-2052.0912540000008</v>
      </c>
      <c r="F773" s="6">
        <f t="shared" si="90"/>
        <v>-8.4625000000004835E-4</v>
      </c>
      <c r="G773" s="6">
        <f t="shared" si="86"/>
        <v>958.56913869114669</v>
      </c>
      <c r="H773" s="7">
        <f t="shared" si="87"/>
        <v>2.070039688968125E-12</v>
      </c>
      <c r="I773" s="8" t="str">
        <f t="shared" si="88"/>
        <v/>
      </c>
    </row>
    <row r="774" spans="1:9" x14ac:dyDescent="0.2">
      <c r="A774" s="5">
        <v>56</v>
      </c>
      <c r="B774" s="6">
        <v>2.7964730000000002</v>
      </c>
      <c r="C774" s="6">
        <f t="shared" si="84"/>
        <v>2.7624730000000004</v>
      </c>
      <c r="D774" s="6">
        <f t="shared" si="85"/>
        <v>154.69848800000003</v>
      </c>
      <c r="E774" s="6">
        <f t="shared" si="89"/>
        <v>-2057.6140250000008</v>
      </c>
      <c r="F774" s="6">
        <f t="shared" si="90"/>
        <v>-1.2697499999999584E-3</v>
      </c>
      <c r="G774" s="6">
        <f t="shared" si="86"/>
        <v>957.70531375306132</v>
      </c>
      <c r="H774" s="7">
        <f t="shared" si="87"/>
        <v>1.3783756324820651E-12</v>
      </c>
      <c r="I774" s="8" t="str">
        <f t="shared" si="88"/>
        <v/>
      </c>
    </row>
    <row r="775" spans="1:9" x14ac:dyDescent="0.2">
      <c r="A775" s="5">
        <v>54</v>
      </c>
      <c r="B775" s="6">
        <v>2.7993769999999998</v>
      </c>
      <c r="C775" s="6">
        <f t="shared" si="84"/>
        <v>2.765377</v>
      </c>
      <c r="D775" s="6">
        <f t="shared" si="85"/>
        <v>149.33035799999999</v>
      </c>
      <c r="E775" s="6">
        <f t="shared" si="89"/>
        <v>-2063.1418750000007</v>
      </c>
      <c r="F775" s="6">
        <f t="shared" si="90"/>
        <v>-8.2299999999990714E-4</v>
      </c>
      <c r="G775" s="6">
        <f t="shared" si="86"/>
        <v>956.54615052538338</v>
      </c>
      <c r="H775" s="7">
        <f t="shared" si="87"/>
        <v>2.124026859650658E-12</v>
      </c>
      <c r="I775" s="8" t="str">
        <f t="shared" si="88"/>
        <v/>
      </c>
    </row>
    <row r="776" spans="1:9" x14ac:dyDescent="0.2">
      <c r="A776" s="5">
        <v>52</v>
      </c>
      <c r="B776" s="6">
        <v>2.7997649999999998</v>
      </c>
      <c r="C776" s="6">
        <f t="shared" si="84"/>
        <v>2.765765</v>
      </c>
      <c r="D776" s="6">
        <f t="shared" si="85"/>
        <v>143.81978000000001</v>
      </c>
      <c r="E776" s="6">
        <f t="shared" si="89"/>
        <v>-2068.6730170000005</v>
      </c>
      <c r="F776" s="6">
        <f t="shared" si="90"/>
        <v>-4.3625000000002689E-4</v>
      </c>
      <c r="G776" s="6">
        <f t="shared" si="86"/>
        <v>956.39050009964672</v>
      </c>
      <c r="H776" s="7">
        <f t="shared" si="87"/>
        <v>4.0063946283432513E-12</v>
      </c>
      <c r="I776" s="8" t="str">
        <f t="shared" si="88"/>
        <v/>
      </c>
    </row>
    <row r="777" spans="1:9" x14ac:dyDescent="0.2">
      <c r="A777" s="5">
        <v>50</v>
      </c>
      <c r="B777" s="6">
        <v>2.8011219999999999</v>
      </c>
      <c r="C777" s="6">
        <f t="shared" si="84"/>
        <v>2.7671220000000001</v>
      </c>
      <c r="D777" s="6">
        <f t="shared" si="85"/>
        <v>138.3561</v>
      </c>
      <c r="E777" s="6">
        <f t="shared" si="89"/>
        <v>-2074.2059040000004</v>
      </c>
      <c r="F777" s="6">
        <f t="shared" si="90"/>
        <v>-4.2750000000091326E-5</v>
      </c>
      <c r="G777" s="6">
        <f t="shared" si="86"/>
        <v>955.84341077045951</v>
      </c>
      <c r="H777" s="7">
        <f t="shared" si="87"/>
        <v>4.0860581493810813E-11</v>
      </c>
      <c r="I777" s="8" t="str">
        <f t="shared" si="88"/>
        <v/>
      </c>
    </row>
    <row r="778" spans="1:9" x14ac:dyDescent="0.2">
      <c r="A778" s="5">
        <v>48</v>
      </c>
      <c r="B778" s="6">
        <v>2.7999360000000002</v>
      </c>
      <c r="C778" s="6">
        <f t="shared" si="84"/>
        <v>2.7659360000000004</v>
      </c>
      <c r="D778" s="6">
        <f t="shared" si="85"/>
        <v>132.76492800000003</v>
      </c>
      <c r="E778" s="6">
        <f t="shared" si="89"/>
        <v>-2079.7389620000004</v>
      </c>
      <c r="F778" s="6">
        <f t="shared" si="90"/>
        <v>6.9499999999944606E-5</v>
      </c>
      <c r="G778" s="6">
        <f t="shared" si="86"/>
        <v>956.32393158727268</v>
      </c>
      <c r="H778" s="7">
        <f t="shared" si="87"/>
        <v>-2.5146302210548271E-11</v>
      </c>
      <c r="I778" s="8" t="str">
        <f t="shared" si="88"/>
        <v/>
      </c>
    </row>
    <row r="779" spans="1:9" x14ac:dyDescent="0.2">
      <c r="A779" s="5">
        <v>46</v>
      </c>
      <c r="B779" s="6">
        <v>2.8008440000000001</v>
      </c>
      <c r="C779" s="6">
        <f t="shared" si="84"/>
        <v>2.7668440000000003</v>
      </c>
      <c r="D779" s="6">
        <f t="shared" si="85"/>
        <v>127.27482400000001</v>
      </c>
      <c r="E779" s="6">
        <f t="shared" si="89"/>
        <v>-2085.2717420000004</v>
      </c>
      <c r="F779" s="6">
        <f t="shared" si="90"/>
        <v>-1.0899999999991472E-4</v>
      </c>
      <c r="G779" s="6">
        <f t="shared" si="86"/>
        <v>955.95422949817794</v>
      </c>
      <c r="H779" s="7">
        <f t="shared" si="87"/>
        <v>1.6027453013488616E-11</v>
      </c>
      <c r="I779" s="8" t="str">
        <f t="shared" si="88"/>
        <v/>
      </c>
    </row>
    <row r="780" spans="1:9" x14ac:dyDescent="0.2">
      <c r="A780" s="5">
        <v>44</v>
      </c>
      <c r="B780" s="6">
        <v>2.8003719999999999</v>
      </c>
      <c r="C780" s="6">
        <f t="shared" si="84"/>
        <v>2.7663720000000001</v>
      </c>
      <c r="D780" s="6">
        <f t="shared" si="85"/>
        <v>121.72036800000001</v>
      </c>
      <c r="E780" s="6">
        <f t="shared" si="89"/>
        <v>-2090.8049580000002</v>
      </c>
      <c r="F780" s="6">
        <f t="shared" si="90"/>
        <v>-8.1749999999991552E-5</v>
      </c>
      <c r="G780" s="6">
        <f t="shared" si="86"/>
        <v>956.14735343876464</v>
      </c>
      <c r="H780" s="7">
        <f t="shared" si="87"/>
        <v>2.1374254552257439E-11</v>
      </c>
      <c r="I780" s="8" t="str">
        <f t="shared" si="88"/>
        <v/>
      </c>
    </row>
    <row r="781" spans="1:9" x14ac:dyDescent="0.2">
      <c r="A781" s="5">
        <v>42</v>
      </c>
      <c r="B781" s="6">
        <v>2.8011710000000001</v>
      </c>
      <c r="C781" s="6">
        <f t="shared" si="84"/>
        <v>2.7671710000000003</v>
      </c>
      <c r="D781" s="6">
        <f t="shared" si="85"/>
        <v>116.22118200000001</v>
      </c>
      <c r="E781" s="6">
        <f t="shared" si="89"/>
        <v>-2096.3385010000002</v>
      </c>
      <c r="F781" s="6">
        <f t="shared" si="90"/>
        <v>-5.0325000000006614E-4</v>
      </c>
      <c r="G781" s="6">
        <f t="shared" si="86"/>
        <v>955.81883588679671</v>
      </c>
      <c r="H781" s="7">
        <f t="shared" si="87"/>
        <v>3.4709288596588222E-12</v>
      </c>
      <c r="I781" s="8" t="str">
        <f t="shared" si="88"/>
        <v/>
      </c>
    </row>
    <row r="782" spans="1:9" x14ac:dyDescent="0.2">
      <c r="A782" s="5">
        <v>40</v>
      </c>
      <c r="B782" s="6">
        <v>2.8023850000000001</v>
      </c>
      <c r="C782" s="6">
        <f t="shared" si="84"/>
        <v>2.7683850000000003</v>
      </c>
      <c r="D782" s="6">
        <f t="shared" si="85"/>
        <v>110.73540000000001</v>
      </c>
      <c r="E782" s="6">
        <f t="shared" si="89"/>
        <v>-2101.874057</v>
      </c>
      <c r="F782" s="6">
        <f t="shared" si="90"/>
        <v>-2.882499999999899E-4</v>
      </c>
      <c r="G782" s="6">
        <f t="shared" si="86"/>
        <v>955.31725856503294</v>
      </c>
      <c r="H782" s="7">
        <f t="shared" si="87"/>
        <v>6.0566463951468231E-12</v>
      </c>
      <c r="I782" s="8" t="str">
        <f t="shared" si="88"/>
        <v/>
      </c>
    </row>
    <row r="783" spans="1:9" x14ac:dyDescent="0.2">
      <c r="A783" s="5">
        <v>38</v>
      </c>
      <c r="B783" s="6">
        <v>2.802324</v>
      </c>
      <c r="C783" s="6">
        <f t="shared" si="84"/>
        <v>2.7683240000000002</v>
      </c>
      <c r="D783" s="6">
        <f t="shared" si="85"/>
        <v>105.19631200000001</v>
      </c>
      <c r="E783" s="6">
        <f t="shared" si="89"/>
        <v>-2107.410766</v>
      </c>
      <c r="F783" s="6">
        <f t="shared" si="90"/>
        <v>-3.609999999999447E-4</v>
      </c>
      <c r="G783" s="6">
        <f t="shared" si="86"/>
        <v>955.34258337938854</v>
      </c>
      <c r="H783" s="7">
        <f t="shared" si="87"/>
        <v>4.8362177399702683E-12</v>
      </c>
      <c r="I783" s="8" t="str">
        <f t="shared" si="88"/>
        <v/>
      </c>
    </row>
    <row r="784" spans="1:9" x14ac:dyDescent="0.2">
      <c r="A784" s="5">
        <v>36</v>
      </c>
      <c r="B784" s="6">
        <v>2.8038289999999999</v>
      </c>
      <c r="C784" s="6">
        <f t="shared" si="84"/>
        <v>2.7698290000000001</v>
      </c>
      <c r="D784" s="6">
        <f t="shared" si="85"/>
        <v>99.713844000000009</v>
      </c>
      <c r="E784" s="6">
        <f t="shared" si="89"/>
        <v>-2112.9489189999999</v>
      </c>
      <c r="F784" s="6">
        <f t="shared" si="90"/>
        <v>-7.7499999999997016E-4</v>
      </c>
      <c r="G784" s="6">
        <f t="shared" si="86"/>
        <v>954.71475623832271</v>
      </c>
      <c r="H784" s="7">
        <f t="shared" si="87"/>
        <v>2.2512609796226169E-12</v>
      </c>
      <c r="I784" s="8" t="str">
        <f t="shared" si="88"/>
        <v/>
      </c>
    </row>
    <row r="785" spans="1:9" x14ac:dyDescent="0.2">
      <c r="A785" s="5">
        <v>34</v>
      </c>
      <c r="B785" s="6">
        <v>2.8054239999999999</v>
      </c>
      <c r="C785" s="6">
        <f t="shared" si="84"/>
        <v>2.7714240000000001</v>
      </c>
      <c r="D785" s="6">
        <f t="shared" si="85"/>
        <v>94.22841600000001</v>
      </c>
      <c r="E785" s="6">
        <f t="shared" si="89"/>
        <v>-2118.4901719999998</v>
      </c>
      <c r="F785" s="6">
        <f t="shared" si="90"/>
        <v>-5.5899999999997618E-4</v>
      </c>
      <c r="G785" s="6">
        <f t="shared" si="86"/>
        <v>954.04619461705988</v>
      </c>
      <c r="H785" s="7">
        <f t="shared" si="87"/>
        <v>3.1189722229319682E-12</v>
      </c>
      <c r="I785" s="8" t="str">
        <f t="shared" si="88"/>
        <v/>
      </c>
    </row>
    <row r="786" spans="1:9" x14ac:dyDescent="0.2">
      <c r="A786" s="5">
        <v>32</v>
      </c>
      <c r="B786" s="6">
        <v>2.8060649999999998</v>
      </c>
      <c r="C786" s="6">
        <f t="shared" si="84"/>
        <v>2.772065</v>
      </c>
      <c r="D786" s="6">
        <f t="shared" si="85"/>
        <v>88.70608</v>
      </c>
      <c r="E786" s="6">
        <f t="shared" si="89"/>
        <v>-2124.0336609999999</v>
      </c>
      <c r="F786" s="6">
        <f t="shared" si="90"/>
        <v>-9.5425000000004534E-4</v>
      </c>
      <c r="G786" s="6">
        <f t="shared" si="86"/>
        <v>953.77623048588202</v>
      </c>
      <c r="H786" s="7">
        <f t="shared" si="87"/>
        <v>1.8265780635220642E-12</v>
      </c>
      <c r="I786" s="8" t="str">
        <f t="shared" si="88"/>
        <v/>
      </c>
    </row>
    <row r="787" spans="1:9" x14ac:dyDescent="0.2">
      <c r="A787" s="5">
        <v>30</v>
      </c>
      <c r="B787" s="6">
        <v>2.8092410000000001</v>
      </c>
      <c r="C787" s="6">
        <f t="shared" si="84"/>
        <v>2.7752410000000003</v>
      </c>
      <c r="D787" s="6">
        <f t="shared" si="85"/>
        <v>83.257230000000007</v>
      </c>
      <c r="E787" s="6">
        <f t="shared" si="89"/>
        <v>-2129.5809669999999</v>
      </c>
      <c r="F787" s="6">
        <f t="shared" si="90"/>
        <v>-1.5022500000000383E-3</v>
      </c>
      <c r="G787" s="6">
        <f t="shared" si="86"/>
        <v>952.43227149583186</v>
      </c>
      <c r="H787" s="7">
        <f t="shared" si="87"/>
        <v>1.1586327520120983E-12</v>
      </c>
      <c r="I787" s="8" t="str">
        <f t="shared" si="88"/>
        <v/>
      </c>
    </row>
    <row r="788" spans="1:9" x14ac:dyDescent="0.2">
      <c r="A788" s="5">
        <v>28</v>
      </c>
      <c r="B788" s="6">
        <v>2.812074</v>
      </c>
      <c r="C788" s="6">
        <f t="shared" si="84"/>
        <v>2.7780740000000002</v>
      </c>
      <c r="D788" s="6">
        <f t="shared" si="85"/>
        <v>77.786072000000004</v>
      </c>
      <c r="E788" s="6">
        <f t="shared" si="89"/>
        <v>-2135.134282</v>
      </c>
      <c r="F788" s="6">
        <f t="shared" si="90"/>
        <v>-7.6975000000001348E-4</v>
      </c>
      <c r="G788" s="6">
        <f t="shared" si="86"/>
        <v>951.2277906914203</v>
      </c>
      <c r="H788" s="7">
        <f t="shared" si="87"/>
        <v>2.2583369673913541E-12</v>
      </c>
      <c r="I788" s="8" t="str">
        <f t="shared" si="88"/>
        <v/>
      </c>
    </row>
    <row r="789" spans="1:9" x14ac:dyDescent="0.2">
      <c r="A789" s="5">
        <v>26</v>
      </c>
      <c r="B789" s="6">
        <v>2.8123200000000002</v>
      </c>
      <c r="C789" s="6">
        <f t="shared" si="84"/>
        <v>2.7783200000000003</v>
      </c>
      <c r="D789" s="6">
        <f t="shared" si="85"/>
        <v>72.236320000000006</v>
      </c>
      <c r="E789" s="6">
        <f t="shared" si="89"/>
        <v>-2140.6906760000002</v>
      </c>
      <c r="F789" s="6">
        <f t="shared" si="90"/>
        <v>-1.231500000000052E-3</v>
      </c>
      <c r="G789" s="6">
        <f t="shared" si="86"/>
        <v>951.12270911221617</v>
      </c>
      <c r="H789" s="7">
        <f t="shared" si="87"/>
        <v>1.4114192818511871E-12</v>
      </c>
      <c r="I789" s="8" t="str">
        <f t="shared" si="88"/>
        <v/>
      </c>
    </row>
    <row r="790" spans="1:9" x14ac:dyDescent="0.2">
      <c r="A790" s="5">
        <v>24</v>
      </c>
      <c r="B790" s="6">
        <v>2.8170000000000002</v>
      </c>
      <c r="C790" s="6">
        <f t="shared" si="84"/>
        <v>2.7830000000000004</v>
      </c>
      <c r="D790" s="6">
        <f t="shared" si="85"/>
        <v>66.792000000000002</v>
      </c>
      <c r="E790" s="6">
        <f t="shared" si="89"/>
        <v>-2146.251996</v>
      </c>
      <c r="F790" s="6">
        <f t="shared" si="90"/>
        <v>-2.5984999999999481E-3</v>
      </c>
      <c r="G790" s="6">
        <f t="shared" si="86"/>
        <v>949.11423614199134</v>
      </c>
      <c r="H790" s="7">
        <f t="shared" si="87"/>
        <v>6.6749755266900087E-13</v>
      </c>
      <c r="I790" s="8" t="str">
        <f t="shared" si="88"/>
        <v/>
      </c>
    </row>
    <row r="791" spans="1:9" x14ac:dyDescent="0.2">
      <c r="A791" s="5">
        <v>22</v>
      </c>
      <c r="B791" s="6">
        <v>2.8227139999999999</v>
      </c>
      <c r="C791" s="6">
        <f t="shared" si="84"/>
        <v>2.7887140000000001</v>
      </c>
      <c r="D791" s="6">
        <f t="shared" si="85"/>
        <v>61.351708000000002</v>
      </c>
      <c r="E791" s="6">
        <f t="shared" si="89"/>
        <v>-2151.8237100000001</v>
      </c>
      <c r="F791" s="6">
        <f t="shared" si="90"/>
        <v>-3.1052499999999483E-3</v>
      </c>
      <c r="G791" s="6">
        <f t="shared" si="86"/>
        <v>946.6505828103966</v>
      </c>
      <c r="H791" s="7">
        <f t="shared" si="87"/>
        <v>5.5711781665412689E-13</v>
      </c>
      <c r="I791" s="8" t="str">
        <f t="shared" si="88"/>
        <v/>
      </c>
    </row>
    <row r="792" spans="1:9" x14ac:dyDescent="0.2">
      <c r="A792" s="5">
        <v>20</v>
      </c>
      <c r="B792" s="6">
        <v>2.829421</v>
      </c>
      <c r="C792" s="6">
        <f t="shared" si="84"/>
        <v>2.7954210000000002</v>
      </c>
      <c r="D792" s="6">
        <f t="shared" si="85"/>
        <v>55.908420000000007</v>
      </c>
      <c r="E792" s="6">
        <f t="shared" si="89"/>
        <v>-2157.4078450000002</v>
      </c>
      <c r="F792" s="6">
        <f t="shared" si="90"/>
        <v>-2.4245000000000516E-3</v>
      </c>
      <c r="G792" s="6">
        <f t="shared" si="86"/>
        <v>943.74537271396571</v>
      </c>
      <c r="H792" s="7">
        <f t="shared" si="87"/>
        <v>7.1135527786668015E-13</v>
      </c>
      <c r="I792" s="8" t="str">
        <f t="shared" si="88"/>
        <v/>
      </c>
    </row>
    <row r="793" spans="1:9" x14ac:dyDescent="0.2">
      <c r="A793" s="5">
        <v>18</v>
      </c>
      <c r="B793" s="6">
        <v>2.8324120000000002</v>
      </c>
      <c r="C793" s="6">
        <f t="shared" si="84"/>
        <v>2.7984120000000003</v>
      </c>
      <c r="D793" s="6">
        <f t="shared" si="85"/>
        <v>50.371416000000004</v>
      </c>
      <c r="E793" s="6">
        <f t="shared" si="89"/>
        <v>-2163.0016780000001</v>
      </c>
      <c r="F793" s="6">
        <f t="shared" si="90"/>
        <v>-3.2780000000000031E-3</v>
      </c>
      <c r="G793" s="6">
        <f t="shared" si="86"/>
        <v>942.44380648876404</v>
      </c>
      <c r="H793" s="7">
        <f t="shared" si="87"/>
        <v>5.2541253140329198E-13</v>
      </c>
      <c r="I793" s="8" t="str">
        <f t="shared" si="88"/>
        <v/>
      </c>
    </row>
    <row r="794" spans="1:9" x14ac:dyDescent="0.2">
      <c r="A794" s="5">
        <v>16</v>
      </c>
      <c r="B794" s="6">
        <v>2.842533</v>
      </c>
      <c r="C794" s="6">
        <f t="shared" si="84"/>
        <v>2.8085330000000002</v>
      </c>
      <c r="D794" s="6">
        <f t="shared" si="85"/>
        <v>44.936528000000003</v>
      </c>
      <c r="E794" s="6">
        <f t="shared" si="89"/>
        <v>-2168.6086230000001</v>
      </c>
      <c r="F794" s="6">
        <f t="shared" si="90"/>
        <v>-4.1277499999999856E-3</v>
      </c>
      <c r="G794" s="6">
        <f t="shared" si="86"/>
        <v>938.01930111020761</v>
      </c>
      <c r="H794" s="7">
        <f t="shared" si="87"/>
        <v>4.1529079015115687E-13</v>
      </c>
      <c r="I794" s="8" t="str">
        <f t="shared" si="88"/>
        <v/>
      </c>
    </row>
    <row r="795" spans="1:9" x14ac:dyDescent="0.2">
      <c r="A795" s="5">
        <v>14</v>
      </c>
      <c r="B795" s="6">
        <v>2.8489230000000001</v>
      </c>
      <c r="C795" s="6">
        <f t="shared" si="84"/>
        <v>2.8149230000000003</v>
      </c>
      <c r="D795" s="6">
        <f t="shared" si="85"/>
        <v>39.408922000000004</v>
      </c>
      <c r="E795" s="6">
        <f t="shared" si="89"/>
        <v>-2174.2320789999999</v>
      </c>
      <c r="F795" s="6">
        <f t="shared" si="90"/>
        <v>-3.298499999999982E-3</v>
      </c>
      <c r="G795" s="6">
        <f t="shared" si="86"/>
        <v>935.21306301624668</v>
      </c>
      <c r="H795" s="7">
        <f t="shared" si="87"/>
        <v>5.1814103379008641E-13</v>
      </c>
      <c r="I795" s="8" t="str">
        <f t="shared" si="88"/>
        <v/>
      </c>
    </row>
    <row r="796" spans="1:9" x14ac:dyDescent="0.2">
      <c r="A796" s="5">
        <v>12</v>
      </c>
      <c r="B796" s="6">
        <v>2.8557269999999999</v>
      </c>
      <c r="C796" s="6">
        <f t="shared" si="84"/>
        <v>2.8217270000000001</v>
      </c>
      <c r="D796" s="6">
        <f t="shared" si="85"/>
        <v>33.860724000000005</v>
      </c>
      <c r="E796" s="6">
        <f t="shared" si="89"/>
        <v>-2179.8687289999998</v>
      </c>
      <c r="F796" s="6">
        <f t="shared" si="90"/>
        <v>-2.7414999999999523E-3</v>
      </c>
      <c r="G796" s="6">
        <f t="shared" si="86"/>
        <v>932.21140431338154</v>
      </c>
      <c r="H796" s="7">
        <f t="shared" si="87"/>
        <v>6.2141262540982445E-13</v>
      </c>
      <c r="I796" s="8" t="str">
        <f t="shared" si="88"/>
        <v/>
      </c>
    </row>
    <row r="797" spans="1:9" x14ac:dyDescent="0.2">
      <c r="A797" s="5">
        <v>10</v>
      </c>
      <c r="B797" s="6">
        <v>2.8598889999999999</v>
      </c>
      <c r="C797" s="6">
        <f t="shared" si="84"/>
        <v>2.8258890000000001</v>
      </c>
      <c r="D797" s="6">
        <f t="shared" si="85"/>
        <v>28.258890000000001</v>
      </c>
      <c r="E797" s="6">
        <f t="shared" si="89"/>
        <v>-2185.516345</v>
      </c>
      <c r="F797" s="6">
        <f t="shared" si="90"/>
        <v>6.1817499999999859E-3</v>
      </c>
      <c r="G797" s="6">
        <f t="shared" si="86"/>
        <v>930.36696868473314</v>
      </c>
      <c r="H797" s="7">
        <f t="shared" si="87"/>
        <v>-2.7504056835282672E-13</v>
      </c>
      <c r="I797" s="8" t="str">
        <f t="shared" si="88"/>
        <v/>
      </c>
    </row>
    <row r="798" spans="1:9" x14ac:dyDescent="0.2">
      <c r="A798" s="5">
        <v>8</v>
      </c>
      <c r="B798" s="6">
        <v>2.831</v>
      </c>
      <c r="C798" s="6">
        <f t="shared" si="84"/>
        <v>2.7970000000000002</v>
      </c>
      <c r="D798" s="6">
        <f t="shared" si="85"/>
        <v>22.376000000000001</v>
      </c>
      <c r="E798" s="6">
        <f t="shared" si="89"/>
        <v>-2191.1392340000002</v>
      </c>
      <c r="F798" s="6">
        <f t="shared" si="90"/>
        <v>1.0222249999999988E-2</v>
      </c>
      <c r="G798" s="6">
        <f t="shared" si="86"/>
        <v>943.2272216669603</v>
      </c>
      <c r="H798" s="7">
        <f t="shared" si="87"/>
        <v>-1.6862568981630364E-13</v>
      </c>
      <c r="I798" s="8" t="str">
        <f t="shared" si="88"/>
        <v/>
      </c>
    </row>
    <row r="799" spans="1:9" x14ac:dyDescent="0.2">
      <c r="A799" s="5">
        <v>6</v>
      </c>
      <c r="B799" s="6">
        <v>2.819</v>
      </c>
      <c r="C799" s="6">
        <f t="shared" si="84"/>
        <v>2.7850000000000001</v>
      </c>
      <c r="D799" s="6">
        <f t="shared" si="85"/>
        <v>16.71</v>
      </c>
      <c r="E799" s="6">
        <f t="shared" si="89"/>
        <v>-2196.7212340000001</v>
      </c>
      <c r="F799" s="6">
        <f t="shared" si="90"/>
        <v>2.8332500000000094E-3</v>
      </c>
      <c r="G799" s="6">
        <f t="shared" si="86"/>
        <v>948.59315235984423</v>
      </c>
      <c r="H799" s="7">
        <f t="shared" si="87"/>
        <v>-6.1185568432601026E-13</v>
      </c>
      <c r="I799" s="8" t="str">
        <f t="shared" si="88"/>
        <v/>
      </c>
    </row>
    <row r="800" spans="1:9" x14ac:dyDescent="0.2">
      <c r="A800" s="5">
        <v>4</v>
      </c>
      <c r="B800" s="6">
        <v>2.8196669999999999</v>
      </c>
      <c r="C800" s="6">
        <f t="shared" si="84"/>
        <v>2.7856670000000001</v>
      </c>
      <c r="D800" s="6">
        <f t="shared" si="85"/>
        <v>11.142668</v>
      </c>
      <c r="E800" s="6">
        <f t="shared" si="89"/>
        <v>-2202.2919010000001</v>
      </c>
      <c r="F800" s="6">
        <f t="shared" si="90"/>
        <v>-4.750000000000032E-3</v>
      </c>
      <c r="G800" s="6">
        <f t="shared" si="86"/>
        <v>948.29356204549799</v>
      </c>
      <c r="H800" s="7">
        <f t="shared" si="87"/>
        <v>3.6484055172572005E-13</v>
      </c>
      <c r="I800" s="8" t="str">
        <f t="shared" si="88"/>
        <v/>
      </c>
    </row>
    <row r="801" spans="1:9" x14ac:dyDescent="0.2">
      <c r="A801" s="5">
        <v>2</v>
      </c>
      <c r="B801" s="6">
        <v>2.8380000000000001</v>
      </c>
      <c r="C801" s="6">
        <f t="shared" si="84"/>
        <v>2.8040000000000003</v>
      </c>
      <c r="D801" s="6">
        <f t="shared" si="85"/>
        <v>5.6080000000000005</v>
      </c>
      <c r="E801" s="6">
        <f t="shared" si="89"/>
        <v>-2207.8815680000002</v>
      </c>
      <c r="F801" s="6">
        <f>(B801-B800)/(A801-A800)</f>
        <v>-9.1665000000000774E-3</v>
      </c>
      <c r="G801" s="6">
        <f t="shared" si="86"/>
        <v>940.02242942944463</v>
      </c>
      <c r="H801" s="7">
        <f t="shared" si="87"/>
        <v>1.8740819797788922E-13</v>
      </c>
      <c r="I801" s="8" t="str">
        <f t="shared" si="88"/>
        <v/>
      </c>
    </row>
  </sheetData>
  <mergeCells count="1">
    <mergeCell ref="K1:M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F13"/>
  <sheetViews>
    <sheetView tabSelected="1" workbookViewId="0">
      <selection sqref="A1:F1"/>
    </sheetView>
  </sheetViews>
  <sheetFormatPr baseColWidth="10" defaultColWidth="8.83203125" defaultRowHeight="15" x14ac:dyDescent="0.2"/>
  <cols>
    <col min="1" max="1" width="22" customWidth="1"/>
    <col min="2" max="3" width="16" customWidth="1"/>
    <col min="4" max="4" width="18" customWidth="1"/>
    <col min="5" max="6" width="14" customWidth="1"/>
  </cols>
  <sheetData>
    <row r="1" spans="1:6" ht="17" x14ac:dyDescent="0.2">
      <c r="A1" s="30" t="s">
        <v>55</v>
      </c>
      <c r="B1" s="28"/>
      <c r="C1" s="28"/>
      <c r="D1" s="28"/>
      <c r="E1" s="28"/>
      <c r="F1" s="28"/>
    </row>
    <row r="3" spans="1:6" x14ac:dyDescent="0.2">
      <c r="A3" s="4" t="s">
        <v>56</v>
      </c>
      <c r="B3" s="4" t="s">
        <v>57</v>
      </c>
      <c r="C3" s="4" t="s">
        <v>58</v>
      </c>
      <c r="D3" s="4" t="s">
        <v>59</v>
      </c>
      <c r="E3" s="4" t="s">
        <v>60</v>
      </c>
      <c r="F3" s="4" t="s">
        <v>61</v>
      </c>
    </row>
    <row r="4" spans="1:6" x14ac:dyDescent="0.2">
      <c r="A4" s="17">
        <v>1100</v>
      </c>
      <c r="B4" s="18">
        <f>A4+273.15</f>
        <v>1373.15</v>
      </c>
      <c r="C4" s="19">
        <f>1/B4</f>
        <v>7.2825255798710984E-4</v>
      </c>
      <c r="D4" s="20">
        <f>'1100C'!L8</f>
        <v>2.912596872611899E-14</v>
      </c>
      <c r="E4" s="21">
        <f>IF(D4&gt;0,LN(D4),"NA")</f>
        <v>-31.167146222595328</v>
      </c>
      <c r="F4" s="21">
        <f>$B$9*C4+$B$10</f>
        <v>262.97124381302712</v>
      </c>
    </row>
    <row r="5" spans="1:6" x14ac:dyDescent="0.2">
      <c r="A5" s="17">
        <v>1200</v>
      </c>
      <c r="B5" s="18">
        <f>A5+273.15</f>
        <v>1473.15</v>
      </c>
      <c r="C5" s="19">
        <f>1/B5</f>
        <v>6.7881749991514776E-4</v>
      </c>
      <c r="D5" s="20">
        <f>'1200C'!L8</f>
        <v>1.6226967716039034E-13</v>
      </c>
      <c r="E5" s="21">
        <f>IF(D5&gt;0,LN(D5),"NA")</f>
        <v>-29.449516769882447</v>
      </c>
      <c r="F5" s="21">
        <f>$B$9*C5+$B$10</f>
        <v>262.97164340187459</v>
      </c>
    </row>
    <row r="6" spans="1:6" x14ac:dyDescent="0.2">
      <c r="A6" s="17">
        <v>1300</v>
      </c>
      <c r="B6" s="18">
        <f>A6+273.15</f>
        <v>1573.15</v>
      </c>
      <c r="C6" s="19">
        <f>1/B6</f>
        <v>6.3566729173950346E-4</v>
      </c>
      <c r="D6" s="20">
        <f>'1300C'!L8</f>
        <v>5.407906693565687E-13</v>
      </c>
      <c r="E6" s="21">
        <f>IF(D6&gt;0,LN(D6),"NA")</f>
        <v>-28.245744123739485</v>
      </c>
      <c r="F6" s="21">
        <f>$B$9*C6+$B$10</f>
        <v>262.97199218960998</v>
      </c>
    </row>
    <row r="8" spans="1:6" x14ac:dyDescent="0.2">
      <c r="A8" s="22" t="s">
        <v>62</v>
      </c>
      <c r="B8" s="23">
        <f>SLOPE(E4:E6,C4:C6)</f>
        <v>-31630.638724577067</v>
      </c>
      <c r="C8" s="24" t="s">
        <v>63</v>
      </c>
    </row>
    <row r="9" spans="1:6" x14ac:dyDescent="0.2">
      <c r="A9" s="22" t="s">
        <v>64</v>
      </c>
      <c r="B9" s="25">
        <f>INTERCEPT(E4:E6,C4:C6)</f>
        <v>-8.083106666832883</v>
      </c>
      <c r="C9" s="24" t="s">
        <v>65</v>
      </c>
    </row>
    <row r="10" spans="1:6" x14ac:dyDescent="0.2">
      <c r="A10" s="22" t="s">
        <v>66</v>
      </c>
      <c r="B10" s="23">
        <f>-B8*8.314/1000</f>
        <v>262.97713035613373</v>
      </c>
      <c r="C10" s="24" t="s">
        <v>67</v>
      </c>
    </row>
    <row r="11" spans="1:6" x14ac:dyDescent="0.2">
      <c r="A11" s="22" t="s">
        <v>68</v>
      </c>
      <c r="B11" s="26">
        <f>EXP(B9)</f>
        <v>3.0871048351371281E-4</v>
      </c>
      <c r="C11" s="24" t="s">
        <v>69</v>
      </c>
    </row>
    <row r="13" spans="1:6" x14ac:dyDescent="0.2">
      <c r="A13" s="29" t="s">
        <v>70</v>
      </c>
      <c r="B13" s="28"/>
      <c r="C13" s="28"/>
      <c r="D13" s="28"/>
      <c r="E13" s="28"/>
      <c r="F13" s="28"/>
    </row>
  </sheetData>
  <mergeCells count="2">
    <mergeCell ref="A13:F13"/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README</vt:lpstr>
      <vt:lpstr>1100C</vt:lpstr>
      <vt:lpstr>1200C</vt:lpstr>
      <vt:lpstr>1300C</vt:lpstr>
      <vt:lpstr>Arrhenius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anmol chahal</cp:lastModifiedBy>
  <dcterms:created xsi:type="dcterms:W3CDTF">2026-03-29T03:24:03Z</dcterms:created>
  <dcterms:modified xsi:type="dcterms:W3CDTF">2026-09-30T18:04:14Z</dcterms:modified>
</cp:coreProperties>
</file>